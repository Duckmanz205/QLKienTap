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EMP DU LIEU DELL CU\FOODTECH CLUB\4.Tham quan thuc te\11. HK1 2025-2026\Dữ liệu TQNM gửi Mận\"/>
    </mc:Choice>
  </mc:AlternateContent>
  <xr:revisionPtr revIDLastSave="0" documentId="13_ncr:1_{FC425FF2-539E-49A0-8F35-3B03CBE65CA0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Sheet1" sheetId="5" state="hidden" r:id="rId1"/>
    <sheet name="Tổng 24-25" sheetId="9" r:id="rId2"/>
    <sheet name="Dữ liệu TQNM" sheetId="11" r:id="rId3"/>
    <sheet name="Nộp báo cáo" sheetId="6" r:id="rId4"/>
    <sheet name="Danh sach kem GV" sheetId="7" state="hidden" r:id="rId5"/>
  </sheets>
  <definedNames>
    <definedName name="_xlnm._FilterDatabase" localSheetId="2" hidden="1">'Dữ liệu TQNM'!$A$4:$AE$769</definedName>
    <definedName name="_xlnm._FilterDatabase" localSheetId="3" hidden="1">'Nộp báo cáo'!$A$2:$G$1993</definedName>
    <definedName name="_xlnm._FilterDatabase" localSheetId="1" hidden="1">'Tổng 24-25'!$A$6:$J$769</definedName>
    <definedName name="GV_list">#REF!</definedName>
    <definedName name="_xlnm.Print_Area" localSheetId="1">'Tổng 24-25'!$A$1:$G$769</definedName>
    <definedName name="_xlnm.Print_Titles" localSheetId="1">'Tổng 24-25'!$6:$6</definedName>
    <definedName name="responses_std">'Nộp báo cáo'!$A$3:$G$2670</definedName>
    <definedName name="std_list">#REF!</definedName>
    <definedName name="Std_responses">'Nộp báo cáo'!$A$3:$L$2670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9" l="1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" i="9"/>
  <c r="G15" i="5"/>
  <c r="G2" i="6"/>
  <c r="C2" i="6"/>
  <c r="D2" i="6"/>
  <c r="B2" i="6"/>
  <c r="E2" i="6"/>
  <c r="F2" i="6"/>
</calcChain>
</file>

<file path=xl/sharedStrings.xml><?xml version="1.0" encoding="utf-8"?>
<sst xmlns="http://schemas.openxmlformats.org/spreadsheetml/2006/main" count="21705" uniqueCount="2142">
  <si>
    <t>STT</t>
  </si>
  <si>
    <t>Mã SV</t>
  </si>
  <si>
    <t>Họ Và Tên</t>
  </si>
  <si>
    <t>Ng/Sinh</t>
  </si>
  <si>
    <t>Tên lớp</t>
  </si>
  <si>
    <t>ANH</t>
  </si>
  <si>
    <t>PHƯƠNG</t>
  </si>
  <si>
    <t>THI</t>
  </si>
  <si>
    <t>11/09/2002</t>
  </si>
  <si>
    <t>Nguyễn Thành</t>
  </si>
  <si>
    <t>Đạt</t>
  </si>
  <si>
    <t>Hà</t>
  </si>
  <si>
    <t>11DHTP2</t>
  </si>
  <si>
    <t>11DHTP9</t>
  </si>
  <si>
    <t>11DHTP14</t>
  </si>
  <si>
    <t>HUY</t>
  </si>
  <si>
    <t>10/09/2002</t>
  </si>
  <si>
    <t>11DHTP12</t>
  </si>
  <si>
    <t>11DHTP13</t>
  </si>
  <si>
    <t>11DHTP5</t>
  </si>
  <si>
    <t>11DHTP1</t>
  </si>
  <si>
    <t>NGUYỄN TẤN</t>
  </si>
  <si>
    <t>11DHTP6</t>
  </si>
  <si>
    <t>VÂN</t>
  </si>
  <si>
    <t>Ý</t>
  </si>
  <si>
    <t>05/01/2002</t>
  </si>
  <si>
    <t>PHAN VIỆT</t>
  </si>
  <si>
    <t>HOÀNG</t>
  </si>
  <si>
    <t>NGUYỄN QUỐC</t>
  </si>
  <si>
    <t>Linh</t>
  </si>
  <si>
    <t>23/11/2002</t>
  </si>
  <si>
    <t>Phương</t>
  </si>
  <si>
    <t>TRẦN MAI</t>
  </si>
  <si>
    <t>02/01/2002</t>
  </si>
  <si>
    <t>Đào</t>
  </si>
  <si>
    <t>08/03/2002</t>
  </si>
  <si>
    <t>Anh</t>
  </si>
  <si>
    <t>Nguyễn Văn</t>
  </si>
  <si>
    <t>Cương</t>
  </si>
  <si>
    <t>HẠNH</t>
  </si>
  <si>
    <t>TRẦN THỊ MỸ</t>
  </si>
  <si>
    <t>14/02/2002</t>
  </si>
  <si>
    <t>Lê Thị Thanh</t>
  </si>
  <si>
    <t>Huyền</t>
  </si>
  <si>
    <t>Nguyễn Thị</t>
  </si>
  <si>
    <t>Nguyễn Thị Thúy</t>
  </si>
  <si>
    <t>20/05/2002</t>
  </si>
  <si>
    <t>Khang</t>
  </si>
  <si>
    <t>Nguyễn Thị Diễm</t>
  </si>
  <si>
    <t>Kiều</t>
  </si>
  <si>
    <t>Nguyễn Ngọc Phương</t>
  </si>
  <si>
    <t>Ngọc</t>
  </si>
  <si>
    <t>PHÁT</t>
  </si>
  <si>
    <t>05/02/2002</t>
  </si>
  <si>
    <t>Tiên</t>
  </si>
  <si>
    <t>Trần Minh</t>
  </si>
  <si>
    <t>Vy</t>
  </si>
  <si>
    <t>Lê Văn</t>
  </si>
  <si>
    <t>Lộc</t>
  </si>
  <si>
    <t>23/06/2002</t>
  </si>
  <si>
    <t>28/12/2002</t>
  </si>
  <si>
    <t>HẬU</t>
  </si>
  <si>
    <t>PHẠM THỊ BÍCH</t>
  </si>
  <si>
    <t>23/01/2002</t>
  </si>
  <si>
    <t>VINH</t>
  </si>
  <si>
    <t>Quỳnh</t>
  </si>
  <si>
    <t>Vi</t>
  </si>
  <si>
    <t>NGUYỄN ĐÌNH</t>
  </si>
  <si>
    <t>TÂN</t>
  </si>
  <si>
    <t>21/03/2002</t>
  </si>
  <si>
    <t>05/07/2002</t>
  </si>
  <si>
    <t>An</t>
  </si>
  <si>
    <t>01/11/2002</t>
  </si>
  <si>
    <t>Duy</t>
  </si>
  <si>
    <t>Nguyễn Chí</t>
  </si>
  <si>
    <t>Hào</t>
  </si>
  <si>
    <t>Nhi</t>
  </si>
  <si>
    <t>THẠCH KHẢI</t>
  </si>
  <si>
    <t>PHẠM MINH</t>
  </si>
  <si>
    <t>15/11/2002</t>
  </si>
  <si>
    <t>Trần Thị Mỹ</t>
  </si>
  <si>
    <t>Hoàng</t>
  </si>
  <si>
    <t>Phạm Thành</t>
  </si>
  <si>
    <t>10DHTP12</t>
  </si>
  <si>
    <t>Duyên</t>
  </si>
  <si>
    <t>Hải</t>
  </si>
  <si>
    <t>Hậu</t>
  </si>
  <si>
    <t>Nguyễn Hoàng</t>
  </si>
  <si>
    <t>Hiếu</t>
  </si>
  <si>
    <t>Trần Thị Ngọc</t>
  </si>
  <si>
    <t>Hòa</t>
  </si>
  <si>
    <t>My</t>
  </si>
  <si>
    <t>Ngân</t>
  </si>
  <si>
    <t>Nguyễn Bảo</t>
  </si>
  <si>
    <t>10DHTP6</t>
  </si>
  <si>
    <t>Nguyễn Thị Kim</t>
  </si>
  <si>
    <t>Trần Thị Yến</t>
  </si>
  <si>
    <t>Phong</t>
  </si>
  <si>
    <t>Nguyễn Ngọc Minh</t>
  </si>
  <si>
    <t>Phượng</t>
  </si>
  <si>
    <t>Thanh</t>
  </si>
  <si>
    <t>Thành</t>
  </si>
  <si>
    <t>Thảo</t>
  </si>
  <si>
    <t>Thiện</t>
  </si>
  <si>
    <t>Xuân</t>
  </si>
  <si>
    <t>Hiền</t>
  </si>
  <si>
    <t>09/01/2002</t>
  </si>
  <si>
    <t>11DHDB3</t>
  </si>
  <si>
    <t>11DHDB1</t>
  </si>
  <si>
    <t>Giang</t>
  </si>
  <si>
    <t>Vũ Nguyễn Phương</t>
  </si>
  <si>
    <t>31/10/2000</t>
  </si>
  <si>
    <t>09DHDB2</t>
  </si>
  <si>
    <t>Nguyễn Tấn</t>
  </si>
  <si>
    <t>Thắng</t>
  </si>
  <si>
    <t>Trinh</t>
  </si>
  <si>
    <t>Lê Công</t>
  </si>
  <si>
    <t>Tuấn</t>
  </si>
  <si>
    <t>Thoa</t>
  </si>
  <si>
    <t>Nguyễn Quốc</t>
  </si>
  <si>
    <t>Huy</t>
  </si>
  <si>
    <t>Trần Gia</t>
  </si>
  <si>
    <t>Khiêm</t>
  </si>
  <si>
    <t>Thư</t>
  </si>
  <si>
    <t>Nguyễn Thị Bích</t>
  </si>
  <si>
    <t>Thủy</t>
  </si>
  <si>
    <t>Nguyễn Trúc</t>
  </si>
  <si>
    <t>Tên</t>
  </si>
  <si>
    <t>Ghi chú</t>
  </si>
  <si>
    <t>GVHD</t>
  </si>
  <si>
    <t>Vũ Anh</t>
  </si>
  <si>
    <t>18/01/2004</t>
  </si>
  <si>
    <t>13DHQTTP02</t>
  </si>
  <si>
    <t>Đỗ Mai Nguyên Phương</t>
  </si>
  <si>
    <t>Phạm Thị Kiều</t>
  </si>
  <si>
    <t>Yến</t>
  </si>
  <si>
    <t>14/09/2004</t>
  </si>
  <si>
    <t>Huỳnh Thị Ngọc</t>
  </si>
  <si>
    <t>Trâm</t>
  </si>
  <si>
    <t>18/08/2004</t>
  </si>
  <si>
    <t>Trần Thị Trọng</t>
  </si>
  <si>
    <t>Lê Nhật</t>
  </si>
  <si>
    <t>Tâm</t>
  </si>
  <si>
    <t>Trịnh Quang</t>
  </si>
  <si>
    <t>Sỷ</t>
  </si>
  <si>
    <t>16/01/2004</t>
  </si>
  <si>
    <t>Nguyễn Trọng</t>
  </si>
  <si>
    <t>Quý</t>
  </si>
  <si>
    <t>13DHQTTP03</t>
  </si>
  <si>
    <t>Lương Văn</t>
  </si>
  <si>
    <t>25/03/2004</t>
  </si>
  <si>
    <t>Lê Nhất</t>
  </si>
  <si>
    <t>Nam</t>
  </si>
  <si>
    <t>16/06/2004</t>
  </si>
  <si>
    <t>Phúc</t>
  </si>
  <si>
    <t>20/08/2004</t>
  </si>
  <si>
    <t>Nguyễn Thủy</t>
  </si>
  <si>
    <t>Trương Đức Cao Công</t>
  </si>
  <si>
    <t>Bản</t>
  </si>
  <si>
    <t>17/09/2004</t>
  </si>
  <si>
    <t>Trương An</t>
  </si>
  <si>
    <t>Nhiên</t>
  </si>
  <si>
    <t>Nguyễn Trịnh Hồng</t>
  </si>
  <si>
    <t>Ny</t>
  </si>
  <si>
    <t>25/05/2004</t>
  </si>
  <si>
    <t>Nguyễn Phương</t>
  </si>
  <si>
    <t>25/01/2004</t>
  </si>
  <si>
    <t>Lê Thảo</t>
  </si>
  <si>
    <t>Trân</t>
  </si>
  <si>
    <t>21/12/2004</t>
  </si>
  <si>
    <t>Ánh</t>
  </si>
  <si>
    <t>Nguyễn Ngọc Bảo</t>
  </si>
  <si>
    <t>Hân</t>
  </si>
  <si>
    <t>Hương</t>
  </si>
  <si>
    <t>Hồ Hải</t>
  </si>
  <si>
    <t>Lưu</t>
  </si>
  <si>
    <t>Mai Anh</t>
  </si>
  <si>
    <t>26/11/2004</t>
  </si>
  <si>
    <t>Lê Thị Ngọc</t>
  </si>
  <si>
    <t>29/12/2004</t>
  </si>
  <si>
    <t>Phạm Thúy Thục</t>
  </si>
  <si>
    <t>Quyên</t>
  </si>
  <si>
    <t>Văn Đình</t>
  </si>
  <si>
    <t>Thái</t>
  </si>
  <si>
    <t>Võ Thị Thanh</t>
  </si>
  <si>
    <t>22/03/2004</t>
  </si>
  <si>
    <t>Huỳnh Thị Anh</t>
  </si>
  <si>
    <t>19/07/2004</t>
  </si>
  <si>
    <t>Nguyễn Chánh</t>
  </si>
  <si>
    <t>Tín</t>
  </si>
  <si>
    <t>Quách Ngọc Huyền</t>
  </si>
  <si>
    <t>Võ Dương Thương</t>
  </si>
  <si>
    <t>Hoài</t>
  </si>
  <si>
    <t>27/04/2004</t>
  </si>
  <si>
    <t>Sen</t>
  </si>
  <si>
    <t>Trần Thị Thu</t>
  </si>
  <si>
    <t>13DHTP03</t>
  </si>
  <si>
    <t>Hoàng Thị Ngọc Nhơn</t>
  </si>
  <si>
    <t>Trà Gia</t>
  </si>
  <si>
    <t>Nguyễn Xuân</t>
  </si>
  <si>
    <t>22/05/2004</t>
  </si>
  <si>
    <t>Võ Thị Cẩm</t>
  </si>
  <si>
    <t>Liên</t>
  </si>
  <si>
    <t>19/05/2004</t>
  </si>
  <si>
    <t>Thắng Mỹ</t>
  </si>
  <si>
    <t>Nguyên</t>
  </si>
  <si>
    <t>15/08/2004</t>
  </si>
  <si>
    <t>Dương Thanh</t>
  </si>
  <si>
    <t>Tài</t>
  </si>
  <si>
    <t>21/08/2004</t>
  </si>
  <si>
    <t>Đỗ Tiến</t>
  </si>
  <si>
    <t>Thịnh</t>
  </si>
  <si>
    <t>15/11/2004</t>
  </si>
  <si>
    <t>25/09/2004</t>
  </si>
  <si>
    <t>Trần Đình</t>
  </si>
  <si>
    <t>19/10/2004</t>
  </si>
  <si>
    <t>Hồ Phùng Thanh</t>
  </si>
  <si>
    <t>Doanh</t>
  </si>
  <si>
    <t>18/02/2004</t>
  </si>
  <si>
    <t>Lê Thị</t>
  </si>
  <si>
    <t>Hạ</t>
  </si>
  <si>
    <t>Phan Thị Kim</t>
  </si>
  <si>
    <t>Hần</t>
  </si>
  <si>
    <t>Nguyễn Thị Hồng</t>
  </si>
  <si>
    <t>24/03/2004</t>
  </si>
  <si>
    <t>Vũ Thị Thu</t>
  </si>
  <si>
    <t>Hảo</t>
  </si>
  <si>
    <t>Nguyễn Ngọc Kim</t>
  </si>
  <si>
    <t>14/05/2004</t>
  </si>
  <si>
    <t>Lê Ngọc Như</t>
  </si>
  <si>
    <t>Khánh</t>
  </si>
  <si>
    <t>Bùi Lê Gia</t>
  </si>
  <si>
    <t>Khôi</t>
  </si>
  <si>
    <t>22/04/2004</t>
  </si>
  <si>
    <t>Bùi Thị Trúc</t>
  </si>
  <si>
    <t>22/07/2004</t>
  </si>
  <si>
    <t>Trần Thị Xuân</t>
  </si>
  <si>
    <t>Mai</t>
  </si>
  <si>
    <t>Thái Bình</t>
  </si>
  <si>
    <t>Minh</t>
  </si>
  <si>
    <t>Trần Thị Thanh</t>
  </si>
  <si>
    <t>Nghi</t>
  </si>
  <si>
    <t>Nguyễn Thái Bảo</t>
  </si>
  <si>
    <t>22/10/2004</t>
  </si>
  <si>
    <t>Phạm Huỳnh Như</t>
  </si>
  <si>
    <t>Hứa Nguyễn Yến</t>
  </si>
  <si>
    <t>Thạch Thị Yến</t>
  </si>
  <si>
    <t>28/05/2004</t>
  </si>
  <si>
    <t>Phùng Thị Kim</t>
  </si>
  <si>
    <t>Oanh</t>
  </si>
  <si>
    <t>18/04/2004</t>
  </si>
  <si>
    <t>Phin</t>
  </si>
  <si>
    <t>Huỳnh Thị Như</t>
  </si>
  <si>
    <t>28/11/2004</t>
  </si>
  <si>
    <t>Thắm</t>
  </si>
  <si>
    <t>30/08/2004</t>
  </si>
  <si>
    <t>Phùng Thị Thu</t>
  </si>
  <si>
    <t>Phùng Thị</t>
  </si>
  <si>
    <t>Trang</t>
  </si>
  <si>
    <t>Trương Thị Thu</t>
  </si>
  <si>
    <t>26/07/2004</t>
  </si>
  <si>
    <t>Trần Lê Thanh</t>
  </si>
  <si>
    <t>Vân</t>
  </si>
  <si>
    <t>31/12/2004</t>
  </si>
  <si>
    <t>Nguyễn Ngọc</t>
  </si>
  <si>
    <t>23/08/2004</t>
  </si>
  <si>
    <t>Quách Quân</t>
  </si>
  <si>
    <t>Nguyễn Gia</t>
  </si>
  <si>
    <t>Bảo</t>
  </si>
  <si>
    <t>30/04/2004</t>
  </si>
  <si>
    <t>Nguyễn Thùy</t>
  </si>
  <si>
    <t>Dương</t>
  </si>
  <si>
    <t>Đặng Nhật</t>
  </si>
  <si>
    <t>20/12/2003</t>
  </si>
  <si>
    <t>Lưu Hồng</t>
  </si>
  <si>
    <t>Võ Ngọc Như</t>
  </si>
  <si>
    <t>16/11/2004</t>
  </si>
  <si>
    <t>Lê Thiên</t>
  </si>
  <si>
    <t>Nhy</t>
  </si>
  <si>
    <t>Huỳnh Thảo</t>
  </si>
  <si>
    <t>Uyên</t>
  </si>
  <si>
    <t>Lê Đồng Nguyệt</t>
  </si>
  <si>
    <t>31/05/2004</t>
  </si>
  <si>
    <t>13DHTP04</t>
  </si>
  <si>
    <t>Cao Trung</t>
  </si>
  <si>
    <t>14/12/2004</t>
  </si>
  <si>
    <t>Đỗ Gia</t>
  </si>
  <si>
    <t>17/01/2004</t>
  </si>
  <si>
    <t>Lê Ngọc</t>
  </si>
  <si>
    <t>Hy</t>
  </si>
  <si>
    <t>Bạch Thị Xuân</t>
  </si>
  <si>
    <t>17/05/2004</t>
  </si>
  <si>
    <t>Lữ Kim</t>
  </si>
  <si>
    <t>Nguyễn Thị Thanh</t>
  </si>
  <si>
    <t>Hoàng Thị Trúc Quỳnh</t>
  </si>
  <si>
    <t>TRẦN PHÚC</t>
  </si>
  <si>
    <t>12DHDB01</t>
  </si>
  <si>
    <t>Trần Thị Như</t>
  </si>
  <si>
    <t>Công</t>
  </si>
  <si>
    <t>Nguyễn Thị Tuyết</t>
  </si>
  <si>
    <t>12DHDB02</t>
  </si>
  <si>
    <t>24/10/2003</t>
  </si>
  <si>
    <t>12DHDB04</t>
  </si>
  <si>
    <t>Phát</t>
  </si>
  <si>
    <t>Thi</t>
  </si>
  <si>
    <t>Trường</t>
  </si>
  <si>
    <t>Tuyền</t>
  </si>
  <si>
    <t>12DHQTTP01</t>
  </si>
  <si>
    <t>Lê Thị Thảo</t>
  </si>
  <si>
    <t>16/05/2003</t>
  </si>
  <si>
    <t>12DHQTTP02</t>
  </si>
  <si>
    <t>Lâm</t>
  </si>
  <si>
    <t>26/09/2003</t>
  </si>
  <si>
    <t>Nguyễn Duy</t>
  </si>
  <si>
    <t>19/06/2003</t>
  </si>
  <si>
    <t>Nguyễn Minh</t>
  </si>
  <si>
    <t>Vũ</t>
  </si>
  <si>
    <t>Vi Thị Quỳnh</t>
  </si>
  <si>
    <t>Như</t>
  </si>
  <si>
    <t>12DHQTTP04</t>
  </si>
  <si>
    <t>Phạm Ngọc Thảo</t>
  </si>
  <si>
    <t>15/11/2003</t>
  </si>
  <si>
    <t>Huỳnh Thị Kim</t>
  </si>
  <si>
    <t>Huỳnh Quốc</t>
  </si>
  <si>
    <t>Cường</t>
  </si>
  <si>
    <t>20/02/2003</t>
  </si>
  <si>
    <t>12DHTP01</t>
  </si>
  <si>
    <t>Trăm</t>
  </si>
  <si>
    <t>Huỳnh Dương Trọng</t>
  </si>
  <si>
    <t>28/12/2003</t>
  </si>
  <si>
    <t>12DHTP05</t>
  </si>
  <si>
    <t>12DHTP06</t>
  </si>
  <si>
    <t>12DHTP08</t>
  </si>
  <si>
    <t>Thuận</t>
  </si>
  <si>
    <t>12DHTP09</t>
  </si>
  <si>
    <t>Tú</t>
  </si>
  <si>
    <t>26/09/2004</t>
  </si>
  <si>
    <t>13DHTP05</t>
  </si>
  <si>
    <t>Võ Thị Kiều</t>
  </si>
  <si>
    <t>29/12/2003</t>
  </si>
  <si>
    <t>Nguyễn Mai</t>
  </si>
  <si>
    <t>Lê Thanh</t>
  </si>
  <si>
    <t>23/04/2004</t>
  </si>
  <si>
    <t>Trần Huỳnh Hoa</t>
  </si>
  <si>
    <t>Thiên</t>
  </si>
  <si>
    <t>25/06/2004</t>
  </si>
  <si>
    <t>Đỗ Phạm Minh</t>
  </si>
  <si>
    <t>16/07/2004</t>
  </si>
  <si>
    <t>Trần Thị Cẩm</t>
  </si>
  <si>
    <t>30/09/2004</t>
  </si>
  <si>
    <t>Trần Tuyết Thanh</t>
  </si>
  <si>
    <t>Trần Bình</t>
  </si>
  <si>
    <t>Trọng</t>
  </si>
  <si>
    <t>Trần Thảo Vân</t>
  </si>
  <si>
    <t>Nguyễn Hồng</t>
  </si>
  <si>
    <t>Tuyết</t>
  </si>
  <si>
    <t>Hoàng Thị Mai</t>
  </si>
  <si>
    <t>Trần Phương</t>
  </si>
  <si>
    <t>Lê Thị Minh</t>
  </si>
  <si>
    <t>23/02/2004</t>
  </si>
  <si>
    <t>13DHTP06</t>
  </si>
  <si>
    <t>Võ Huỳnh Thúy</t>
  </si>
  <si>
    <t>Nga</t>
  </si>
  <si>
    <t>31/07/2004</t>
  </si>
  <si>
    <t>Nguyễn Thị Thu</t>
  </si>
  <si>
    <t>13/10/2004</t>
  </si>
  <si>
    <t>Nguyễn Đức</t>
  </si>
  <si>
    <t>Nhân</t>
  </si>
  <si>
    <t>Nguyễn Thành</t>
  </si>
  <si>
    <t>Đạt</t>
  </si>
  <si>
    <t>Trần Bảo</t>
  </si>
  <si>
    <t>23/09/2004</t>
  </si>
  <si>
    <t>Trần Thị Thúy</t>
  </si>
  <si>
    <t>Hằng</t>
  </si>
  <si>
    <t>Đỗ Thị Thanh</t>
  </si>
  <si>
    <t>14/01/2004</t>
  </si>
  <si>
    <t>Trương Hồng</t>
  </si>
  <si>
    <t>Huỳnh Yến</t>
  </si>
  <si>
    <t>22/12/2004</t>
  </si>
  <si>
    <t>Cảnh</t>
  </si>
  <si>
    <t>Lê Hoàng Minh</t>
  </si>
  <si>
    <t>Nhật</t>
  </si>
  <si>
    <t>21/10/2004</t>
  </si>
  <si>
    <t>Hồ Xuân</t>
  </si>
  <si>
    <t>Ro Phi</t>
  </si>
  <si>
    <t>Áh</t>
  </si>
  <si>
    <t>Nguyễn Thị Ngọc</t>
  </si>
  <si>
    <t>Trương Thảo</t>
  </si>
  <si>
    <t>Dân</t>
  </si>
  <si>
    <t>30/12/2004</t>
  </si>
  <si>
    <t>Nguyễn</t>
  </si>
  <si>
    <t>24/01/2004</t>
  </si>
  <si>
    <t>Bùi Thị Thu</t>
  </si>
  <si>
    <t>Trần Thị Thu</t>
  </si>
  <si>
    <t>Hằng</t>
  </si>
  <si>
    <t>Nguyễn Võ Thanh</t>
  </si>
  <si>
    <t>13/01/2004</t>
  </si>
  <si>
    <t>Hùng</t>
  </si>
  <si>
    <t>Lê Minh</t>
  </si>
  <si>
    <t>Võ Thị Tuyết</t>
  </si>
  <si>
    <t>Lan</t>
  </si>
  <si>
    <t>Dương Thị Thanh</t>
  </si>
  <si>
    <t>Liêm</t>
  </si>
  <si>
    <t>Nguyễn Trần Hồng</t>
  </si>
  <si>
    <t>Lĩnh</t>
  </si>
  <si>
    <t>24/02/2004</t>
  </si>
  <si>
    <t>Thổ Minh</t>
  </si>
  <si>
    <t>Mẫn</t>
  </si>
  <si>
    <t>Lý Hoàng Hà</t>
  </si>
  <si>
    <t>27/03/2004</t>
  </si>
  <si>
    <t>Nguyễn Thị Trúc</t>
  </si>
  <si>
    <t>Phạm Võ Hoài</t>
  </si>
  <si>
    <t>14/10/2003</t>
  </si>
  <si>
    <t>Lê Thị Hồng</t>
  </si>
  <si>
    <t>Lê Võ Hồng</t>
  </si>
  <si>
    <t>Trương Nguyễn Việt</t>
  </si>
  <si>
    <t>28/08/2004</t>
  </si>
  <si>
    <t>Nguyễn Kim</t>
  </si>
  <si>
    <t>Lê Đoàn Yến</t>
  </si>
  <si>
    <t>23/12/2004</t>
  </si>
  <si>
    <t>Nguyễn Thị Ý</t>
  </si>
  <si>
    <t>Huỳnh Tấn</t>
  </si>
  <si>
    <t>Sang</t>
  </si>
  <si>
    <t>26/10/2004</t>
  </si>
  <si>
    <t>Nguyễn Thị Tô</t>
  </si>
  <si>
    <t>Sin</t>
  </si>
  <si>
    <t>Thão</t>
  </si>
  <si>
    <t>Chung Anh</t>
  </si>
  <si>
    <t>31/03/2004</t>
  </si>
  <si>
    <t>Dương Thị Anh</t>
  </si>
  <si>
    <t>21/11/2004</t>
  </si>
  <si>
    <t>Nguyễn Đặng Vân</t>
  </si>
  <si>
    <t>Thy</t>
  </si>
  <si>
    <t>Nguyễn Tiến</t>
  </si>
  <si>
    <t>13/02/2004</t>
  </si>
  <si>
    <t>Nguyễn Tường</t>
  </si>
  <si>
    <t>Bùi Minh</t>
  </si>
  <si>
    <t>Hưng</t>
  </si>
  <si>
    <t>Lê Nguyễn Thảo</t>
  </si>
  <si>
    <t>14DHTP02</t>
  </si>
  <si>
    <t>Lê Phạm Yến</t>
  </si>
  <si>
    <t>Huỳnh Thị Lê Dung</t>
  </si>
  <si>
    <t>Cao Thị Tường</t>
  </si>
  <si>
    <t>Nguyễn Tuấn</t>
  </si>
  <si>
    <t>13DHQTTP04</t>
  </si>
  <si>
    <t>Lâm Nhật</t>
  </si>
  <si>
    <t>Đăng</t>
  </si>
  <si>
    <t>28/06/2004</t>
  </si>
  <si>
    <t>Nguyễn Khắc</t>
  </si>
  <si>
    <t>Giáp</t>
  </si>
  <si>
    <t>Nguyễn Quỳnh</t>
  </si>
  <si>
    <t>28/03/2004</t>
  </si>
  <si>
    <t>Lương Từ Thảo</t>
  </si>
  <si>
    <t>15/12/2004</t>
  </si>
  <si>
    <t>22/02/2004</t>
  </si>
  <si>
    <t>15/06/2004</t>
  </si>
  <si>
    <t>Trần Thùy</t>
  </si>
  <si>
    <t>Trần Yến</t>
  </si>
  <si>
    <t>20/07/2004</t>
  </si>
  <si>
    <t>Nguyễn Ngân</t>
  </si>
  <si>
    <t>Trần Hà Phương</t>
  </si>
  <si>
    <t>13/01/2003</t>
  </si>
  <si>
    <t>Trần Hoàng Tường</t>
  </si>
  <si>
    <t>Hoa</t>
  </si>
  <si>
    <t>15/05/2004</t>
  </si>
  <si>
    <t>Lập</t>
  </si>
  <si>
    <t>27/09/2004</t>
  </si>
  <si>
    <t>Lê Mỹ</t>
  </si>
  <si>
    <t>13DHDB02</t>
  </si>
  <si>
    <t>Ngô Duy Anh Triết</t>
  </si>
  <si>
    <t>Đỗ Nguyễn</t>
  </si>
  <si>
    <t>Lý Gia</t>
  </si>
  <si>
    <t>27/11/2004</t>
  </si>
  <si>
    <t>Trương Ngọc Bảo</t>
  </si>
  <si>
    <t>Ngô Gia</t>
  </si>
  <si>
    <t>Hạo</t>
  </si>
  <si>
    <t>Nguyễn Ôn Gia</t>
  </si>
  <si>
    <t>19/12/2004</t>
  </si>
  <si>
    <t>Võ Thị</t>
  </si>
  <si>
    <t>Huỳnh</t>
  </si>
  <si>
    <t>Trần Nguyễn Khánh</t>
  </si>
  <si>
    <t>24/07/2004</t>
  </si>
  <si>
    <t>Trần Thị Kim</t>
  </si>
  <si>
    <t>Loan</t>
  </si>
  <si>
    <t>Ly</t>
  </si>
  <si>
    <t>Ngô Thị Khánh</t>
  </si>
  <si>
    <t>15/01/2004</t>
  </si>
  <si>
    <t>Quách Ngọc</t>
  </si>
  <si>
    <t>19/11/2004</t>
  </si>
  <si>
    <t>Hồ Nhứt</t>
  </si>
  <si>
    <t>Phạm Thị Thanh</t>
  </si>
  <si>
    <t>Phan Thị Thúy</t>
  </si>
  <si>
    <t>26/05/2004</t>
  </si>
  <si>
    <t>Trịnh Thị Kim</t>
  </si>
  <si>
    <t>Võ Thanh</t>
  </si>
  <si>
    <t>30/03/2004</t>
  </si>
  <si>
    <t>Phan Gia</t>
  </si>
  <si>
    <t>Vũ Hà Hải</t>
  </si>
  <si>
    <t>Võ Văn</t>
  </si>
  <si>
    <t>Ninh</t>
  </si>
  <si>
    <t>Phạm Toàn</t>
  </si>
  <si>
    <t>Phú</t>
  </si>
  <si>
    <t>Nguyễn Hoàng Kim</t>
  </si>
  <si>
    <t>Mang Thị Kim</t>
  </si>
  <si>
    <t>28/09/2004</t>
  </si>
  <si>
    <t>Đặng Sỹ</t>
  </si>
  <si>
    <t>Quốc</t>
  </si>
  <si>
    <t>Trần Thị</t>
  </si>
  <si>
    <t>23/11/2004</t>
  </si>
  <si>
    <t>Vũ Phương</t>
  </si>
  <si>
    <t>Đặng Thị Anh</t>
  </si>
  <si>
    <t>Nguyễn Thị Anh</t>
  </si>
  <si>
    <t>13/05/2003</t>
  </si>
  <si>
    <t>Nguyễn Thị Hoài</t>
  </si>
  <si>
    <t>Thương</t>
  </si>
  <si>
    <t>Thúy</t>
  </si>
  <si>
    <t>Thùy</t>
  </si>
  <si>
    <t>Lâm Thị Tuyết</t>
  </si>
  <si>
    <t>Trần Thị Bích</t>
  </si>
  <si>
    <t>Nguyễn Thanh</t>
  </si>
  <si>
    <t>Nguyễn Đức Minh</t>
  </si>
  <si>
    <t>Nguyễn Trần Thanh</t>
  </si>
  <si>
    <t>14/06/2004</t>
  </si>
  <si>
    <t>Lê Nguyễn Thu</t>
  </si>
  <si>
    <t>28/07/2004</t>
  </si>
  <si>
    <t>Trần Võ Mỹ</t>
  </si>
  <si>
    <t>16/02/2004</t>
  </si>
  <si>
    <t>Trần Tấn</t>
  </si>
  <si>
    <t>Vàng</t>
  </si>
  <si>
    <t>25/07/2004</t>
  </si>
  <si>
    <t>Trần Thảo</t>
  </si>
  <si>
    <t>Tiêu Kim</t>
  </si>
  <si>
    <t>31/10/2004</t>
  </si>
  <si>
    <t>Chi</t>
  </si>
  <si>
    <t>13DHQTTP01</t>
  </si>
  <si>
    <t>Trương Thị Ngọc</t>
  </si>
  <si>
    <t>Hạnh</t>
  </si>
  <si>
    <t>30/07/2004</t>
  </si>
  <si>
    <t>Dư Lê Bảo</t>
  </si>
  <si>
    <t>Châu</t>
  </si>
  <si>
    <t>19/01/2004</t>
  </si>
  <si>
    <t>Lê Thị Kiều</t>
  </si>
  <si>
    <t>Diễm</t>
  </si>
  <si>
    <t>23/10/2004</t>
  </si>
  <si>
    <t>17/04/2004</t>
  </si>
  <si>
    <t>Triển</t>
  </si>
  <si>
    <t>13DHTP01</t>
  </si>
  <si>
    <t>Nguyễn Bảo Toàn</t>
  </si>
  <si>
    <t>Nguyễn Ngọc Tường</t>
  </si>
  <si>
    <t>29/02/2004</t>
  </si>
  <si>
    <t>Cao Thị Yến</t>
  </si>
  <si>
    <t>14/11/2004</t>
  </si>
  <si>
    <t>Yên</t>
  </si>
  <si>
    <t>Phạm Hồng</t>
  </si>
  <si>
    <t>Quí</t>
  </si>
  <si>
    <t>21/07/2004</t>
  </si>
  <si>
    <t>Hồ Hoàng</t>
  </si>
  <si>
    <t>Ngô Thị Thanh</t>
  </si>
  <si>
    <t>Trần Diễm</t>
  </si>
  <si>
    <t>Ngô Thúy</t>
  </si>
  <si>
    <t>Huỳnh Thành</t>
  </si>
  <si>
    <t>Tiến</t>
  </si>
  <si>
    <t>17/02/2004</t>
  </si>
  <si>
    <t>29/04/2004</t>
  </si>
  <si>
    <t>19/09/2004</t>
  </si>
  <si>
    <t>Nguyễn Thị Minh</t>
  </si>
  <si>
    <t>16/12/2004</t>
  </si>
  <si>
    <t>13DHTP02</t>
  </si>
  <si>
    <t>Trần Thủy Lan</t>
  </si>
  <si>
    <t>Lâm Thị Ngọc</t>
  </si>
  <si>
    <t>Bích</t>
  </si>
  <si>
    <t>Trần Ngọc Bảo</t>
  </si>
  <si>
    <t>Trần Ngọc Trân</t>
  </si>
  <si>
    <t>Nguyễn Nhã</t>
  </si>
  <si>
    <t>Đoan</t>
  </si>
  <si>
    <t>28/02/2004</t>
  </si>
  <si>
    <t>Đặng Thị Thùy</t>
  </si>
  <si>
    <t>Dung</t>
  </si>
  <si>
    <t>Huỳnh Thị Cẩm</t>
  </si>
  <si>
    <t>Huỳnh Nhật</t>
  </si>
  <si>
    <t>Nguyễn Phúc</t>
  </si>
  <si>
    <t>28/01/2004</t>
  </si>
  <si>
    <t>Hợp</t>
  </si>
  <si>
    <t>Hữu</t>
  </si>
  <si>
    <t>24/08/2004</t>
  </si>
  <si>
    <t>Trịnh Thị Bích</t>
  </si>
  <si>
    <t>16/03/2004</t>
  </si>
  <si>
    <t>Đặng Tuấn</t>
  </si>
  <si>
    <t>Khanh</t>
  </si>
  <si>
    <t>Trần Nhựt</t>
  </si>
  <si>
    <t>23/03/2004</t>
  </si>
  <si>
    <t>Vũ Nguyễn Huyền</t>
  </si>
  <si>
    <t>19/04/2004</t>
  </si>
  <si>
    <t>Bùi Mai Thanh</t>
  </si>
  <si>
    <t>Lại Thị Kim</t>
  </si>
  <si>
    <t>14/04/2004</t>
  </si>
  <si>
    <t>Trần Lý Phương</t>
  </si>
  <si>
    <t>16/09/2004</t>
  </si>
  <si>
    <t>Trương Tuyết</t>
  </si>
  <si>
    <t>Phan Huỳnh</t>
  </si>
  <si>
    <t>Phạm Diễm</t>
  </si>
  <si>
    <t>Phấn</t>
  </si>
  <si>
    <t>Châu Nhuận</t>
  </si>
  <si>
    <t>16/04/2004</t>
  </si>
  <si>
    <t>Huỳnh Lê Đức</t>
  </si>
  <si>
    <t>Sương</t>
  </si>
  <si>
    <t>Phạm Thị Bé</t>
  </si>
  <si>
    <t>15/03/2004</t>
  </si>
  <si>
    <t>Trần Lan</t>
  </si>
  <si>
    <t>Phan Thị Ngọc</t>
  </si>
  <si>
    <t>Thơ</t>
  </si>
  <si>
    <t>20/04/2004</t>
  </si>
  <si>
    <t>Đỗ Thị Huyền</t>
  </si>
  <si>
    <t>Cao Thị Thùy</t>
  </si>
  <si>
    <t>Nguyễn Thị Thùy</t>
  </si>
  <si>
    <t>15/02/2004</t>
  </si>
  <si>
    <t>Võ Ngọc Thùy</t>
  </si>
  <si>
    <t>16/05/2004</t>
  </si>
  <si>
    <t>13/05/2004</t>
  </si>
  <si>
    <t>Bùi Nguyễn Cẩm</t>
  </si>
  <si>
    <t>13/12/2004</t>
  </si>
  <si>
    <t>Hoàng Mạnh</t>
  </si>
  <si>
    <t>Trần Phạm Bích</t>
  </si>
  <si>
    <t>Tô Thị Kim</t>
  </si>
  <si>
    <t>Trần Thị Nhật</t>
  </si>
  <si>
    <t>Trương Quang</t>
  </si>
  <si>
    <t>Ngô Văn Quốc</t>
  </si>
  <si>
    <t>Việt</t>
  </si>
  <si>
    <t>Hoàng Gia</t>
  </si>
  <si>
    <t>Trần Hoàng</t>
  </si>
  <si>
    <t>17/10/2004</t>
  </si>
  <si>
    <t>Trần Quỳnh Bảo</t>
  </si>
  <si>
    <t>Ân</t>
  </si>
  <si>
    <t>Nguyễn Thị Ngọc Thúy</t>
  </si>
  <si>
    <t>24/06/2004</t>
  </si>
  <si>
    <t>Lý Thanh</t>
  </si>
  <si>
    <t>Hoàng Thị Ánh</t>
  </si>
  <si>
    <t>Nguyệt</t>
  </si>
  <si>
    <t>Huỳnh Thị Thảo</t>
  </si>
  <si>
    <t>Nữ</t>
  </si>
  <si>
    <t>25/08/2004</t>
  </si>
  <si>
    <t>Đặng Ngọc</t>
  </si>
  <si>
    <t>Phụng</t>
  </si>
  <si>
    <t>30/01/2004</t>
  </si>
  <si>
    <t>Đặng Hoài</t>
  </si>
  <si>
    <t>29/01/2004</t>
  </si>
  <si>
    <t>Võ Thị Minh</t>
  </si>
  <si>
    <t>Đỗ Nguyễn Anh</t>
  </si>
  <si>
    <t>24/12/2004</t>
  </si>
  <si>
    <t>Tống Ngọc</t>
  </si>
  <si>
    <t>Giang Nguyễn Ngọc</t>
  </si>
  <si>
    <t>13/11/2004</t>
  </si>
  <si>
    <t>Lê Hoàng Bảo</t>
  </si>
  <si>
    <t>27/10/2004</t>
  </si>
  <si>
    <t>Nguyễn Bích</t>
  </si>
  <si>
    <t>Võ Thị Quế</t>
  </si>
  <si>
    <t>14/03/2004</t>
  </si>
  <si>
    <t>Vương Quỳnh</t>
  </si>
  <si>
    <t>23/01/2004</t>
  </si>
  <si>
    <t>Hồ Thị Ái</t>
  </si>
  <si>
    <t>Ngũ Thuỳ</t>
  </si>
  <si>
    <t>Nguyễn Ngọc Thúy</t>
  </si>
  <si>
    <t>18/12/2004</t>
  </si>
  <si>
    <t>Huỳnh Thị Liễu</t>
  </si>
  <si>
    <t>13/06/2004</t>
  </si>
  <si>
    <t>Ngô Thanh</t>
  </si>
  <si>
    <t>20/03/2004</t>
  </si>
  <si>
    <t>Đinh Bạch Long</t>
  </si>
  <si>
    <t>Phạm Thị</t>
  </si>
  <si>
    <t>Hạt</t>
  </si>
  <si>
    <t>Lưu Thị Ngọc</t>
  </si>
  <si>
    <t>26/02/2004</t>
  </si>
  <si>
    <t>24/09/2004</t>
  </si>
  <si>
    <t>Trần Văn</t>
  </si>
  <si>
    <t>Cao</t>
  </si>
  <si>
    <t>Võ Thị Phương</t>
  </si>
  <si>
    <t>Du</t>
  </si>
  <si>
    <t>26/01/2004</t>
  </si>
  <si>
    <t>Nguyễn Cao Ngọc</t>
  </si>
  <si>
    <t>Hân</t>
  </si>
  <si>
    <t>Nguyễn Phi</t>
  </si>
  <si>
    <t>29/11/2004</t>
  </si>
  <si>
    <t>Đỗ Văn</t>
  </si>
  <si>
    <t>Nguyễn Kiều Yến</t>
  </si>
  <si>
    <t>Trương Đan</t>
  </si>
  <si>
    <t>18/10/2004</t>
  </si>
  <si>
    <t>Võ Hiểu</t>
  </si>
  <si>
    <t>Lam</t>
  </si>
  <si>
    <t>Lã Xuân</t>
  </si>
  <si>
    <t>15/09/2004</t>
  </si>
  <si>
    <t>Nguyễn Cao Chi</t>
  </si>
  <si>
    <t>Nguyễn Thị Cẩm</t>
  </si>
  <si>
    <t>29/05/2004</t>
  </si>
  <si>
    <t>Phùng Thị Bích</t>
  </si>
  <si>
    <t>Kim Thành</t>
  </si>
  <si>
    <t>20/06/2004</t>
  </si>
  <si>
    <t>Phan Trần Huỳnh</t>
  </si>
  <si>
    <t>Như</t>
  </si>
  <si>
    <t>Nguyễn Võ Hoàng</t>
  </si>
  <si>
    <t>Trần Như</t>
  </si>
  <si>
    <t>Quyến</t>
  </si>
  <si>
    <t>24/05/2004</t>
  </si>
  <si>
    <t>Nguyễn Thiên</t>
  </si>
  <si>
    <t>Trần Thị Hồng</t>
  </si>
  <si>
    <t>Diệu</t>
  </si>
  <si>
    <t>14/10/2004</t>
  </si>
  <si>
    <t>Đinh Thái</t>
  </si>
  <si>
    <t>Hiệp</t>
  </si>
  <si>
    <t>Trần Quốc</t>
  </si>
  <si>
    <t>Trương Như</t>
  </si>
  <si>
    <t>Phạm Thị Thùy Dương</t>
  </si>
  <si>
    <t>Nguyễn Nguyên Thanh</t>
  </si>
  <si>
    <t>Thảo</t>
  </si>
  <si>
    <t>Lê Trương Thanh</t>
  </si>
  <si>
    <t>Trúc</t>
  </si>
  <si>
    <t>17/11/2004</t>
  </si>
  <si>
    <t>25/12/2004</t>
  </si>
  <si>
    <t>Phạm Thị Mỹ</t>
  </si>
  <si>
    <t>Nguyễn Văn Hoàn</t>
  </si>
  <si>
    <t>18/11/2004</t>
  </si>
  <si>
    <t>Châu Thị</t>
  </si>
  <si>
    <t>Phạm Minh</t>
  </si>
  <si>
    <t>Trần Ngọc Mỹ</t>
  </si>
  <si>
    <t>31/08/2004</t>
  </si>
  <si>
    <t>Hồ Thị Diễm</t>
  </si>
  <si>
    <t>14/02/2004</t>
  </si>
  <si>
    <t>Đỗ Thị</t>
  </si>
  <si>
    <t>Trần Thanh</t>
  </si>
  <si>
    <t>Phạm</t>
  </si>
  <si>
    <t>Thân</t>
  </si>
  <si>
    <t>Thu</t>
  </si>
  <si>
    <t>Nguyễn Thị Tường</t>
  </si>
  <si>
    <t>Nguyễn Huỳnh Thanh</t>
  </si>
  <si>
    <t>Trần Thị Phương</t>
  </si>
  <si>
    <t>26/06/2004</t>
  </si>
  <si>
    <t>Hồ Thị Thanh</t>
  </si>
  <si>
    <t>Trà</t>
  </si>
  <si>
    <t>Nguyễn Thị Khánh</t>
  </si>
  <si>
    <t>Lê Tuyết</t>
  </si>
  <si>
    <t>Lê Ngọc Uyển</t>
  </si>
  <si>
    <t>29/09/2004</t>
  </si>
  <si>
    <t>Đặng Thị Linh</t>
  </si>
  <si>
    <t>Na</t>
  </si>
  <si>
    <t>Nguyễn Hà Phương</t>
  </si>
  <si>
    <t>Nguyễn Hoàng Phương</t>
  </si>
  <si>
    <t>Phan Thành</t>
  </si>
  <si>
    <t>Lê Thị Khánh</t>
  </si>
  <si>
    <t>Khoa</t>
  </si>
  <si>
    <t>24/04/2004</t>
  </si>
  <si>
    <t>Nguyễn Phạm Thảo</t>
  </si>
  <si>
    <t>Quân</t>
  </si>
  <si>
    <t>Lý Kim</t>
  </si>
  <si>
    <t>Đặng Anh</t>
  </si>
  <si>
    <t>27/02/2004</t>
  </si>
  <si>
    <t>Nguyễn Thị Ái</t>
  </si>
  <si>
    <t>Nguyễn Phước</t>
  </si>
  <si>
    <t>22/09/2004</t>
  </si>
  <si>
    <t>Huỳnh Dĩ</t>
  </si>
  <si>
    <t>13DHDB01</t>
  </si>
  <si>
    <t>Trần Chí Hải</t>
  </si>
  <si>
    <t>Lê Thị Vân</t>
  </si>
  <si>
    <t>Nguyễn Đức Phương</t>
  </si>
  <si>
    <t>20/11/1999</t>
  </si>
  <si>
    <t>Phạm Tuấn</t>
  </si>
  <si>
    <t>Phan Thị Mộng</t>
  </si>
  <si>
    <t>Võ Trâm</t>
  </si>
  <si>
    <t>26/10/2003</t>
  </si>
  <si>
    <t>Lê Cung</t>
  </si>
  <si>
    <t>Đỉnh</t>
  </si>
  <si>
    <t>Trịnh Minh</t>
  </si>
  <si>
    <t>Đức</t>
  </si>
  <si>
    <t>26/04/2004</t>
  </si>
  <si>
    <t>Trần Trí</t>
  </si>
  <si>
    <t>Dũng</t>
  </si>
  <si>
    <t>Giàu</t>
  </si>
  <si>
    <t>Lê Thị Thu</t>
  </si>
  <si>
    <t>Lê Bảo</t>
  </si>
  <si>
    <t>Lê Quan Thái</t>
  </si>
  <si>
    <t>Ngô Thị Thúy</t>
  </si>
  <si>
    <t>Phạm Thị Phượng</t>
  </si>
  <si>
    <t>Nguyễn Thị</t>
  </si>
  <si>
    <t>Hồng</t>
  </si>
  <si>
    <t>Võ Huỳnh</t>
  </si>
  <si>
    <t>Lê Thị Như</t>
  </si>
  <si>
    <t>27/08/2004</t>
  </si>
  <si>
    <t>Nguyễn Trần Minh</t>
  </si>
  <si>
    <t>Trần Huỳnh Phúc</t>
  </si>
  <si>
    <t>Võ Thiện</t>
  </si>
  <si>
    <t>Nguyễn Cẩm</t>
  </si>
  <si>
    <t>Đỗ Thị Hồng</t>
  </si>
  <si>
    <t>Mơ</t>
  </si>
  <si>
    <t>Nguyễn Trà</t>
  </si>
  <si>
    <t>Trần Diễm Quỳnh</t>
  </si>
  <si>
    <t>Đặng Thị Thu</t>
  </si>
  <si>
    <t>20/02/2004</t>
  </si>
  <si>
    <t>Phạm Vũ Kim</t>
  </si>
  <si>
    <t>Nguyễn Ngọc Xuân</t>
  </si>
  <si>
    <t>23/07/2004</t>
  </si>
  <si>
    <t>Đào Minh Bảo</t>
  </si>
  <si>
    <t>28/12/2004</t>
  </si>
  <si>
    <t>Nguyễn Hoàng Thảo</t>
  </si>
  <si>
    <t>Nguyễn Hữu</t>
  </si>
  <si>
    <t>Nguyễn Kiều</t>
  </si>
  <si>
    <t>Nhung</t>
  </si>
  <si>
    <t>Lê Công Tiến</t>
  </si>
  <si>
    <t>21/09/2004</t>
  </si>
  <si>
    <t>Nguyễn Trần Thái</t>
  </si>
  <si>
    <t>Sơn</t>
  </si>
  <si>
    <t>Nguyễn Ngọc Mai</t>
  </si>
  <si>
    <t>21/06/2004</t>
  </si>
  <si>
    <t>Ngô Ngọc Kim</t>
  </si>
  <si>
    <t>16/10/2004</t>
  </si>
  <si>
    <t>Võ Ngọc Phương</t>
  </si>
  <si>
    <t>21/01/2004</t>
  </si>
  <si>
    <t>Nguyễn Thị Phương</t>
  </si>
  <si>
    <t>Phan Ngọc Diễm</t>
  </si>
  <si>
    <t>Trần Sơn</t>
  </si>
  <si>
    <t>Tùng</t>
  </si>
  <si>
    <t>Vương Chỉ</t>
  </si>
  <si>
    <t>Trần Nguyễn Gia</t>
  </si>
  <si>
    <t>Vĩnh</t>
  </si>
  <si>
    <t>30/06/2004</t>
  </si>
  <si>
    <t>Phạm XuâN Thảo</t>
  </si>
  <si>
    <t>Tôn Lương Thanh</t>
  </si>
  <si>
    <t>Trần Nguyễn Quỳnh</t>
  </si>
  <si>
    <t>Lê Anh</t>
  </si>
  <si>
    <t>Lê Băng</t>
  </si>
  <si>
    <t>Băng</t>
  </si>
  <si>
    <t>28/04/2004</t>
  </si>
  <si>
    <t>Tô Ngọc Minh</t>
  </si>
  <si>
    <t>Điêu Võ Hồng</t>
  </si>
  <si>
    <t>Chiêu</t>
  </si>
  <si>
    <t>Nguyễn Lê Kỳ</t>
  </si>
  <si>
    <t>Bùi Thị Mỹ</t>
  </si>
  <si>
    <t>13DHTP_TD</t>
  </si>
  <si>
    <t>Vũ Thị Hường</t>
  </si>
  <si>
    <t>Nguyễn Thị Mỹ</t>
  </si>
  <si>
    <t>21/11/2003</t>
  </si>
  <si>
    <t>27/03/2003</t>
  </si>
  <si>
    <t>20/01/2004</t>
  </si>
  <si>
    <t>Nguyễn Tử</t>
  </si>
  <si>
    <t>Trần Khánh</t>
  </si>
  <si>
    <t>Võ Thị Trúc</t>
  </si>
  <si>
    <t>Nguyễn Lê Thiên</t>
  </si>
  <si>
    <t>Nguyễn Hoàng Bảo</t>
  </si>
  <si>
    <t>15/07/2004</t>
  </si>
  <si>
    <t>Chương Thị Bảo</t>
  </si>
  <si>
    <t>28/10/2004</t>
  </si>
  <si>
    <t>Lương Thị Thúy</t>
  </si>
  <si>
    <t>Nhài</t>
  </si>
  <si>
    <t>Hồ Ngọc Yến</t>
  </si>
  <si>
    <t>Đoàn Ngọc Lan</t>
  </si>
  <si>
    <t>Vũ Minh</t>
  </si>
  <si>
    <t>Tấn</t>
  </si>
  <si>
    <t>Ngô Phương</t>
  </si>
  <si>
    <t>Huỳnh Ngọc Anh</t>
  </si>
  <si>
    <t>Nguyễn Anh</t>
  </si>
  <si>
    <t>Nguyễn Hoàn Phương</t>
  </si>
  <si>
    <t>20/11/2004</t>
  </si>
  <si>
    <t>Đồng Thành</t>
  </si>
  <si>
    <t>Hà Phạm Kim</t>
  </si>
  <si>
    <t>29/03/2004</t>
  </si>
  <si>
    <t>Lã Thị Yến</t>
  </si>
  <si>
    <t>Trần Dĩ</t>
  </si>
  <si>
    <t>Nguyễn Ngọc Lan</t>
  </si>
  <si>
    <t>29/06/2004</t>
  </si>
  <si>
    <t>Võ Lương Giao</t>
  </si>
  <si>
    <t>Đồng Thị Hải</t>
  </si>
  <si>
    <t>Võ Trần Nhật</t>
  </si>
  <si>
    <t>Đông</t>
  </si>
  <si>
    <t>Đặng Thị Thuỳ</t>
  </si>
  <si>
    <t>22/08/2001</t>
  </si>
  <si>
    <t>Nguyễn Huỳnh Ngọc</t>
  </si>
  <si>
    <t>Hồ Tấn</t>
  </si>
  <si>
    <t>19/02/2004</t>
  </si>
  <si>
    <t>Nguyễn Ngọc Đăng</t>
  </si>
  <si>
    <t>Huỳnh Nữ Khánh</t>
  </si>
  <si>
    <t>Phạm Thị Phương</t>
  </si>
  <si>
    <t>Trần Thị Thùy</t>
  </si>
  <si>
    <t>20/09/2004</t>
  </si>
  <si>
    <t>Đặng Thảo</t>
  </si>
  <si>
    <t>20/12/2004</t>
  </si>
  <si>
    <t>Trần Huỳnh Ái</t>
  </si>
  <si>
    <t>27/06/2004</t>
  </si>
  <si>
    <t>Trần Đình Minh</t>
  </si>
  <si>
    <t>Phan Nguyễn Bình</t>
  </si>
  <si>
    <t>Đỗ Minh</t>
  </si>
  <si>
    <t>Trần Quỳnh</t>
  </si>
  <si>
    <t>Lâm Tiểu</t>
  </si>
  <si>
    <t>Huỳnh Minh</t>
  </si>
  <si>
    <t>Phan Thị Diệu</t>
  </si>
  <si>
    <t>Liêu Thị Thanh</t>
  </si>
  <si>
    <t>Phan Thị Vân</t>
  </si>
  <si>
    <t>Trịnh Hoàng</t>
  </si>
  <si>
    <t>Trần Đặng Yến</t>
  </si>
  <si>
    <t>Phùng Ngọc Thảo</t>
  </si>
  <si>
    <t>Châu Nguyên</t>
  </si>
  <si>
    <t>Mai Lâm Thuỳ</t>
  </si>
  <si>
    <t>Nguyễn Phạm Thanh</t>
  </si>
  <si>
    <t>26/08/2004</t>
  </si>
  <si>
    <t>Nguyễn Thị Thảo</t>
  </si>
  <si>
    <t>Lê Thành</t>
  </si>
  <si>
    <t>Hồng</t>
  </si>
  <si>
    <t>13/08/2004</t>
  </si>
  <si>
    <t>Kim</t>
  </si>
  <si>
    <t>Mỹ</t>
  </si>
  <si>
    <t>Nguyễn Thúy</t>
  </si>
  <si>
    <t>13/03/2004</t>
  </si>
  <si>
    <t>15/04/2004</t>
  </si>
  <si>
    <t>Phạm Thị Thu</t>
  </si>
  <si>
    <t>Nguyễn Trung</t>
  </si>
  <si>
    <t>Công ty TNHH Yakult Việt Nam</t>
  </si>
  <si>
    <t>Công ty CP Acecook Việt Nam</t>
  </si>
  <si>
    <t>Công ty TNHH Kewpie Việt Nam</t>
  </si>
  <si>
    <t>CÔNG TY CỔ PHẦN ĐẦU TƯ VÀ THƯƠNG MẠI SATORI</t>
  </si>
  <si>
    <t>Công ty TNHH Ajinomoto Việt Nam - Nhà máy Long Thành</t>
  </si>
  <si>
    <t>Công ty TNHH Ajinomoto Việt Nam - Nhà máy Biên Hòa</t>
  </si>
  <si>
    <t>THỐNG KÊ NGÂN HÀNG CÂU HỎI KIẾN TẬP</t>
  </si>
  <si>
    <t>Nhà máy</t>
  </si>
  <si>
    <t>Số lượng câu hỏi hiện có</t>
  </si>
  <si>
    <t>Xin bổ sung</t>
  </si>
  <si>
    <t>Tổng quan nhà máy</t>
  </si>
  <si>
    <t>Quy trình, công nghệ</t>
  </si>
  <si>
    <t>Điều kiện ATTP</t>
  </si>
  <si>
    <t>Yakult</t>
  </si>
  <si>
    <t>Kewpie</t>
  </si>
  <si>
    <t>Ajinomoto Biên Hòa</t>
  </si>
  <si>
    <t>Ajinomoto Long Thành</t>
  </si>
  <si>
    <t>Heineken</t>
  </si>
  <si>
    <t>Nutifood</t>
  </si>
  <si>
    <r>
      <t xml:space="preserve">DANH SÁCH SINH VIÊN KHÓA 13 THỰC HIỆN HỌC PHẦN KIẾN TẬP
</t>
    </r>
    <r>
      <rPr>
        <b/>
        <sz val="12"/>
        <color indexed="8"/>
        <rFont val="Times New Roman"/>
        <family val="1"/>
      </rPr>
      <t>Năm học 2024-2025</t>
    </r>
  </si>
  <si>
    <t>Mã HS-SV</t>
  </si>
  <si>
    <t>Họ đệm</t>
  </si>
  <si>
    <t>Ngày sinh</t>
  </si>
  <si>
    <t>Lớp học</t>
  </si>
  <si>
    <t>01/03/2004</t>
  </si>
  <si>
    <t>11/01/2004</t>
  </si>
  <si>
    <t>07/11/2004</t>
  </si>
  <si>
    <t>08/09/2004</t>
  </si>
  <si>
    <t>06/10/2004</t>
  </si>
  <si>
    <t>07/04/2004</t>
  </si>
  <si>
    <t>01/02/2004</t>
  </si>
  <si>
    <t>02/02/2004</t>
  </si>
  <si>
    <t>07/07/2004</t>
  </si>
  <si>
    <t>06/07/2004</t>
  </si>
  <si>
    <t>Hà Nguyễn Huy</t>
  </si>
  <si>
    <t>29/03/2003</t>
  </si>
  <si>
    <t>03/02/2004</t>
  </si>
  <si>
    <t>08/11/2004</t>
  </si>
  <si>
    <t>Phan Vĩnh</t>
  </si>
  <si>
    <t>04/02/2004</t>
  </si>
  <si>
    <t>05/01/2004</t>
  </si>
  <si>
    <t>09/02/2004</t>
  </si>
  <si>
    <t>08/07/2004</t>
  </si>
  <si>
    <t>01/01/2004</t>
  </si>
  <si>
    <t>04/01/2004</t>
  </si>
  <si>
    <t>01/11/2004</t>
  </si>
  <si>
    <t>03/01/2004</t>
  </si>
  <si>
    <t>Diệp Huỳnh Anh</t>
  </si>
  <si>
    <t>03/05/2004</t>
  </si>
  <si>
    <t>04/06/2004</t>
  </si>
  <si>
    <t>11/10/2004</t>
  </si>
  <si>
    <t>12/09/2004</t>
  </si>
  <si>
    <t>Lư Vinh</t>
  </si>
  <si>
    <t>01/10/2004</t>
  </si>
  <si>
    <t>Võ Chí</t>
  </si>
  <si>
    <t>07/12/2004</t>
  </si>
  <si>
    <t>08/06/2004</t>
  </si>
  <si>
    <t>Đặng Thành</t>
  </si>
  <si>
    <t>Long</t>
  </si>
  <si>
    <t>12/05/2004</t>
  </si>
  <si>
    <t>02/10/2004</t>
  </si>
  <si>
    <t>08/04/2004</t>
  </si>
  <si>
    <t>04/07/2004</t>
  </si>
  <si>
    <t>01/09/2004</t>
  </si>
  <si>
    <t>09/06/2004</t>
  </si>
  <si>
    <t>12/12/2004</t>
  </si>
  <si>
    <t>02/04/2004</t>
  </si>
  <si>
    <t>09/12/2004</t>
  </si>
  <si>
    <t>07/09/2004</t>
  </si>
  <si>
    <t>02/01/2004</t>
  </si>
  <si>
    <t>Ngô Hoàng Quế</t>
  </si>
  <si>
    <t>10/12/2004</t>
  </si>
  <si>
    <t>05/11/2004</t>
  </si>
  <si>
    <t>03/12/2004</t>
  </si>
  <si>
    <t>07/02/2004</t>
  </si>
  <si>
    <t>Lê</t>
  </si>
  <si>
    <t>Xuyên</t>
  </si>
  <si>
    <t>08/10/2004</t>
  </si>
  <si>
    <t>Huỳnh Ngọc Minh</t>
  </si>
  <si>
    <t>12/04/2004</t>
  </si>
  <si>
    <t>Nguyễn Bình Phương</t>
  </si>
  <si>
    <t>Huỳnh Kỳ</t>
  </si>
  <si>
    <t>Dĩnh</t>
  </si>
  <si>
    <t>19/06/2001</t>
  </si>
  <si>
    <t>Tạ Phạm Anh</t>
  </si>
  <si>
    <t>Nguyễn Châu Bảo</t>
  </si>
  <si>
    <t>12/11/2004</t>
  </si>
  <si>
    <t>05/12/2004</t>
  </si>
  <si>
    <t>10/01/2004</t>
  </si>
  <si>
    <t>Ngô Hữu</t>
  </si>
  <si>
    <t>Kháng</t>
  </si>
  <si>
    <t>Trần Thị Minh</t>
  </si>
  <si>
    <t>30/10/2004</t>
  </si>
  <si>
    <t>Trịnh Thị Quỳnh</t>
  </si>
  <si>
    <t>07/05/2004</t>
  </si>
  <si>
    <t>Dương Châu</t>
  </si>
  <si>
    <t>Nhàn</t>
  </si>
  <si>
    <t>06/08/2004</t>
  </si>
  <si>
    <t>Tống Yến</t>
  </si>
  <si>
    <t>11/03/2004</t>
  </si>
  <si>
    <t>Chung Hoàng Thảo</t>
  </si>
  <si>
    <t>10/10/2004</t>
  </si>
  <si>
    <t>Bùi Phạm Quỳnh</t>
  </si>
  <si>
    <t>06/05/2004</t>
  </si>
  <si>
    <t>Nguyễn Ngọc Yến</t>
  </si>
  <si>
    <t>03/11/2004</t>
  </si>
  <si>
    <t>Dương Ngọc Quỳnh</t>
  </si>
  <si>
    <t>29/07/2004</t>
  </si>
  <si>
    <t>Đào Thị Mỹ</t>
  </si>
  <si>
    <t>24/02/2003</t>
  </si>
  <si>
    <t>Phạm Duy</t>
  </si>
  <si>
    <t>12/01/2004</t>
  </si>
  <si>
    <t>10/08/2004</t>
  </si>
  <si>
    <t>12/10/2004</t>
  </si>
  <si>
    <t>Đoàn Thị Ngọc</t>
  </si>
  <si>
    <t>Thơm</t>
  </si>
  <si>
    <t>07/06/2004</t>
  </si>
  <si>
    <t>Bùi Thị Cẩm</t>
  </si>
  <si>
    <t>18/05/2004</t>
  </si>
  <si>
    <t>Lê Thùy</t>
  </si>
  <si>
    <t>08/02/2004</t>
  </si>
  <si>
    <t>Phan Thị Mỹ</t>
  </si>
  <si>
    <t>16/08/2004</t>
  </si>
  <si>
    <t>Trần Thị Hà</t>
  </si>
  <si>
    <t>12/08/2004</t>
  </si>
  <si>
    <t>13/04/2004</t>
  </si>
  <si>
    <t>Bùi Thị Thùy</t>
  </si>
  <si>
    <t>12/07/2004</t>
  </si>
  <si>
    <t>Nguyễn Nhật</t>
  </si>
  <si>
    <t>14/08/2004</t>
  </si>
  <si>
    <t>Lữ Thành</t>
  </si>
  <si>
    <t>Chương</t>
  </si>
  <si>
    <t>Trương Hồ Kim</t>
  </si>
  <si>
    <t>03/06/2004</t>
  </si>
  <si>
    <t>Lâm Thùy</t>
  </si>
  <si>
    <t>27/01/2004</t>
  </si>
  <si>
    <t>Đinh Thanh</t>
  </si>
  <si>
    <t>03/10/2004</t>
  </si>
  <si>
    <t>Đỗ Huỳnh</t>
  </si>
  <si>
    <t>Lâm Hoàng</t>
  </si>
  <si>
    <t>Trần Anh Mai</t>
  </si>
  <si>
    <t>06/01/2004</t>
  </si>
  <si>
    <t>Đỗ Thanh</t>
  </si>
  <si>
    <t>10/09/2004</t>
  </si>
  <si>
    <t>Huỳnh Thị Bích</t>
  </si>
  <si>
    <t>Nguyễn Bùi Thảo</t>
  </si>
  <si>
    <t>Dương Kim</t>
  </si>
  <si>
    <t>09/10/2004</t>
  </si>
  <si>
    <t>Đỗ Như</t>
  </si>
  <si>
    <t>18/03/2004</t>
  </si>
  <si>
    <t>Phạm Thị Hồng</t>
  </si>
  <si>
    <t>21/08/2003</t>
  </si>
  <si>
    <t>Hoàng Thị Phương</t>
  </si>
  <si>
    <t>26/12/2004</t>
  </si>
  <si>
    <t>Phan Thị</t>
  </si>
  <si>
    <t>Vương Mỹ Anh</t>
  </si>
  <si>
    <t>Nguyễn Phan Hoài</t>
  </si>
  <si>
    <t>19/06/2004</t>
  </si>
  <si>
    <t>Huỳnh Đỗ Oanh</t>
  </si>
  <si>
    <t>Ngô Thụy Thủy</t>
  </si>
  <si>
    <t>05/05/2003</t>
  </si>
  <si>
    <t>Tiền</t>
  </si>
  <si>
    <t>Lê Công Anh</t>
  </si>
  <si>
    <t>01/05/2004</t>
  </si>
  <si>
    <t>04/10/2004</t>
  </si>
  <si>
    <t>Lại Thị Ý</t>
  </si>
  <si>
    <t>Viên</t>
  </si>
  <si>
    <t>Nguyễn Như</t>
  </si>
  <si>
    <t>Lê Hoàng Phương</t>
  </si>
  <si>
    <t>Lương Thị Hải</t>
  </si>
  <si>
    <t>06/12/2004</t>
  </si>
  <si>
    <t>Nguyễn Phúc Hoàng</t>
  </si>
  <si>
    <t>02/02/2003</t>
  </si>
  <si>
    <t>Huỳnh A</t>
  </si>
  <si>
    <t>Nguyễn Lê Hồng</t>
  </si>
  <si>
    <t>Đỗ Ngọc Thùy</t>
  </si>
  <si>
    <t>Trần Thị Cao</t>
  </si>
  <si>
    <t>02/09/2004</t>
  </si>
  <si>
    <t>Quách Nguyễn Trung</t>
  </si>
  <si>
    <t>10/06/2004</t>
  </si>
  <si>
    <t>21/04/2004</t>
  </si>
  <si>
    <t>Nguyễn Thương</t>
  </si>
  <si>
    <t>Nguyễn Thảo</t>
  </si>
  <si>
    <t>Đỗ Ngọc Ái</t>
  </si>
  <si>
    <t>Vũ Thanh</t>
  </si>
  <si>
    <t>Huỳnh Nguyễn Thị Yến</t>
  </si>
  <si>
    <t>09/09/2004</t>
  </si>
  <si>
    <t>Trương Duy</t>
  </si>
  <si>
    <t>Niên</t>
  </si>
  <si>
    <t>10/07/2004</t>
  </si>
  <si>
    <t>03/03/2004</t>
  </si>
  <si>
    <t>04/05/2004</t>
  </si>
  <si>
    <t>Võ Ngọc Mỹ</t>
  </si>
  <si>
    <t>26/03/2004</t>
  </si>
  <si>
    <t>Võ Lê Minh</t>
  </si>
  <si>
    <t>Vũ Lan</t>
  </si>
  <si>
    <t>Trần Lê Hoài</t>
  </si>
  <si>
    <t>Trần Thị Hoài</t>
  </si>
  <si>
    <t>Đỗ Thị Bích</t>
  </si>
  <si>
    <t>12/03/2004</t>
  </si>
  <si>
    <t>07/01/2004</t>
  </si>
  <si>
    <t>Phạm Thanh</t>
  </si>
  <si>
    <t>11/09/2004</t>
  </si>
  <si>
    <t>Trịnh Hoàng Thanh</t>
  </si>
  <si>
    <t>Kiều Thảo</t>
  </si>
  <si>
    <t>12/06/2004</t>
  </si>
  <si>
    <t>Cao Nguyễn Tường</t>
  </si>
  <si>
    <t>Nguyễn Hoàng Như</t>
  </si>
  <si>
    <t>Đinh Thị Như</t>
  </si>
  <si>
    <t>24/10/2004</t>
  </si>
  <si>
    <t>03/08/2004</t>
  </si>
  <si>
    <t>Dương Thị Linh</t>
  </si>
  <si>
    <t>Hà Đinh Thế</t>
  </si>
  <si>
    <t>29/10/2004</t>
  </si>
  <si>
    <t>Hồ Thị Mỹ</t>
  </si>
  <si>
    <t>25/04/2004</t>
  </si>
  <si>
    <t>21/03/2004</t>
  </si>
  <si>
    <t>Võ Huy</t>
  </si>
  <si>
    <t>Nguyễn Liên Bội</t>
  </si>
  <si>
    <t>Phan Thị Nhật</t>
  </si>
  <si>
    <t>Lệ</t>
  </si>
  <si>
    <t>Nguyễn Hoàng Nhật</t>
  </si>
  <si>
    <t>Huỳnh Khánh</t>
  </si>
  <si>
    <t>03/09/2004</t>
  </si>
  <si>
    <t>06/09/2004</t>
  </si>
  <si>
    <t>Phạm Chúc</t>
  </si>
  <si>
    <t>Lợi</t>
  </si>
  <si>
    <t>Lỗ Thị Kiều</t>
  </si>
  <si>
    <t>Lê Quốc</t>
  </si>
  <si>
    <t>Nguyễn Hoài</t>
  </si>
  <si>
    <t>Nguyễn Trần Mỹ</t>
  </si>
  <si>
    <t>Lê Thị Kim</t>
  </si>
  <si>
    <t>04/08/2004</t>
  </si>
  <si>
    <t>Pháp</t>
  </si>
  <si>
    <t>Trần Lê Uyên</t>
  </si>
  <si>
    <t>Võ Anh</t>
  </si>
  <si>
    <t>Nguyễn Thị Như</t>
  </si>
  <si>
    <t>Võ Ngọc Minh</t>
  </si>
  <si>
    <t>21/02/2004</t>
  </si>
  <si>
    <t>Đặng Trần Hoài</t>
  </si>
  <si>
    <t>02/05/2004</t>
  </si>
  <si>
    <t>Võ Thị Bích</t>
  </si>
  <si>
    <t>Nguyễn Ánh</t>
  </si>
  <si>
    <t>Lê Hoàng Ngọc</t>
  </si>
  <si>
    <t>Nguyễn Lưu Hoài</t>
  </si>
  <si>
    <t>Ưng Hoài</t>
  </si>
  <si>
    <t>Hoàng Đức</t>
  </si>
  <si>
    <t>Trí</t>
  </si>
  <si>
    <t>05/08/2004</t>
  </si>
  <si>
    <t>Trương Thanh</t>
  </si>
  <si>
    <t>Phạm Ngọc Lan</t>
  </si>
  <si>
    <t>09/01/2004</t>
  </si>
  <si>
    <t>07/08/2004</t>
  </si>
  <si>
    <t>03/04/2004</t>
  </si>
  <si>
    <t>10/04/2004</t>
  </si>
  <si>
    <t>Đào Thị Thùy</t>
  </si>
  <si>
    <t>12/02/2004</t>
  </si>
  <si>
    <t>05/03/2004</t>
  </si>
  <si>
    <t>11/07/2004</t>
  </si>
  <si>
    <t>09/03/2004</t>
  </si>
  <si>
    <t>06/11/2004</t>
  </si>
  <si>
    <t>11/11/2004</t>
  </si>
  <si>
    <t>Thượng Thị Hồng</t>
  </si>
  <si>
    <t>06/09/1999</t>
  </si>
  <si>
    <t>11/02/2004</t>
  </si>
  <si>
    <t>08/01/2004</t>
  </si>
  <si>
    <t>06/02/2004</t>
  </si>
  <si>
    <t>Từ Ngọc Mỹ</t>
  </si>
  <si>
    <t>11/12/2004</t>
  </si>
  <si>
    <t>Trần Ngọc Minh</t>
  </si>
  <si>
    <t>Lê Quỳnh</t>
  </si>
  <si>
    <t>04/12/2004</t>
  </si>
  <si>
    <t>Lê Nguyễn Hoàng</t>
  </si>
  <si>
    <t>08/08/2004</t>
  </si>
  <si>
    <t>10/03/2004</t>
  </si>
  <si>
    <t>08/03/2004</t>
  </si>
  <si>
    <t>11/05/2004</t>
  </si>
  <si>
    <t>Tạ Nhật Đan</t>
  </si>
  <si>
    <t>09/08/2004</t>
  </si>
  <si>
    <t>10/05/2004</t>
  </si>
  <si>
    <t>05/09/2004</t>
  </si>
  <si>
    <t>TrưƠNg Quốc</t>
  </si>
  <si>
    <t>10/11/2004</t>
  </si>
  <si>
    <t>Hứa Thảo</t>
  </si>
  <si>
    <t>06/03/2004</t>
  </si>
  <si>
    <t>03/07/2004</t>
  </si>
  <si>
    <t>Bùi Duy</t>
  </si>
  <si>
    <t>Tân</t>
  </si>
  <si>
    <t>Thạch Thị Thanh</t>
  </si>
  <si>
    <t>Bơ Nah Ria Prong</t>
  </si>
  <si>
    <t>Võ Đức</t>
  </si>
  <si>
    <t>01/08/2004</t>
  </si>
  <si>
    <t>Nguyễn Lương Tiến</t>
  </si>
  <si>
    <t>09/11/2004</t>
  </si>
  <si>
    <t>Ông Tiến</t>
  </si>
  <si>
    <t>Đặng Ngọc Phương</t>
  </si>
  <si>
    <t>Nguyễn Công</t>
  </si>
  <si>
    <t>Nguyễn Cửu</t>
  </si>
  <si>
    <t>Huân</t>
  </si>
  <si>
    <t>Ngô Yên</t>
  </si>
  <si>
    <t>13/07/2004</t>
  </si>
  <si>
    <t>Lê Nguyễn Anh</t>
  </si>
  <si>
    <t>02/07/2004</t>
  </si>
  <si>
    <t>01/06/2004</t>
  </si>
  <si>
    <t>Bùi Văn</t>
  </si>
  <si>
    <t>Thoại</t>
  </si>
  <si>
    <t>Triệu</t>
  </si>
  <si>
    <t>17/08/2004</t>
  </si>
  <si>
    <t>Đào Duy</t>
  </si>
  <si>
    <t>08/05/2004</t>
  </si>
  <si>
    <t>Từ Khánh</t>
  </si>
  <si>
    <t>Đan</t>
  </si>
  <si>
    <t>29/08/2004</t>
  </si>
  <si>
    <t>Dịu</t>
  </si>
  <si>
    <t>11/08/2004</t>
  </si>
  <si>
    <t>Chung Khánh</t>
  </si>
  <si>
    <t>Phạm Tấn</t>
  </si>
  <si>
    <t>Lực</t>
  </si>
  <si>
    <t>02/03/2004</t>
  </si>
  <si>
    <t>Khấu Hoàng Thiên</t>
  </si>
  <si>
    <t>08/12/2004</t>
  </si>
  <si>
    <t>06/04/2004</t>
  </si>
  <si>
    <t>Phạm Thúy</t>
  </si>
  <si>
    <t>Mai Thị Kim</t>
  </si>
  <si>
    <t>Diểm</t>
  </si>
  <si>
    <t>Phạm Ngọc</t>
  </si>
  <si>
    <t>Ông Anh Uyên</t>
  </si>
  <si>
    <t>02/04/2003</t>
  </si>
  <si>
    <t>03/07/2003</t>
  </si>
  <si>
    <t>10/02/2004</t>
  </si>
  <si>
    <t>Lê Hoàng Như</t>
  </si>
  <si>
    <t>02/11/2004</t>
  </si>
  <si>
    <t>Lý Phan Anh</t>
  </si>
  <si>
    <t>Quang</t>
  </si>
  <si>
    <t>Nguyễn Song An</t>
  </si>
  <si>
    <t>31/01/2004</t>
  </si>
  <si>
    <t>Đặng Khanh</t>
  </si>
  <si>
    <t>DƯƠNG HOÀNG TUẤN</t>
  </si>
  <si>
    <t>11DHTP_KS</t>
  </si>
  <si>
    <t>Võ Vân</t>
  </si>
  <si>
    <t>12DHTP07</t>
  </si>
  <si>
    <t>06/02/2003</t>
  </si>
  <si>
    <t>Đỗ Trường</t>
  </si>
  <si>
    <t>23/04/2003</t>
  </si>
  <si>
    <t>Ngô Quang</t>
  </si>
  <si>
    <t>28/10/2003</t>
  </si>
  <si>
    <t>Nguyễn Viết Nhật</t>
  </si>
  <si>
    <t>12DHTP03</t>
  </si>
  <si>
    <t>Kiên</t>
  </si>
  <si>
    <t>12DHQTTP03</t>
  </si>
  <si>
    <t>18/08/2003</t>
  </si>
  <si>
    <t>Đinh Minh</t>
  </si>
  <si>
    <t>Nhã</t>
  </si>
  <si>
    <t>17/05/2003</t>
  </si>
  <si>
    <t>12DHTP02</t>
  </si>
  <si>
    <t>Lê Thị Quỳnh</t>
  </si>
  <si>
    <t>08/09/2003</t>
  </si>
  <si>
    <t>12/10/2003</t>
  </si>
  <si>
    <t>Đặng Minh</t>
  </si>
  <si>
    <t>21/06/2003</t>
  </si>
  <si>
    <t>Đinh Nguyễn Quang</t>
  </si>
  <si>
    <t>14/03/2003</t>
  </si>
  <si>
    <t>Lê Hoàng Khánh</t>
  </si>
  <si>
    <t>03/09/2003</t>
  </si>
  <si>
    <t>10/05/2003</t>
  </si>
  <si>
    <t>02/09/2003</t>
  </si>
  <si>
    <t>Lưu Nguyễn Quế</t>
  </si>
  <si>
    <t>08/02/2003</t>
  </si>
  <si>
    <t>Phạm Minh</t>
  </si>
  <si>
    <t>08/07/2003</t>
  </si>
  <si>
    <t>Huỳnh Ngọc Yến</t>
  </si>
  <si>
    <t>07/01/2003</t>
  </si>
  <si>
    <t>09/09/2001</t>
  </si>
  <si>
    <t>01/08/2003</t>
  </si>
  <si>
    <t>Phan Thanh</t>
  </si>
  <si>
    <t>08/05/2003</t>
  </si>
  <si>
    <t>12DHTP_TD</t>
  </si>
  <si>
    <t>Nguyễn Ngọc Thảo</t>
  </si>
  <si>
    <t>25/09/2003</t>
  </si>
  <si>
    <t xml:space="preserve"> </t>
  </si>
  <si>
    <t xml:space="preserve">TỔNG HỢP TÌNH HÌNH SINH VIÊN THAM QUAN NHÀ MÁY
</t>
  </si>
  <si>
    <t>MSSV</t>
  </si>
  <si>
    <t>HỌ VÀ TÊN</t>
  </si>
  <si>
    <t>LỚP</t>
  </si>
  <si>
    <t>SỐ LƯỢNG</t>
  </si>
  <si>
    <t>NHÀ MÁY THAM QUAN 4</t>
  </si>
  <si>
    <t>NHÀ MÁY THAM QUAN 5</t>
  </si>
  <si>
    <t>Bibica</t>
  </si>
  <si>
    <t>Offline</t>
  </si>
  <si>
    <t>Acecook</t>
  </si>
  <si>
    <t>Satori</t>
  </si>
  <si>
    <t>Aeon</t>
  </si>
  <si>
    <t>Yakullt</t>
  </si>
  <si>
    <t>Vinaken</t>
  </si>
  <si>
    <t>11DHTP06</t>
  </si>
  <si>
    <t>Trần Phúc</t>
  </si>
  <si>
    <t>11DHTP05</t>
  </si>
  <si>
    <t xml:space="preserve">Acecook </t>
  </si>
  <si>
    <t>Offlie</t>
  </si>
  <si>
    <t>Yaklut</t>
  </si>
  <si>
    <t>Phạm Thị Bích</t>
  </si>
  <si>
    <t>11DHTP02</t>
  </si>
  <si>
    <t>NHÀ MÁY THAM QUAN 1</t>
  </si>
  <si>
    <t>NHÀ MÁY THAM QUAN 2</t>
  </si>
  <si>
    <t>NHÀ MÁY THAM QUAN 3</t>
  </si>
  <si>
    <t>Đỗ Ngọc Ái Mỹ</t>
  </si>
  <si>
    <t>do Trường tổ chức</t>
  </si>
  <si>
    <t>trực tiếp (offline)</t>
  </si>
  <si>
    <t>trực tuyến (online)</t>
  </si>
  <si>
    <t>Đỗ Ngọc Thuỳ Dương</t>
  </si>
  <si>
    <t>Công ty TNHH Aeon Việt Nam</t>
  </si>
  <si>
    <t>Đỗ Như Quỳnh</t>
  </si>
  <si>
    <t>tự do</t>
  </si>
  <si>
    <t>Đỗ Thị Bích Thủy</t>
  </si>
  <si>
    <t>Hồ Hải Lưu</t>
  </si>
  <si>
    <t>Hoàng Thị Phương Thảo</t>
  </si>
  <si>
    <t>Huỳnh Đỗ Oanh Thy</t>
  </si>
  <si>
    <t>Huỳnh Nguyễn Thị Yến Nhi</t>
  </si>
  <si>
    <t>Huỳnh Thị Ngọc Hương</t>
  </si>
  <si>
    <t>Huỳnh Thị Ngọc Trâm</t>
  </si>
  <si>
    <t>Lại Thị Ý Viên</t>
  </si>
  <si>
    <t>Lê Công Anh Tuấn</t>
  </si>
  <si>
    <t>LÊ HOÀNG PHƯƠNG YÊN</t>
  </si>
  <si>
    <t>Lê Nhất Nam</t>
  </si>
  <si>
    <t>Lê Nhật Tâm</t>
  </si>
  <si>
    <t>Lê Thảo Trân</t>
  </si>
  <si>
    <t>Lê Thị Ngọc Linh</t>
  </si>
  <si>
    <t>Lương Thị Hải Yến</t>
  </si>
  <si>
    <t>Lương Văn Hoà</t>
  </si>
  <si>
    <t>Lương Văn Hòa</t>
  </si>
  <si>
    <t>Mai Anh Đào</t>
  </si>
  <si>
    <t>Nhà máy Bia Heineken Việt Nam</t>
  </si>
  <si>
    <t>Ngô Thụy Thủy Tiên</t>
  </si>
  <si>
    <t>Nguyễn Chánh Tín</t>
  </si>
  <si>
    <t>Nguyễn Hà Phương Nghi</t>
  </si>
  <si>
    <t>Nguyễn Hoàng Phúc</t>
  </si>
  <si>
    <t>Nguyễn Ngọc Phương Thy</t>
  </si>
  <si>
    <t>Nguyễn Ngọc Thịnh</t>
  </si>
  <si>
    <t>Nguyễn Phan Hoài Thương</t>
  </si>
  <si>
    <t>Nguyễn Thảo My</t>
  </si>
  <si>
    <t>Nguyễn Thị Hoài Linh</t>
  </si>
  <si>
    <t>Nguyễn Thị Kim Ánh</t>
  </si>
  <si>
    <t>Nguyễn Thị Kim Yến</t>
  </si>
  <si>
    <t>Nguyễn Thị Sen</t>
  </si>
  <si>
    <t>Nguyễn Thương Huyền</t>
  </si>
  <si>
    <t>Nguyễn Thủy Tiên</t>
  </si>
  <si>
    <t>Nguyễn Trịnh Hồng Ny</t>
  </si>
  <si>
    <t>Nguyễn Trọng Quý</t>
  </si>
  <si>
    <t>Nguyễn Trúc Nhiên</t>
  </si>
  <si>
    <t>Phạm Thị Hồng Thắm</t>
  </si>
  <si>
    <t>Phạm Thị Kiều Yến</t>
  </si>
  <si>
    <t>Phạm Thuý Thục Quyên</t>
  </si>
  <si>
    <t>Phan Thị Kim Tiền</t>
  </si>
  <si>
    <t>Phan Thị Thơ</t>
  </si>
  <si>
    <t>Quách Ngọc Huyền Trân</t>
  </si>
  <si>
    <t>Quách Nguyễn Trung Hiếu</t>
  </si>
  <si>
    <t>Trần Gia Huy</t>
  </si>
  <si>
    <t>Trần Thanh Hương</t>
  </si>
  <si>
    <t>Trần Thị Cao Duyên</t>
  </si>
  <si>
    <t>Trần Thị Hoài Thương</t>
  </si>
  <si>
    <t>Trần Thị Trang</t>
  </si>
  <si>
    <t>Trần Thị Trọng Vi</t>
  </si>
  <si>
    <t>Trịnh Quang Sỷ</t>
  </si>
  <si>
    <t>Trương An Nhiên</t>
  </si>
  <si>
    <t>Trương Đức Cao Công Bản</t>
  </si>
  <si>
    <t>Văn Đinh Thái</t>
  </si>
  <si>
    <t>Văn Đình Thái</t>
  </si>
  <si>
    <t>Võ Dương Thương Hoài</t>
  </si>
  <si>
    <t>Võ Ngọc Mỹ Quỳnh</t>
  </si>
  <si>
    <t>Võ Thị Thanh Thảo</t>
  </si>
  <si>
    <t>Vũ Anh Thư</t>
  </si>
  <si>
    <t>Vũ Thanh Nga</t>
  </si>
  <si>
    <t>13ĐHQTTP03</t>
  </si>
  <si>
    <t>13ĐHQTTP02</t>
  </si>
  <si>
    <t>Bạch Thị Xuân Mai</t>
  </si>
  <si>
    <t>Bơ Nah Ria Prong Bích</t>
  </si>
  <si>
    <t>Tham quan nhà máy tự do</t>
  </si>
  <si>
    <t>Bùi Thị Trúc Linh</t>
  </si>
  <si>
    <t>Cao Trung Đạt</t>
  </si>
  <si>
    <t>Đặng Ngọc Phương Duyên</t>
  </si>
  <si>
    <t>Đặng Nhật Nam</t>
  </si>
  <si>
    <t>Đỗ Gia Huy</t>
  </si>
  <si>
    <t>Đỗ Nguyễn Anh Thư</t>
  </si>
  <si>
    <t>Đỗ Tiến Thịnh</t>
  </si>
  <si>
    <t>CÔNG TY CỔ PHẦN THÀNH THÀNH CÔNG - BIÊN HOÀ</t>
  </si>
  <si>
    <t>Dương Thanh Tài</t>
  </si>
  <si>
    <t>Hồ Phùng Thanh Doanh</t>
  </si>
  <si>
    <t>Hứa Nguyễn Yến Nhi</t>
  </si>
  <si>
    <t>Huỳnh Thảo Uyên</t>
  </si>
  <si>
    <t>Huỳnh Thị Như Quỳnh</t>
  </si>
  <si>
    <t>Lê Đồng Nguyệt Vy</t>
  </si>
  <si>
    <t>Lê Ngọc Hy</t>
  </si>
  <si>
    <t>LÊ NGỌC HY</t>
  </si>
  <si>
    <t>Lê Ngọc Như Khánh</t>
  </si>
  <si>
    <t>Lê Thị Hạ</t>
  </si>
  <si>
    <t>Nhà Máy Bibica Biên Hòa - Công Ty Cổ Phần Bibica</t>
  </si>
  <si>
    <t>Lê Thị Ngọc Ánh</t>
  </si>
  <si>
    <t>Lê Thiên Nhy</t>
  </si>
  <si>
    <t>Lữ Kim Ngân</t>
  </si>
  <si>
    <t>Lưu Hồng Ngọc</t>
  </si>
  <si>
    <t>Nguyễn Gia Bảo</t>
  </si>
  <si>
    <t>Nguyễn Ngọc Kim Hoàng</t>
  </si>
  <si>
    <t>Nguyễn Thái Bảo Ngọc</t>
  </si>
  <si>
    <t>Nguyễn Thị Hồng Hào</t>
  </si>
  <si>
    <t>Nguyễn Thị Hồng Phin</t>
  </si>
  <si>
    <t>Nguyễn Thị Hồng Thắm</t>
  </si>
  <si>
    <t>Nguyễn Thị Kim Ngân</t>
  </si>
  <si>
    <t>Nguyễn Thị Mỹ Kim</t>
  </si>
  <si>
    <t>Nguyễn Thị Thanh Ngân</t>
  </si>
  <si>
    <t>Nguyễn Thị Thuỳ Dương</t>
  </si>
  <si>
    <t>13dhtp04</t>
  </si>
  <si>
    <t>Nguyễn Thị Thúy Hiền</t>
  </si>
  <si>
    <t>Nguyễn Xuân Quỳnh</t>
  </si>
  <si>
    <t>Phạm Huỳnh Như Ngọc</t>
  </si>
  <si>
    <t>13ĐHTP03</t>
  </si>
  <si>
    <t>Phạm Thành Tài</t>
  </si>
  <si>
    <t>Phạm Thành Tài</t>
  </si>
  <si>
    <t>Phan Thị Kim Hần</t>
  </si>
  <si>
    <t>Phùng Thị Kim Oanh</t>
  </si>
  <si>
    <t>Phùng Thị Trang</t>
  </si>
  <si>
    <t>Quách Quân Doanh</t>
  </si>
  <si>
    <t>Thạch Thị Yến Nhi</t>
  </si>
  <si>
    <t>Thắng Mỹ Nguyên</t>
  </si>
  <si>
    <t>Tô Thị Kim Uyên</t>
  </si>
  <si>
    <t>Trà Gia Quý</t>
  </si>
  <si>
    <t>Trần Đình Đạt</t>
  </si>
  <si>
    <t>Trần Lê Thanh Vân</t>
  </si>
  <si>
    <t>Trần Thị Thanh Nghi</t>
  </si>
  <si>
    <t>Trần Thị Thu Phương</t>
  </si>
  <si>
    <t>Trần Thị Xuân Mai</t>
  </si>
  <si>
    <t>Trân Thị Xuân Nhi</t>
  </si>
  <si>
    <t>Trần Thị Xuân Nhi</t>
  </si>
  <si>
    <t>Trương Thị Thu Trinh</t>
  </si>
  <si>
    <t>Võ Ngọc Như Quỳnh</t>
  </si>
  <si>
    <t>Võ Thị Cẩm Liên</t>
  </si>
  <si>
    <t>Vũ Thị Thu Hảo</t>
  </si>
  <si>
    <t>Bùi Hoàng Long Vũ</t>
  </si>
  <si>
    <t>Bùi Thị Thu Hằng</t>
  </si>
  <si>
    <t>Chung Anh Thư</t>
  </si>
  <si>
    <t>Đặng Khanh Trân</t>
  </si>
  <si>
    <t>Đặng Minh Phương</t>
  </si>
  <si>
    <t>12DHQTTP3</t>
  </si>
  <si>
    <t>Đinh Minh Nhã</t>
  </si>
  <si>
    <t>Đinh Nguyễn Quang Tiến</t>
  </si>
  <si>
    <t>Đỗ Phạm Minh Thư</t>
  </si>
  <si>
    <t>Đoàn Thị Mỹ Duyên</t>
  </si>
  <si>
    <t>14DHTP06</t>
  </si>
  <si>
    <t>Dương Hoàng Tuấn Anh</t>
  </si>
  <si>
    <t>Dương Thị Anh Thư</t>
  </si>
  <si>
    <t>Dương Thị Thanh Liêm</t>
  </si>
  <si>
    <t>Hà Yến Vy</t>
  </si>
  <si>
    <t>Hoàng Thị Mai Uyên</t>
  </si>
  <si>
    <t>Huỳnh Ngọc Yến Nhi</t>
  </si>
  <si>
    <t>Huỳnh Quốc Cường</t>
  </si>
  <si>
    <t>Huỳnh Thị Kim Ngân</t>
  </si>
  <si>
    <t>Huỳnh Yến Nhi</t>
  </si>
  <si>
    <t>Khấu Hoàng Thiên Thư</t>
  </si>
  <si>
    <t>Lê Đoàn Yến nhi</t>
  </si>
  <si>
    <t>Lê Đoàn Yến Nhi</t>
  </si>
  <si>
    <t>Lê Hoàng Khánh Trân</t>
  </si>
  <si>
    <t>Lê Hoàng Minh Nhật</t>
  </si>
  <si>
    <t>Lê Minh Khánh</t>
  </si>
  <si>
    <t>Lê Phạm Bửu Xuân Tuyền</t>
  </si>
  <si>
    <t>Lê Quang Cảng</t>
  </si>
  <si>
    <t>Lê Thanh Thảo</t>
  </si>
  <si>
    <t>Lê Thị Lệ Thi</t>
  </si>
  <si>
    <t>12DHDB4</t>
  </si>
  <si>
    <t>Lê Thị Minh Yến</t>
  </si>
  <si>
    <t>Lê Thị Quỳnh Như</t>
  </si>
  <si>
    <t>12DHQTTP2</t>
  </si>
  <si>
    <t>Lê Võ Hồng Ngân</t>
  </si>
  <si>
    <t>Lều Thị Thu Trang</t>
  </si>
  <si>
    <t>12DHQTTP1</t>
  </si>
  <si>
    <t>12DHDB3</t>
  </si>
  <si>
    <t>Lưu Nguyễn Quế Hương</t>
  </si>
  <si>
    <t>Lưu Trung Hoà</t>
  </si>
  <si>
    <t>Lý Hoàng Hà My</t>
  </si>
  <si>
    <t>Lý Mỹ Huyền</t>
  </si>
  <si>
    <t>14DHDB01</t>
  </si>
  <si>
    <t>LÝ MỸ HUYỀN</t>
  </si>
  <si>
    <t>Ngô Quang Huy</t>
  </si>
  <si>
    <t>12DHQTTP4</t>
  </si>
  <si>
    <t>Nguyễn Đặng Vân Thy</t>
  </si>
  <si>
    <t>Nguyễn Đức Nhân</t>
  </si>
  <si>
    <t>Nguyễn Hoàng Thái</t>
  </si>
  <si>
    <t>Nguyễn Hồng Tuyết</t>
  </si>
  <si>
    <t>Nguyễn Kim Ngọc</t>
  </si>
  <si>
    <t>Nguyễn Mai Thanh</t>
  </si>
  <si>
    <t>Nguyễn Ngọc Kim Sang</t>
  </si>
  <si>
    <t>Nguyễn Ngọc Thảo Vy</t>
  </si>
  <si>
    <t>Nguyễn Quỳnh Uyển Nhi</t>
  </si>
  <si>
    <t>14DHTP07</t>
  </si>
  <si>
    <t>Nguyễn Tấn Phát</t>
  </si>
  <si>
    <t>Nguyễn Thái Mai An</t>
  </si>
  <si>
    <t>12DHDB1</t>
  </si>
  <si>
    <t>Nguyễn Thành Đạt</t>
  </si>
  <si>
    <t>Nguyễn Thị Cảnh</t>
  </si>
  <si>
    <t>Nguyễn Thị Hồng Nhung</t>
  </si>
  <si>
    <t>Nguyễn Thị Ngọc Ánh</t>
  </si>
  <si>
    <t>Nguyễn Thị Thanh Thão</t>
  </si>
  <si>
    <t>Nguyễn Thị Thu Ngân</t>
  </si>
  <si>
    <t>Nguyễn Thị Thu Thuỷ</t>
  </si>
  <si>
    <t>Nguyễn Thị Thu Thủy</t>
  </si>
  <si>
    <t>14DHTP03</t>
  </si>
  <si>
    <t>Nguyễn Thị Tô Sin</t>
  </si>
  <si>
    <t>Nguyễn Thị Trâm Anh</t>
  </si>
  <si>
    <t>Nguyễn Thị Trúc My</t>
  </si>
  <si>
    <t>Nguyễn Thị Tuyết Trinh</t>
  </si>
  <si>
    <t>Nguyễn Thị Ý Như</t>
  </si>
  <si>
    <t>Nguyễn Thuận Phát</t>
  </si>
  <si>
    <t>Nguyễn Tiến Vũ</t>
  </si>
  <si>
    <t>Nguyễn Trần Hồng Lĩnh</t>
  </si>
  <si>
    <t>Nguyễn Tường Vy</t>
  </si>
  <si>
    <t>Nguyễn Văn Lê Phước</t>
  </si>
  <si>
    <t>Nguyễn Võ Thanh Hiền</t>
  </si>
  <si>
    <t>Phạm Anh Thư</t>
  </si>
  <si>
    <t>Phạm Minh Khang</t>
  </si>
  <si>
    <t>Phạm Minh Trí</t>
  </si>
  <si>
    <t>14DHTP09</t>
  </si>
  <si>
    <t>Phạm Ngọc Thảo Vi</t>
  </si>
  <si>
    <t>Phạm Nguyễn Khánh Linh</t>
  </si>
  <si>
    <t>12DHTPTD</t>
  </si>
  <si>
    <t>Nhà máy sữa Việt Nam - Công ty CP Sữa Việt Nam Vinamlik</t>
  </si>
  <si>
    <t>Phạm Thị Bích Vân</t>
  </si>
  <si>
    <t>Phạm Võ Hoài My</t>
  </si>
  <si>
    <t>Phan Khánh Nghi</t>
  </si>
  <si>
    <t>phan khánh nghi</t>
  </si>
  <si>
    <t>Phan Thanh Nguyên</t>
  </si>
  <si>
    <t>Ro Phi Áh</t>
  </si>
  <si>
    <t>Thổ Minh Mẫn</t>
  </si>
  <si>
    <t>Tô Xuân Trường</t>
  </si>
  <si>
    <t>Trần Bình Trọng</t>
  </si>
  <si>
    <t>TRẦN BÌNH TRỌNG</t>
  </si>
  <si>
    <t>Trần Hồng Phát</t>
  </si>
  <si>
    <t>14DHTP04</t>
  </si>
  <si>
    <t>Trần Huỳnh Hoa Thiên</t>
  </si>
  <si>
    <t>Trần Mai Thi</t>
  </si>
  <si>
    <t>Trần Minh Đạt</t>
  </si>
  <si>
    <t>Trần Phương Vy</t>
  </si>
  <si>
    <t>Trần Thảo Vân Trọng</t>
  </si>
  <si>
    <t>Trần Thị Cẩm Tiên</t>
  </si>
  <si>
    <t>Trần Thị Thu Hằng</t>
  </si>
  <si>
    <t>Trần Thị Thúy Hằng</t>
  </si>
  <si>
    <t>Trần Tuyết Thanh Trân</t>
  </si>
  <si>
    <t>Trương Hồng Ngọc</t>
  </si>
  <si>
    <t>Trương Ngọc Quỳnh Như</t>
  </si>
  <si>
    <t>Trương Nguyễn Việt Ngân</t>
  </si>
  <si>
    <t>Trương Thảo Dân</t>
  </si>
  <si>
    <t>Vi Thị Quỳnh Như</t>
  </si>
  <si>
    <t>Võ Hoàng Bảo Ngọc</t>
  </si>
  <si>
    <t>Võ Thị Tuyết Lan</t>
  </si>
  <si>
    <t>Vũ Quốc Hoàng</t>
  </si>
  <si>
    <t>Cao Nguyễn Tường Vy</t>
  </si>
  <si>
    <t>Cao Thị Tường Vy</t>
  </si>
  <si>
    <t>ĐẶNG TRẦN HOÀI THU</t>
  </si>
  <si>
    <t>Đặng Trần Hoài Thu</t>
  </si>
  <si>
    <t>Đinh Thị Như Ý</t>
  </si>
  <si>
    <t>Dương Thị Linh Chi</t>
  </si>
  <si>
    <t>Hồ Thị Mỹ Duyên</t>
  </si>
  <si>
    <t>Hoàng Đức Trí</t>
  </si>
  <si>
    <t>Huỳnh Khánh Linh</t>
  </si>
  <si>
    <t>HUỲNH KHÁNH LINH</t>
  </si>
  <si>
    <t>Kiều Thảo Vy</t>
  </si>
  <si>
    <t>Lê Hoàng Ngọc Trâm</t>
  </si>
  <si>
    <t>Lê Ngọc Hân</t>
  </si>
  <si>
    <t>Lê Phạm Yến Vi</t>
  </si>
  <si>
    <t>Lê Quốc Nam</t>
  </si>
  <si>
    <t>Lê Thị Kim Oanh</t>
  </si>
  <si>
    <t>Lê Thị Mỹ</t>
  </si>
  <si>
    <t>Lương Từ Thảo Uyên</t>
  </si>
  <si>
    <t>Nguyễn Ánh Thùy</t>
  </si>
  <si>
    <t>Nguyễn Hoàng Nhật Linh</t>
  </si>
  <si>
    <t>Nguyễn Hoàng Như Ý</t>
  </si>
  <si>
    <t>Nguyễn Hoàng Thảo Uyên</t>
  </si>
  <si>
    <t>Nguyễn Liên Bội Lâm</t>
  </si>
  <si>
    <t>Nguyễn Ngân Quyên</t>
  </si>
  <si>
    <t>Nguyễn Ngọc Bảo Trân</t>
  </si>
  <si>
    <t>Nguyễn Quỳnh Như</t>
  </si>
  <si>
    <t>Nguyễn Thanh Ngọc</t>
  </si>
  <si>
    <t>Nguyễn Thanh Tú</t>
  </si>
  <si>
    <t>Nguyễn Thị Ngọc Trăm</t>
  </si>
  <si>
    <t>Nguyễn Thị Như Quỳnh</t>
  </si>
  <si>
    <t>Nguyễn Thị Thang Sang</t>
  </si>
  <si>
    <t>Nguyễn Thị Thanh Sang</t>
  </si>
  <si>
    <t>Nguyễn Thị Thanh Trúc</t>
  </si>
  <si>
    <t>Nguyễn Thị Thu Hiền</t>
  </si>
  <si>
    <t>Nguyễn Thị Uyên</t>
  </si>
  <si>
    <t>Nguyễn Thúy An</t>
  </si>
  <si>
    <t>Nguyễn Thùy Linh</t>
  </si>
  <si>
    <t>Nguyễn Trần Mỹ Ngân</t>
  </si>
  <si>
    <t>Nguyễn Tuấn Anh</t>
  </si>
  <si>
    <t>Phạm Chúc Lợi</t>
  </si>
  <si>
    <t>Pham Minh Phuong</t>
  </si>
  <si>
    <t>Phạm Ngọc Lan Vy</t>
  </si>
  <si>
    <t>Phạm Thanh Trúc</t>
  </si>
  <si>
    <t>Trần Hà Phương Trinh</t>
  </si>
  <si>
    <t>Trần Hoàng Tường Vy</t>
  </si>
  <si>
    <t>Trần Lê Uyên Phương</t>
  </si>
  <si>
    <t>Trần Ngọc Bảo Trân</t>
  </si>
  <si>
    <t>Trần Tấn Cường</t>
  </si>
  <si>
    <t>Trần Thùy Duy</t>
  </si>
  <si>
    <t>Trần Văn Pháp</t>
  </si>
  <si>
    <t>Trần Yến Nhi</t>
  </si>
  <si>
    <t>Trịnh Hoàng Thanh Vân</t>
  </si>
  <si>
    <t>TRỊNH HOÀNG THANH VÂN</t>
  </si>
  <si>
    <t>13DHQTKDTP03</t>
  </si>
  <si>
    <t>Trương Thanh Tú</t>
  </si>
  <si>
    <t>Ưng Hoài Trang</t>
  </si>
  <si>
    <t>Võ Anh Quốc</t>
  </si>
  <si>
    <t>Võ Huy Hoàng</t>
  </si>
  <si>
    <t>13dhqttp04</t>
  </si>
  <si>
    <t>Võ Ngọc Minh Sang</t>
  </si>
  <si>
    <t>Võ Thị Bích Thuận</t>
  </si>
  <si>
    <t>13ĐHQTTP04</t>
  </si>
  <si>
    <t>Võ Thị Thanh Thúy</t>
  </si>
  <si>
    <t>Bùi Thị Trúc Ly</t>
  </si>
  <si>
    <t>Đặng Sỹ Quốc</t>
  </si>
  <si>
    <t>Đặng Thị Anh Thư</t>
  </si>
  <si>
    <t>Dư Lê Bảo Châu</t>
  </si>
  <si>
    <t>HỒ NHỨT NAM</t>
  </si>
  <si>
    <t>Hồ Nhứt Nam</t>
  </si>
  <si>
    <t>Huỳnh Ngọc Minh Anh</t>
  </si>
  <si>
    <t>Lâm Thị Tuyết Trân</t>
  </si>
  <si>
    <t>Lê Minh Tài</t>
  </si>
  <si>
    <t>Lê Minh Tài··</t>
  </si>
  <si>
    <t>Lê Mỹ Hiền</t>
  </si>
  <si>
    <t>Lê Thanh Phương</t>
  </si>
  <si>
    <t>Lê Thị Huyền</t>
  </si>
  <si>
    <t>Lê Thị Kiều Diễm</t>
  </si>
  <si>
    <t>Lê Thị Thanh Hiếu</t>
  </si>
  <si>
    <t>Lê Thị Thuý</t>
  </si>
  <si>
    <t>Lê Thị Thúy</t>
  </si>
  <si>
    <t>LÝ GIA HÂN</t>
  </si>
  <si>
    <t>Mang Thị Kim Phượng</t>
  </si>
  <si>
    <t>Ngô Gia Hạo</t>
  </si>
  <si>
    <t>Ngô Thị Khánh Ly</t>
  </si>
  <si>
    <t>Ngô Thị khánh Ly</t>
  </si>
  <si>
    <t>Nguyễn Châu Bảo Hân</t>
  </si>
  <si>
    <t>Nguyễn Gia Hân</t>
  </si>
  <si>
    <t>Nguyễn Hoàng Kim Phương</t>
  </si>
  <si>
    <t>Nguyễn Kim Chi</t>
  </si>
  <si>
    <t>Nguyễn Ôn Gia Hưng</t>
  </si>
  <si>
    <t>Nguyễn Thành Nguyên</t>
  </si>
  <si>
    <t>Nguyễn Thị Ánh</t>
  </si>
  <si>
    <t>Nguyễn Thị Anh Thư</t>
  </si>
  <si>
    <t>Nguyễn Thị Diễm My</t>
  </si>
  <si>
    <t>Nguyễn Thị Hoài Thương</t>
  </si>
  <si>
    <t>13ĐHQTTP01</t>
  </si>
  <si>
    <t>Nguyễn Thị Ngọc Hân</t>
  </si>
  <si>
    <t>Nguyễn Thị Ngọc Hạnh</t>
  </si>
  <si>
    <t>Nguyễn Thị Thanh An</t>
  </si>
  <si>
    <t>Nguyễn Thị Thanh Diễm</t>
  </si>
  <si>
    <t>Nguyễn Thị Thu Tuyết</t>
  </si>
  <si>
    <t>Nguyễn Trần Thanh Tuyền</t>
  </si>
  <si>
    <t>Phạm Thị Thanh Ngân</t>
  </si>
  <si>
    <t>Phạm Toàn Phú</t>
  </si>
  <si>
    <t>Phan Gia Nghi</t>
  </si>
  <si>
    <t>Phan Thị Kim Ngân</t>
  </si>
  <si>
    <t>Phan Thị Thúy Ngân</t>
  </si>
  <si>
    <t>Quách Ngọc Minh</t>
  </si>
  <si>
    <t>13 DHDB02</t>
  </si>
  <si>
    <t>Tiêu Kim Yến</t>
  </si>
  <si>
    <t>Trần Nguyễn Khánh Linh</t>
  </si>
  <si>
    <t>Trần Tấn Vàng</t>
  </si>
  <si>
    <t>Trần Thảo Vy</t>
  </si>
  <si>
    <t>13dhdb02</t>
  </si>
  <si>
    <t>Trần Thị Bích Trang</t>
  </si>
  <si>
    <t>Trần Thị Minh Kiều</t>
  </si>
  <si>
    <t>Trần Thị Minh KIều</t>
  </si>
  <si>
    <t>Trần Thị Thảo</t>
  </si>
  <si>
    <t>Trịnh Thị Kim Ngân</t>
  </si>
  <si>
    <t>Trương Ngọc Bảo Hân</t>
  </si>
  <si>
    <t>Trương Thị Ngọc Hân</t>
  </si>
  <si>
    <t>Võ Thanh Ngân</t>
  </si>
  <si>
    <t>Võ Thị Huỳnh</t>
  </si>
  <si>
    <t>Võ Văn Ninh</t>
  </si>
  <si>
    <t>Vũ Hà Hải Ngọc</t>
  </si>
  <si>
    <t>Vũ Phương Thảo</t>
  </si>
  <si>
    <t>Bùi Mai Thanh Ngân</t>
  </si>
  <si>
    <t>Bùi Nguyễn Cẩm Tú</t>
  </si>
  <si>
    <t>Cao Thị Thuỳ Trang</t>
  </si>
  <si>
    <t>Cao Thị Yến Xuân</t>
  </si>
  <si>
    <t>Châu Nhuận Phát</t>
  </si>
  <si>
    <t>Đặng Thị Thùy Dung</t>
  </si>
  <si>
    <t>Đặng Tuấn Khanh</t>
  </si>
  <si>
    <t>Đỗ Thị Huyền Trâm</t>
  </si>
  <si>
    <t>Hồ Hoàng Thắng</t>
  </si>
  <si>
    <t>Hoàng Gia Bảo</t>
  </si>
  <si>
    <t>Hoàng Gia Hào</t>
  </si>
  <si>
    <t>Hoàng Mạnh Tú</t>
  </si>
  <si>
    <t>Huỳnh Lê Đức Phúc</t>
  </si>
  <si>
    <t>Huỳnh Thành Tiến</t>
  </si>
  <si>
    <t>Huỳnh Thành Tiến</t>
  </si>
  <si>
    <t>Huỳnh Thị Cẩm Duyên</t>
  </si>
  <si>
    <t>Lâm Thị Ngọc Bích</t>
  </si>
  <si>
    <t>Lê Mỹ Yên</t>
  </si>
  <si>
    <t>Lê Nguyễn Hoàng Tâm</t>
  </si>
  <si>
    <t>Lê Quỳnh Nhi</t>
  </si>
  <si>
    <t>Lê Thị Kiều Trinh</t>
  </si>
  <si>
    <t>Lê Thị Minh Anh</t>
  </si>
  <si>
    <t>Lê Văn Hữu</t>
  </si>
  <si>
    <t>Lê Văn Triển</t>
  </si>
  <si>
    <t>Ngô Thị Thanh Thảo</t>
  </si>
  <si>
    <t>Ngô Thuý Vi</t>
  </si>
  <si>
    <t>Ngô Văn Quốc Việt</t>
  </si>
  <si>
    <t>Nguyễn Ngọc Tường Vy</t>
  </si>
  <si>
    <t>Nguyễn Nhã Đoan</t>
  </si>
  <si>
    <t>Nguyễn Phúc Hậu</t>
  </si>
  <si>
    <t>Nguyễn Thành Tuấn</t>
  </si>
  <si>
    <t>Nguyễn Thị Diễm Trinh</t>
  </si>
  <si>
    <t>Nguyễn Thị Kim Vy</t>
  </si>
  <si>
    <t>Nguyễn Thị Minh Thư</t>
  </si>
  <si>
    <t>Nguyễn Thị Thanh Thảo</t>
  </si>
  <si>
    <t>Nguyễn Thị Thùy Trang</t>
  </si>
  <si>
    <t>Phạm Diễm Phấn</t>
  </si>
  <si>
    <t>Phạm Diễm Sương</t>
  </si>
  <si>
    <t>Phạm Hồng Quí</t>
  </si>
  <si>
    <t>Phạm Thị Bé Thi</t>
  </si>
  <si>
    <t>Phan Huỳnh Như</t>
  </si>
  <si>
    <t>Phan Thị Ngọc Thơ</t>
  </si>
  <si>
    <t>Trần Diễm Trân</t>
  </si>
  <si>
    <t>Trần Gia Phú</t>
  </si>
  <si>
    <t>Trần Gia Quyên</t>
  </si>
  <si>
    <t>Trần Hoàng Anh</t>
  </si>
  <si>
    <t>Trần Lan Thi</t>
  </si>
  <si>
    <t>Trần Lý Phương Nghi</t>
  </si>
  <si>
    <t>Trẩn Lý Phương Nghi</t>
  </si>
  <si>
    <t>Trần Ngọc Bảo Châu</t>
  </si>
  <si>
    <t>Trần Ngọc Minh Nguyên</t>
  </si>
  <si>
    <t>Trần Ngọc Trân Châu</t>
  </si>
  <si>
    <t>Trần Nhựt Linh</t>
  </si>
  <si>
    <t>Trần Phạm Bích Tuyền</t>
  </si>
  <si>
    <t>Trần quỳnh bảo Ân</t>
  </si>
  <si>
    <t>Trần Quỳnh Bảo Ân</t>
  </si>
  <si>
    <t>Trần Thảo Nhi</t>
  </si>
  <si>
    <t>Trần Thị Cẩm Ly</t>
  </si>
  <si>
    <t>Trần Thị Nhật Uyên</t>
  </si>
  <si>
    <t>Trần Thị Thanh Xuân</t>
  </si>
  <si>
    <t>Trần Thủy Lan Anh</t>
  </si>
  <si>
    <t>Trần Thùy Linh</t>
  </si>
  <si>
    <t>Trịnh Thị Bích Huyền</t>
  </si>
  <si>
    <t>Trương Quang Trường</t>
  </si>
  <si>
    <t>Võ Ngọc Thùy trang</t>
  </si>
  <si>
    <t>Võ Ngọc Thùy Trang</t>
  </si>
  <si>
    <t>Vũ Nguyễn Huyền My</t>
  </si>
  <si>
    <t>Đặng Hoài Sang</t>
  </si>
  <si>
    <t>Đặng Ngọc Phụng</t>
  </si>
  <si>
    <t>Đinh Bạch Long Vũ</t>
  </si>
  <si>
    <t>Đinh Thái Hiệp</t>
  </si>
  <si>
    <t>Đỗ Văn Hoàng</t>
  </si>
  <si>
    <t>GIANG NGUYỄN NGỌC THUỶ</t>
  </si>
  <si>
    <t>GIANG NGUYỄN NGỌC THỦY</t>
  </si>
  <si>
    <t>Hồ Thị Ái Vy</t>
  </si>
  <si>
    <t>Hoàng Thị Ánh Nguyệt</t>
  </si>
  <si>
    <t>Huỳnh Thị Liễu Yến</t>
  </si>
  <si>
    <t>Huỳnh Thị Thảo Nhi</t>
  </si>
  <si>
    <t>Kim Thành Nhân</t>
  </si>
  <si>
    <t>Lã Xuân Lâm</t>
  </si>
  <si>
    <t>Lê Hoàng Bảo Trâm</t>
  </si>
  <si>
    <t>LÊ NGỌC NHƯ</t>
  </si>
  <si>
    <t>13DHTP5</t>
  </si>
  <si>
    <t>Lưu Thị Ngọc Duyên</t>
  </si>
  <si>
    <t>Lý Thanh Ngân</t>
  </si>
  <si>
    <t>Ngũ Thuỳ Vy</t>
  </si>
  <si>
    <t>Ngũ Thùy Vy</t>
  </si>
  <si>
    <t>Nguyễn Bích Trâm</t>
  </si>
  <si>
    <t>Nguyễn Cao Chi Lâm</t>
  </si>
  <si>
    <t>Nguyễn Cao Ngọc Hân</t>
  </si>
  <si>
    <t>Nguyễn Duy Khánh</t>
  </si>
  <si>
    <t>Nguyễn Kiều Yến Hương</t>
  </si>
  <si>
    <t>Nguyễn Ngọc Minh Ngân</t>
  </si>
  <si>
    <t>Nguyễn Ngọc Thúy Vy</t>
  </si>
  <si>
    <t>Nguyễn Quốc Đạt</t>
  </si>
  <si>
    <t>Nguyễn Thanh Cường</t>
  </si>
  <si>
    <t>Nguyễn Thị Cẩm Ly</t>
  </si>
  <si>
    <t>Nguyễn Thị Hồng Nhi</t>
  </si>
  <si>
    <t>Nguyễn Thị Kim Thảo</t>
  </si>
  <si>
    <t>Nguyễn Thị Trinh</t>
  </si>
  <si>
    <t>13DHTPO4</t>
  </si>
  <si>
    <t>Nguyễn Thiên Tâm</t>
  </si>
  <si>
    <t>Nguyễn Võ Hoàng Oanh</t>
  </si>
  <si>
    <t>Nguyễn Xuân Phương</t>
  </si>
  <si>
    <t>Phạm Thị Hạt</t>
  </si>
  <si>
    <t>Phan Trần Huỳnh Như</t>
  </si>
  <si>
    <t>Phùng Thị Bích Ngọc</t>
  </si>
  <si>
    <t>Tống Ngọc Thuý</t>
  </si>
  <si>
    <t>Trần Gia Bảo</t>
  </si>
  <si>
    <t>Trần Minh Anh</t>
  </si>
  <si>
    <t>Trần Như Quyến</t>
  </si>
  <si>
    <t>Trần Như Quyến</t>
  </si>
  <si>
    <t>Trần Quốc Huy</t>
  </si>
  <si>
    <t>Trần Thị Hồng Diệu</t>
  </si>
  <si>
    <t>Trần Văn Cao</t>
  </si>
  <si>
    <t>Trương Đan Huy</t>
  </si>
  <si>
    <t>Võ Hiểu Lam</t>
  </si>
  <si>
    <t>Võ Thị Minh Tâm</t>
  </si>
  <si>
    <t>Võ Thị Phương Du</t>
  </si>
  <si>
    <t>Võ Thị Phương Ly</t>
  </si>
  <si>
    <t>Võ Thị Quế Trân</t>
  </si>
  <si>
    <t>Vương Quỳnh Trang</t>
  </si>
  <si>
    <t>Bùi Minh Trường</t>
  </si>
  <si>
    <t>13DHQQTTP01</t>
  </si>
  <si>
    <t>Bùi Phạm Quỳnh Như</t>
  </si>
  <si>
    <t>Bùi Thị Cẩm Thương</t>
  </si>
  <si>
    <t>Bùi Thị Thùy Trinh</t>
  </si>
  <si>
    <t>Châu Thị Thư</t>
  </si>
  <si>
    <t>Chung Hoàng Thảo Nhi</t>
  </si>
  <si>
    <t>Đặng Anh Khoa</t>
  </si>
  <si>
    <t>13QTTP02</t>
  </si>
  <si>
    <t>Đặng Thị Linh Na</t>
  </si>
  <si>
    <t>Đỗ Huỳnh Hương</t>
  </si>
  <si>
    <t>Đỗ Thị Phúc</t>
  </si>
  <si>
    <t>Đoàn Thị Ngọc Thơm</t>
  </si>
  <si>
    <t>Dương Châu Ngọc</t>
  </si>
  <si>
    <t>Dương Ngọc Quỳnh Phương</t>
  </si>
  <si>
    <t>HỒ THỊ DIỄM MY</t>
  </si>
  <si>
    <t>Hồ Thị Diễm My</t>
  </si>
  <si>
    <t>Hồ Thị Thanh Ngân</t>
  </si>
  <si>
    <t>Lâm Hoàng Khang</t>
  </si>
  <si>
    <t>Lê Ngọc Uyển My</t>
  </si>
  <si>
    <t>Lê Thanh Nhàn</t>
  </si>
  <si>
    <t>Lê Thị Khánh Huyền</t>
  </si>
  <si>
    <t>Lê Trương Thanh Trúc</t>
  </si>
  <si>
    <t>LÊ TRƯƠNG THANH TRÚC</t>
  </si>
  <si>
    <t>Lê Tuyết Minh</t>
  </si>
  <si>
    <t>Lữ Thành Chương</t>
  </si>
  <si>
    <t>Lý Kim Hoàng</t>
  </si>
  <si>
    <t>Nguyễn Bùi Thảo Nguyên</t>
  </si>
  <si>
    <t>Nguyễn Đức Hiếu</t>
  </si>
  <si>
    <t>Nguyễn Gia Phát</t>
  </si>
  <si>
    <t>Nguyễn Hoàng Khoa</t>
  </si>
  <si>
    <t>Nguyễn Hoàng Phương Nghi</t>
  </si>
  <si>
    <t>Nguyễn Huỳnh Thanh Thảo</t>
  </si>
  <si>
    <t>Nguyễn Nguyên Thanh Thảo</t>
  </si>
  <si>
    <t>nguyễn nhật yên</t>
  </si>
  <si>
    <t>13dhqttp01</t>
  </si>
  <si>
    <t>Nguyễn Pham Thảo Quân</t>
  </si>
  <si>
    <t>Nguyễn Phạm Thảo Quân</t>
  </si>
  <si>
    <t>Nguyễn Phước Lộc</t>
  </si>
  <si>
    <t>Nguyễn Thanh Lam</t>
  </si>
  <si>
    <t>Nguyễn Thanh Ngân</t>
  </si>
  <si>
    <t>Nguyễn Thị Aí My</t>
  </si>
  <si>
    <t>Nguyễn Thị Diễm Trân</t>
  </si>
  <si>
    <t>Nguyễn Thị Khánh Linh</t>
  </si>
  <si>
    <t>Nguyễn Thị Kim Phương</t>
  </si>
  <si>
    <t>Nguyễn Thị Kim Thoa</t>
  </si>
  <si>
    <t>Nguyễn Thị Mỹ Trúc</t>
  </si>
  <si>
    <t>Nguyễn Thị Tường Vy</t>
  </si>
  <si>
    <t>Nguyễn Văn Hoàn Thiện</t>
  </si>
  <si>
    <t>Phạm Minh Hiếu</t>
  </si>
  <si>
    <t>Phạm Minh Thư</t>
  </si>
  <si>
    <t>Phạm Minh Thuư</t>
  </si>
  <si>
    <t>Phạm Thị Mỹ Ngân</t>
  </si>
  <si>
    <t>Phạm Thị Mỹ Tâm</t>
  </si>
  <si>
    <t>Phạm Thị Thanh Trà</t>
  </si>
  <si>
    <t>13DTQTTP01</t>
  </si>
  <si>
    <t>Phan Thành Duy</t>
  </si>
  <si>
    <t>Phan Thị Mỹ Tiên</t>
  </si>
  <si>
    <t>13DHQTTO01</t>
  </si>
  <si>
    <t>Trần Anh Mai Lan</t>
  </si>
  <si>
    <t>Trần Ngọc Mỹ Linh</t>
  </si>
  <si>
    <t>Trần Thanh Tâm</t>
  </si>
  <si>
    <t>Trần Thị Hà Tiên</t>
  </si>
  <si>
    <t>Trần Thị Ngọc Hân</t>
  </si>
  <si>
    <t>Trần Thị Phương Vy</t>
  </si>
  <si>
    <t>Trương Hồ Kim Cương</t>
  </si>
  <si>
    <t>Trương Như Quỳnh</t>
  </si>
  <si>
    <t>Đặng Thị Thu Ngân</t>
  </si>
  <si>
    <t>Đào Minh Bảo Ngọc</t>
  </si>
  <si>
    <t>Điêu Võ Hồng Chiêu</t>
  </si>
  <si>
    <t>Đỗ Thị Hồng Mơ</t>
  </si>
  <si>
    <t>Huỳnh Dĩ An</t>
  </si>
  <si>
    <t>Huỳnh Thị Cẩm Nhung</t>
  </si>
  <si>
    <t>Lê Anh Quân</t>
  </si>
  <si>
    <t>Lê Băng Băng</t>
  </si>
  <si>
    <t>Lê Bảo Hân</t>
  </si>
  <si>
    <t>Lê Công Tiến Phát</t>
  </si>
  <si>
    <t>Lê Cung Đỉnh</t>
  </si>
  <si>
    <t>Lê Quan Thái Hân</t>
  </si>
  <si>
    <t>Lê Thanh Vy</t>
  </si>
  <si>
    <t>13DHDB01`</t>
  </si>
  <si>
    <t>Lê Thị Khánh Châu</t>
  </si>
  <si>
    <t>Lê Thị Như Huỳnh</t>
  </si>
  <si>
    <t>Lê Thị Thu Hà</t>
  </si>
  <si>
    <t>Lê Thị Vân Anh</t>
  </si>
  <si>
    <t>Lương Tuấn Vỹ</t>
  </si>
  <si>
    <t>Ngô Ngọc Kim Thư</t>
  </si>
  <si>
    <t>Ngô Thị Thúy Hằng</t>
  </si>
  <si>
    <t>Nguyễn Bảo Như</t>
  </si>
  <si>
    <t>Nguyễn Cẩm Ly</t>
  </si>
  <si>
    <t>Nguyễn Chí Cường</t>
  </si>
  <si>
    <t>Nguyễn Đức Phương Anh</t>
  </si>
  <si>
    <t>Nguyễn Hoàng Thảo Nguyên</t>
  </si>
  <si>
    <t>Nguyễn Hữu Nhân</t>
  </si>
  <si>
    <t>13dhdb01</t>
  </si>
  <si>
    <t>Nguyễn Kiều Nhi</t>
  </si>
  <si>
    <t>Nguyễn Lê Kỳ Duyên</t>
  </si>
  <si>
    <t>Nguyễn Ngọc Mai Thi</t>
  </si>
  <si>
    <t>Nguyễn Ngọc Xuân Nghi</t>
  </si>
  <si>
    <t>Nguyễn Thị Kim Liên</t>
  </si>
  <si>
    <t>Nguyễn Thị Phương Trâm</t>
  </si>
  <si>
    <t>Nguyễn Trà My</t>
  </si>
  <si>
    <t>13ĐHĐB01</t>
  </si>
  <si>
    <t>Nguyễn Trần Minh Khôi</t>
  </si>
  <si>
    <t>Nguyễn Trọng Nhân</t>
  </si>
  <si>
    <t>Nguyễn Xuân An</t>
  </si>
  <si>
    <t>Phạm Thị Phượng Hằng</t>
  </si>
  <si>
    <t>Phạm Tuấn Anh</t>
  </si>
  <si>
    <t>Phạm Vũ Kim Ngân</t>
  </si>
  <si>
    <t>Phạm Xuân Thảo Vy</t>
  </si>
  <si>
    <t>Phan Ngọc Diễm Trinh</t>
  </si>
  <si>
    <t>Phan Thị Mộng Anh</t>
  </si>
  <si>
    <t>Tô Ngọc Minh Châu</t>
  </si>
  <si>
    <t>Trần Diễm Quỳnh Nga</t>
  </si>
  <si>
    <t>Trần Huỳnh Phúc Lâm</t>
  </si>
  <si>
    <t>Trần Nguyễn Gia Vĩnh</t>
  </si>
  <si>
    <t>Trần Nguyễn Quỳnh Hương</t>
  </si>
  <si>
    <t>Trần Như Quỳnh</t>
  </si>
  <si>
    <t>Trần Sơn Tùng</t>
  </si>
  <si>
    <t>Trần Thị Ngọc Diệu</t>
  </si>
  <si>
    <t>Trần Thị Như Ý</t>
  </si>
  <si>
    <t>Trần Thị Thùy Linh</t>
  </si>
  <si>
    <t>Trần Trí Dũng</t>
  </si>
  <si>
    <t>Trịnh Minh Đức</t>
  </si>
  <si>
    <t>Võ Huỳnh Hưng</t>
  </si>
  <si>
    <t>Võ Ngọc Phương Thúy</t>
  </si>
  <si>
    <t>Võ Thị Thanh Vy</t>
  </si>
  <si>
    <t>Võ Thiện Lộc</t>
  </si>
  <si>
    <t>Võ Trâm Anh</t>
  </si>
  <si>
    <t>BÙI THỊ MỸ HẰNG</t>
  </si>
  <si>
    <t>13DHTPTD</t>
  </si>
  <si>
    <t>Bùi Thị Mỹ Hằng</t>
  </si>
  <si>
    <t>Châu Nguyên Bảo</t>
  </si>
  <si>
    <t>Chương Thị Bảo Ngọc</t>
  </si>
  <si>
    <t>Đặng Thảo My</t>
  </si>
  <si>
    <t>Đào Thị Thùy Duyên</t>
  </si>
  <si>
    <t>Đỗ Khánh Vy</t>
  </si>
  <si>
    <t>14DHDB02</t>
  </si>
  <si>
    <t>Đỗ Minh Nhiên</t>
  </si>
  <si>
    <t>Đoàn Ngọc Lan Phương</t>
  </si>
  <si>
    <t>Đồng Thành Tiến</t>
  </si>
  <si>
    <t>Đồng Thị Hải Đăng</t>
  </si>
  <si>
    <t>Hà Phạm Kim Tuyền</t>
  </si>
  <si>
    <t>Hồ Ngọc Yến Nhi</t>
  </si>
  <si>
    <t>Hồ Tấn Hoàng</t>
  </si>
  <si>
    <t>Hoàng Gia Huy</t>
  </si>
  <si>
    <t>Huỳnh Minh Khôi</t>
  </si>
  <si>
    <t>Huỳnh Ngọc Anh Thư</t>
  </si>
  <si>
    <t>Huỳnh Nữ Khánh Linh</t>
  </si>
  <si>
    <t>Lã Thị Yến Linh</t>
  </si>
  <si>
    <t>Lê Bảo Như</t>
  </si>
  <si>
    <t>Lê Hoàng Huyên</t>
  </si>
  <si>
    <t>Lê Nguyễn Thảo Uyên</t>
  </si>
  <si>
    <t>Lê Thị Hà</t>
  </si>
  <si>
    <t>Lê Thị Như Ngọc</t>
  </si>
  <si>
    <t>Liêu Thị Thanh Loan</t>
  </si>
  <si>
    <t>Lương Thị Thúy Nhài</t>
  </si>
  <si>
    <t>Mai Lâm Thùy Linh</t>
  </si>
  <si>
    <t>Ngô Phương Thảo</t>
  </si>
  <si>
    <t>NGÔ THUÝ VI</t>
  </si>
  <si>
    <t>Nguyễn Anh Thư</t>
  </si>
  <si>
    <t>Nguyễn Bảo Ngân</t>
  </si>
  <si>
    <t>Nguyễn Gia Huy</t>
  </si>
  <si>
    <t>Nguyễn Hoàn Phương Thuỳ</t>
  </si>
  <si>
    <t>Nguyễn Hoàn Phương Thùy</t>
  </si>
  <si>
    <t>Nguyễn Hoàng Bảo Ngân</t>
  </si>
  <si>
    <t>Nguyễn Hữu Hòa</t>
  </si>
  <si>
    <t>Nguyễn Lê Thiên Nga</t>
  </si>
  <si>
    <t>Nguyễn Ngọc Đăng Khoa</t>
  </si>
  <si>
    <t>Nguyễn Ngọc Hoàng</t>
  </si>
  <si>
    <t>Nguyễn Ngọc Lan Chi</t>
  </si>
  <si>
    <t>Nguyễn Phạm Thanh Ngân</t>
  </si>
  <si>
    <t>Nguyễn Thanh lan</t>
  </si>
  <si>
    <t>Nguyễn Thanh Lan</t>
  </si>
  <si>
    <t>Nguyễn Thị Mỹ Hạnh</t>
  </si>
  <si>
    <t>Nguyễn Thị Phương Dung</t>
  </si>
  <si>
    <t>Nguyễn Thị Phương Uyên</t>
  </si>
  <si>
    <t>Nguyễn Thị Thanh Nguyên</t>
  </si>
  <si>
    <t>Nguyễn Thị Thảo Ngân</t>
  </si>
  <si>
    <t>Nguyễn Thị Thùy Linh</t>
  </si>
  <si>
    <t>Nguyễn Tiến Đạt</t>
  </si>
  <si>
    <t>Nguyễn Tử Lâm</t>
  </si>
  <si>
    <t>Phạm Thị Phương Linh</t>
  </si>
  <si>
    <t>Phạm Thị Thanh Thảo</t>
  </si>
  <si>
    <t>Phan Nguyễn Bình Nhi</t>
  </si>
  <si>
    <t>Phan Thị Diệu Linh</t>
  </si>
  <si>
    <t>Phan Thị Vân Như</t>
  </si>
  <si>
    <t>Phùng Ngọc Thảo Anh</t>
  </si>
  <si>
    <t>Trần Đặng Yến Nhi</t>
  </si>
  <si>
    <t>Trần Dĩ An</t>
  </si>
  <si>
    <t>Trần Đình Minh Nguyệt</t>
  </si>
  <si>
    <t>Trần Huỳnh Ái Nghi</t>
  </si>
  <si>
    <t>Trần Khánh Linh</t>
  </si>
  <si>
    <t>Trần Quỳnh Như</t>
  </si>
  <si>
    <t>Trần Thị Kim Nhung</t>
  </si>
  <si>
    <t>Trịnh Hoàng Anh</t>
  </si>
  <si>
    <t>Võ Lương Giao Chi</t>
  </si>
  <si>
    <t>Võ Thanh Huy</t>
  </si>
  <si>
    <t>Võ Thị Trúc Mai</t>
  </si>
  <si>
    <t>Võ Trần Nhật Đông</t>
  </si>
  <si>
    <t>13DHTP)1</t>
  </si>
  <si>
    <t>Vũ Minh Tấn</t>
  </si>
  <si>
    <t>TÊN</t>
  </si>
  <si>
    <t>THỜI GIAN</t>
  </si>
  <si>
    <t>HÌNH THỨC</t>
  </si>
  <si>
    <t>ĐIỂM</t>
  </si>
  <si>
    <t>ĐIỂM CỘNG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</si>
  <si>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</si>
  <si>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</si>
  <si>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</si>
  <si>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</si>
  <si>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</si>
  <si>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</si>
  <si>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</si>
  <si>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</si>
  <si>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</si>
  <si>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</si>
  <si>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10DHTP06</t>
  </si>
  <si>
    <t>11DHTP01</t>
  </si>
  <si>
    <t>Trần Mai</t>
  </si>
  <si>
    <t>11DHTP09</t>
  </si>
  <si>
    <t>Nguyễn Đình</t>
  </si>
  <si>
    <t>Thạch Khái</t>
  </si>
  <si>
    <t>Vinh</t>
  </si>
  <si>
    <t>Dương Hoàng Tuấn</t>
  </si>
  <si>
    <t>24/20/2024</t>
  </si>
  <si>
    <t>Phan Việt</t>
  </si>
  <si>
    <t>24//09/2024</t>
  </si>
  <si>
    <t>1 Aji, 1 nhà máy Acecook không viết báo cáo</t>
  </si>
  <si>
    <t>2 nhà máy tham quan tháng 6/2025</t>
  </si>
  <si>
    <t>2 nhà máy tham quan tự do</t>
  </si>
  <si>
    <t>Thành Công</t>
  </si>
  <si>
    <t>Lại Thị Kim Ngân</t>
  </si>
  <si>
    <t>Trần Lê Hoài Thương</t>
  </si>
  <si>
    <t>Phan Thị Nhật Lệ</t>
  </si>
  <si>
    <t>Nguyễn Như Ý</t>
  </si>
  <si>
    <t>Huỳnh Thị Anh Thư</t>
  </si>
  <si>
    <t>Nguyễn Phước Hoài</t>
  </si>
  <si>
    <t>Lương Thị Vân Anh</t>
  </si>
  <si>
    <t>Vương Mỹ Anh Thư</t>
  </si>
  <si>
    <t>Lê Thị Thảo Nguyên</t>
  </si>
  <si>
    <t>Phạm Lê Quỳnh Như</t>
  </si>
  <si>
    <t>G</t>
  </si>
  <si>
    <t>Lê Thị Như Quỳnh</t>
  </si>
  <si>
    <t>Nguyễn Trần Thái Sơn</t>
  </si>
  <si>
    <t>Nguyễn Ngọc Hải</t>
  </si>
  <si>
    <t>Nguyễn Thị Tuyết Nữ</t>
  </si>
  <si>
    <t>Đỗ Thị Thanh Mai</t>
  </si>
  <si>
    <t>Huỳnh Tấn Phát</t>
  </si>
  <si>
    <t>Huỳnh Nhật Hạ</t>
  </si>
  <si>
    <t>Lê Thị Hồng Ngân</t>
  </si>
  <si>
    <t>Trương Tuyết Nghi</t>
  </si>
  <si>
    <t>Nguyễn Thành Công</t>
  </si>
  <si>
    <t>Nguyễn Thị Hoa</t>
  </si>
  <si>
    <t>Nguyễn Thị Ngọc Giàu</t>
  </si>
  <si>
    <t>Tạ Nhật Đan Vy</t>
  </si>
  <si>
    <t>Vương Chỉ Vân</t>
  </si>
  <si>
    <t>Võ Thị Kiều Tiên</t>
  </si>
  <si>
    <t>Nguyễn Ngọc Bảo Hân</t>
  </si>
  <si>
    <t>Lâm Tiểu Băng</t>
  </si>
  <si>
    <t>Trần Thị Mỹ Hạnh</t>
  </si>
  <si>
    <t>Lê Nguyễn Thu Uyên</t>
  </si>
  <si>
    <t>Trần Võ Mỹ Uyên</t>
  </si>
  <si>
    <t>Nguyễn Quốc Lập</t>
  </si>
  <si>
    <t>Lê Mai Trăm</t>
  </si>
  <si>
    <t>Nguyễn Phương Thảo</t>
  </si>
  <si>
    <t>TRỊNH MINH ĐỨC</t>
  </si>
  <si>
    <t>Lý Gia Hân</t>
  </si>
  <si>
    <t>Tôn Lương Thanh Hải</t>
  </si>
  <si>
    <t>Trần Thảo Vu</t>
  </si>
  <si>
    <t>Phạm Thúy Thục Quyên</t>
  </si>
  <si>
    <t>Vũ Lan Thanh</t>
  </si>
  <si>
    <t>Lê Thùy Tiên</t>
  </si>
  <si>
    <t>Võ Huỳnh Thúy Nga</t>
  </si>
  <si>
    <t>Nguyễn Thị Ái My</t>
  </si>
  <si>
    <t>CHI NHÁNH CTY CP TIẾN ĐỒNG - NHÀ MÁY BIA VINAKEN</t>
  </si>
  <si>
    <t>Bb</t>
  </si>
  <si>
    <t>13DHQTKD01</t>
  </si>
  <si>
    <t>13DHTP6</t>
  </si>
  <si>
    <t>Dữ liệu xuất lúc 8h00 ngày 12/6/2025</t>
  </si>
  <si>
    <t>Số lần nộp báo cáo</t>
  </si>
  <si>
    <t>nhà máy Heineken, có ký tên nhưng không có làm bài ktra</t>
  </si>
  <si>
    <t>Số nhà máy TQ offline do khoa tổ chức</t>
  </si>
  <si>
    <t>MAI TẤN</t>
  </si>
  <si>
    <t>MINH</t>
  </si>
  <si>
    <t>11DHTP7</t>
  </si>
  <si>
    <t>Sáng</t>
  </si>
  <si>
    <t>VŨ NGỌC</t>
  </si>
  <si>
    <t>TÂM</t>
  </si>
  <si>
    <t>14DHQTTP02</t>
  </si>
  <si>
    <t>NGUYỄN THÀNH</t>
  </si>
  <si>
    <t>NAM</t>
  </si>
  <si>
    <t>11DHTP3</t>
  </si>
  <si>
    <t>Phan Khánh</t>
  </si>
  <si>
    <t>Trương Ngọc Quỳnh</t>
  </si>
  <si>
    <t>Phạm Anh</t>
  </si>
  <si>
    <t>Lê Phạm Bửu Xuân</t>
  </si>
  <si>
    <t>Nguyễn Thái Mai</t>
  </si>
  <si>
    <t>Lưu Trung</t>
  </si>
  <si>
    <t>Hòa</t>
  </si>
  <si>
    <t>Lê Mai</t>
  </si>
  <si>
    <t xml:space="preserve">Lều Thị Thu </t>
  </si>
  <si>
    <t>LÝ DUY</t>
  </si>
  <si>
    <t>QUANG</t>
  </si>
  <si>
    <t>11DHTP10</t>
  </si>
  <si>
    <t>Bùi Hoàng Long</t>
  </si>
  <si>
    <t>Nguyễn Thị Trâm</t>
  </si>
  <si>
    <t>LÊ QUANG</t>
  </si>
  <si>
    <t>CẢNG</t>
  </si>
  <si>
    <t>Nguyễn Võ</t>
  </si>
  <si>
    <t>Huấn</t>
  </si>
  <si>
    <t>12DHDB03</t>
  </si>
  <si>
    <t>14DHDB03</t>
  </si>
  <si>
    <t>Lê Nguyễn Quang</t>
  </si>
  <si>
    <t>Khải</t>
  </si>
  <si>
    <t>Phạm Trung</t>
  </si>
  <si>
    <t>Nghĩa</t>
  </si>
  <si>
    <t>Võ Hoàng Bảo</t>
  </si>
  <si>
    <t>Ngô Khánh Bảo</t>
  </si>
  <si>
    <t>Nguyễn Thuận</t>
  </si>
  <si>
    <t>NGUYỄN VĂN LÊ</t>
  </si>
  <si>
    <t>PHƯỚC</t>
  </si>
  <si>
    <t>Lê Thị Lệ</t>
  </si>
  <si>
    <t>HUỲNH NGUYỄN TRIỆU</t>
  </si>
  <si>
    <t>VY</t>
  </si>
  <si>
    <t>Lương Thị Vân</t>
  </si>
  <si>
    <t>Nguyễn Phan Đông</t>
  </si>
  <si>
    <t>Đổng Kiến</t>
  </si>
  <si>
    <t>12DHDB_LV</t>
  </si>
  <si>
    <t>Tô Xuân</t>
  </si>
  <si>
    <t>Hà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</si>
</sst>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/mm\/yyyy"/>
  </numFmts>
  <fonts count="32" x14ac:knownFonts="1">
    <font>
      <sz val="11"/>
      <color rgb="FF000000"/>
      <name val="Calibri"/>
      <scheme val="minor"/>
    </font>
    <font>
      <sz val="11"/>
      <name val="Calibri"/>
      <family val="2"/>
      <charset val="163"/>
    </font>
    <font>
      <sz val="11"/>
      <color rgb="FF000000"/>
      <name val="Tahoma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1"/>
      <color rgb="FF000000"/>
      <name val="Calibri"/>
      <family val="2"/>
      <charset val="163"/>
    </font>
    <font>
      <sz val="11"/>
      <color rgb="FF000000"/>
      <name val="Calibri"/>
      <family val="2"/>
      <charset val="163"/>
    </font>
    <font>
      <b/>
      <sz val="11"/>
      <color theme="1"/>
      <name val="Calibri"/>
      <family val="2"/>
      <charset val="163"/>
      <scheme val="minor"/>
    </font>
    <font>
      <b/>
      <sz val="11"/>
      <color rgb="FF0000FF"/>
      <name val="Tahoma"/>
      <family val="2"/>
      <charset val="163"/>
    </font>
    <font>
      <sz val="11"/>
      <color indexed="8"/>
      <name val="Calibri"/>
      <family val="2"/>
      <charset val="163"/>
    </font>
    <font>
      <b/>
      <sz val="18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20"/>
      <color indexed="8"/>
      <name val="Times New Roman"/>
      <family val="1"/>
    </font>
    <font>
      <b/>
      <sz val="10"/>
      <color indexed="12"/>
      <name val="Tahoma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0"/>
      <color indexed="8"/>
      <name val="Arial"/>
      <family val="2"/>
    </font>
    <font>
      <sz val="10"/>
      <color indexed="8"/>
      <name val="Tahoma"/>
      <family val="2"/>
    </font>
    <font>
      <sz val="11"/>
      <color theme="1"/>
      <name val="Calibri"/>
      <family val="2"/>
      <charset val="163"/>
      <scheme val="minor"/>
    </font>
    <font>
      <b/>
      <sz val="11"/>
      <color rgb="FF000000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b/>
      <sz val="13"/>
      <color rgb="FF000000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  <font>
      <sz val="13"/>
      <color rgb="FF000000"/>
      <name val="Times New Roman"/>
      <family val="1"/>
    </font>
    <font>
      <sz val="11"/>
      <color theme="1"/>
      <name val="Calibri"/>
      <family val="2"/>
      <charset val="163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3"/>
      <name val="Times New Roman"/>
      <family val="1"/>
      <charset val="163"/>
    </font>
    <font>
      <sz val="10"/>
      <color theme="1"/>
      <name val="Calibri"/>
      <family val="2"/>
      <charset val="163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</borders>
  <cellStyleXfs count="3">
    <xf numFmtId="0" fontId="0" fillId="0" borderId="0"/>
    <xf numFmtId="0" fontId="8" fillId="0" borderId="1"/>
    <xf numFmtId="0" fontId="18" fillId="0" borderId="1"/>
  </cellStyleXfs>
  <cellXfs count="147">
    <xf numFmtId="0" fontId="0" fillId="0" borderId="0" xfId="0"/>
    <xf numFmtId="0" fontId="2" fillId="0" borderId="7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1" fillId="0" borderId="1" xfId="1" applyFont="1"/>
    <xf numFmtId="0" fontId="16" fillId="4" borderId="12" xfId="1" applyFont="1" applyFill="1" applyBorder="1" applyAlignment="1">
      <alignment horizontal="center" vertical="center"/>
    </xf>
    <xf numFmtId="0" fontId="16" fillId="4" borderId="12" xfId="1" quotePrefix="1" applyFont="1" applyFill="1" applyBorder="1" applyAlignment="1">
      <alignment horizontal="center" vertical="center"/>
    </xf>
    <xf numFmtId="0" fontId="16" fillId="4" borderId="13" xfId="1" applyFont="1" applyFill="1" applyBorder="1" applyAlignment="1">
      <alignment horizontal="left" vertical="center"/>
    </xf>
    <xf numFmtId="0" fontId="16" fillId="4" borderId="14" xfId="1" applyFont="1" applyFill="1" applyBorder="1" applyAlignment="1">
      <alignment horizontal="left" vertical="center"/>
    </xf>
    <xf numFmtId="0" fontId="16" fillId="4" borderId="12" xfId="1" applyFont="1" applyFill="1" applyBorder="1" applyAlignment="1">
      <alignment horizontal="left" vertical="center"/>
    </xf>
    <xf numFmtId="0" fontId="17" fillId="0" borderId="11" xfId="1" quotePrefix="1" applyFont="1" applyBorder="1" applyAlignment="1">
      <alignment horizontal="center" vertical="center"/>
    </xf>
    <xf numFmtId="2" fontId="17" fillId="0" borderId="15" xfId="1" applyNumberFormat="1" applyFont="1" applyBorder="1" applyAlignment="1">
      <alignment horizontal="left" vertical="center"/>
    </xf>
    <xf numFmtId="2" fontId="17" fillId="0" borderId="16" xfId="1" applyNumberFormat="1" applyFont="1" applyBorder="1" applyAlignment="1">
      <alignment horizontal="left" vertical="center"/>
    </xf>
    <xf numFmtId="2" fontId="17" fillId="0" borderId="11" xfId="1" quotePrefix="1" applyNumberFormat="1" applyFont="1" applyBorder="1" applyAlignment="1">
      <alignment horizontal="left" vertical="center" wrapText="1"/>
    </xf>
    <xf numFmtId="0" fontId="8" fillId="0" borderId="11" xfId="1" applyBorder="1" applyAlignment="1">
      <alignment horizontal="center" vertical="center"/>
    </xf>
    <xf numFmtId="0" fontId="18" fillId="0" borderId="1" xfId="2"/>
    <xf numFmtId="0" fontId="16" fillId="4" borderId="12" xfId="1" applyFont="1" applyFill="1" applyBorder="1" applyAlignment="1">
      <alignment horizontal="center" vertical="center" wrapText="1"/>
    </xf>
    <xf numFmtId="0" fontId="16" fillId="5" borderId="12" xfId="1" applyFont="1" applyFill="1" applyBorder="1" applyAlignment="1">
      <alignment horizontal="center" vertical="center"/>
    </xf>
    <xf numFmtId="0" fontId="16" fillId="5" borderId="12" xfId="1" quotePrefix="1" applyFont="1" applyFill="1" applyBorder="1" applyAlignment="1">
      <alignment horizontal="center" vertical="center"/>
    </xf>
    <xf numFmtId="0" fontId="16" fillId="5" borderId="13" xfId="1" applyFont="1" applyFill="1" applyBorder="1" applyAlignment="1">
      <alignment horizontal="left" vertical="center"/>
    </xf>
    <xf numFmtId="0" fontId="16" fillId="5" borderId="14" xfId="1" applyFont="1" applyFill="1" applyBorder="1" applyAlignment="1">
      <alignment horizontal="left" vertical="center"/>
    </xf>
    <xf numFmtId="0" fontId="16" fillId="5" borderId="12" xfId="1" applyFont="1" applyFill="1" applyBorder="1" applyAlignment="1">
      <alignment horizontal="left" vertical="center"/>
    </xf>
    <xf numFmtId="0" fontId="16" fillId="5" borderId="12" xfId="1" applyFont="1" applyFill="1" applyBorder="1" applyAlignment="1">
      <alignment horizontal="center" vertical="center" wrapText="1"/>
    </xf>
    <xf numFmtId="0" fontId="11" fillId="5" borderId="1" xfId="1" applyFont="1" applyFill="1"/>
    <xf numFmtId="0" fontId="11" fillId="5" borderId="1" xfId="1" applyFont="1" applyFill="1" applyAlignment="1">
      <alignment horizontal="center"/>
    </xf>
    <xf numFmtId="0" fontId="12" fillId="5" borderId="10" xfId="1" applyFont="1" applyFill="1" applyBorder="1" applyAlignment="1">
      <alignment horizontal="center" vertical="center"/>
    </xf>
    <xf numFmtId="0" fontId="13" fillId="5" borderId="11" xfId="1" applyFont="1" applyFill="1" applyBorder="1" applyAlignment="1">
      <alignment horizontal="center" vertical="center" wrapText="1"/>
    </xf>
    <xf numFmtId="0" fontId="13" fillId="5" borderId="15" xfId="1" applyFont="1" applyFill="1" applyBorder="1" applyAlignment="1">
      <alignment horizontal="center" vertical="center" wrapText="1"/>
    </xf>
    <xf numFmtId="0" fontId="13" fillId="5" borderId="19" xfId="1" applyFont="1" applyFill="1" applyBorder="1" applyAlignment="1">
      <alignment horizontal="center" vertical="center" wrapText="1"/>
    </xf>
    <xf numFmtId="0" fontId="15" fillId="5" borderId="1" xfId="1" applyFont="1" applyFill="1"/>
    <xf numFmtId="0" fontId="17" fillId="5" borderId="11" xfId="1" quotePrefix="1" applyFont="1" applyFill="1" applyBorder="1" applyAlignment="1">
      <alignment horizontal="center" vertical="center"/>
    </xf>
    <xf numFmtId="2" fontId="17" fillId="5" borderId="15" xfId="1" applyNumberFormat="1" applyFont="1" applyFill="1" applyBorder="1" applyAlignment="1">
      <alignment horizontal="left" vertical="center"/>
    </xf>
    <xf numFmtId="2" fontId="17" fillId="5" borderId="16" xfId="1" applyNumberFormat="1" applyFont="1" applyFill="1" applyBorder="1" applyAlignment="1">
      <alignment horizontal="left" vertical="center"/>
    </xf>
    <xf numFmtId="2" fontId="17" fillId="5" borderId="11" xfId="1" quotePrefix="1" applyNumberFormat="1" applyFont="1" applyFill="1" applyBorder="1" applyAlignment="1">
      <alignment horizontal="left" vertical="center" wrapText="1"/>
    </xf>
    <xf numFmtId="0" fontId="8" fillId="5" borderId="11" xfId="1" applyFill="1" applyBorder="1" applyAlignment="1">
      <alignment horizontal="center" vertical="center"/>
    </xf>
    <xf numFmtId="0" fontId="9" fillId="5" borderId="1" xfId="1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" fontId="21" fillId="0" borderId="7" xfId="0" applyNumberFormat="1" applyFont="1" applyBorder="1" applyAlignment="1">
      <alignment horizontal="center" vertical="center"/>
    </xf>
    <xf numFmtId="14" fontId="21" fillId="0" borderId="7" xfId="0" applyNumberFormat="1" applyFont="1" applyBorder="1" applyAlignment="1">
      <alignment horizontal="center" vertical="center"/>
    </xf>
    <xf numFmtId="0" fontId="22" fillId="0" borderId="20" xfId="0" quotePrefix="1" applyFont="1" applyBorder="1" applyAlignment="1">
      <alignment horizontal="center" vertical="center"/>
    </xf>
    <xf numFmtId="0" fontId="22" fillId="0" borderId="9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1" fontId="22" fillId="0" borderId="9" xfId="0" quotePrefix="1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/>
    <xf numFmtId="0" fontId="23" fillId="0" borderId="16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1" xfId="0" quotePrefix="1" applyFont="1" applyBorder="1" applyAlignment="1">
      <alignment horizontal="center" vertical="center" wrapText="1"/>
    </xf>
    <xf numFmtId="14" fontId="23" fillId="0" borderId="11" xfId="0" applyNumberFormat="1" applyFont="1" applyBorder="1" applyAlignment="1">
      <alignment horizontal="center" vertical="center" wrapText="1"/>
    </xf>
    <xf numFmtId="14" fontId="23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/>
    </xf>
    <xf numFmtId="0" fontId="23" fillId="0" borderId="16" xfId="0" applyFont="1" applyBorder="1" applyAlignment="1">
      <alignment horizontal="center" vertical="center"/>
    </xf>
    <xf numFmtId="49" fontId="23" fillId="0" borderId="11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4" fillId="0" borderId="11" xfId="0" quotePrefix="1" applyFont="1" applyBorder="1" applyAlignment="1">
      <alignment horizontal="center" vertical="center"/>
    </xf>
    <xf numFmtId="0" fontId="25" fillId="0" borderId="11" xfId="0" applyFont="1" applyBorder="1" applyAlignment="1">
      <alignment vertical="center"/>
    </xf>
    <xf numFmtId="1" fontId="23" fillId="0" borderId="11" xfId="0" applyNumberFormat="1" applyFont="1" applyBorder="1" applyAlignment="1">
      <alignment horizontal="center" vertical="center"/>
    </xf>
    <xf numFmtId="0" fontId="22" fillId="0" borderId="11" xfId="0" quotePrefix="1" applyFont="1" applyBorder="1" applyAlignment="1">
      <alignment horizontal="center" vertical="center"/>
    </xf>
    <xf numFmtId="0" fontId="23" fillId="0" borderId="11" xfId="0" quotePrefix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3" fillId="0" borderId="11" xfId="0" applyFont="1" applyBorder="1" applyAlignment="1">
      <alignment vertical="center"/>
    </xf>
    <xf numFmtId="0" fontId="14" fillId="5" borderId="11" xfId="1" applyFont="1" applyFill="1" applyBorder="1" applyAlignment="1">
      <alignment horizontal="center" vertical="center"/>
    </xf>
    <xf numFmtId="0" fontId="30" fillId="6" borderId="21" xfId="0" applyFont="1" applyFill="1" applyBorder="1" applyAlignment="1">
      <alignment vertical="center"/>
    </xf>
    <xf numFmtId="0" fontId="30" fillId="7" borderId="22" xfId="0" applyFont="1" applyFill="1" applyBorder="1" applyAlignment="1">
      <alignment vertical="center"/>
    </xf>
    <xf numFmtId="0" fontId="30" fillId="7" borderId="23" xfId="0" applyFont="1" applyFill="1" applyBorder="1" applyAlignment="1">
      <alignment vertical="center"/>
    </xf>
    <xf numFmtId="0" fontId="14" fillId="5" borderId="11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31" fillId="0" borderId="2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wrapText="1"/>
    </xf>
    <xf numFmtId="0" fontId="31" fillId="0" borderId="24" xfId="0" applyFont="1" applyBorder="1" applyAlignment="1">
      <alignment horizontal="left" wrapText="1"/>
    </xf>
    <xf numFmtId="0" fontId="26" fillId="0" borderId="0" xfId="0" applyFont="1" applyAlignment="1">
      <alignment horizontal="left"/>
    </xf>
    <xf numFmtId="0" fontId="12" fillId="5" borderId="1" xfId="1" applyFont="1" applyFill="1" applyAlignment="1">
      <alignment horizontal="center" vertical="center"/>
    </xf>
    <xf numFmtId="0" fontId="14" fillId="5" borderId="11" xfId="1" applyFont="1" applyFill="1" applyBorder="1" applyAlignment="1">
      <alignment vertical="center"/>
    </xf>
    <xf numFmtId="0" fontId="17" fillId="0" borderId="11" xfId="0" quotePrefix="1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/>
    </xf>
    <xf numFmtId="0" fontId="16" fillId="8" borderId="12" xfId="1" quotePrefix="1" applyFont="1" applyFill="1" applyBorder="1" applyAlignment="1">
      <alignment horizontal="center" vertical="center"/>
    </xf>
    <xf numFmtId="0" fontId="17" fillId="8" borderId="11" xfId="1" quotePrefix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/>
    <xf numFmtId="0" fontId="4" fillId="0" borderId="9" xfId="0" applyFont="1" applyBorder="1" applyAlignment="1">
      <alignment horizontal="center" vertical="center"/>
    </xf>
    <xf numFmtId="0" fontId="1" fillId="0" borderId="6" xfId="0" applyFont="1" applyBorder="1"/>
    <xf numFmtId="0" fontId="4" fillId="2" borderId="3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4" xfId="0" applyFont="1" applyBorder="1"/>
    <xf numFmtId="0" fontId="4" fillId="3" borderId="3" xfId="0" applyFont="1" applyFill="1" applyBorder="1" applyAlignment="1">
      <alignment horizontal="center" vertical="center"/>
    </xf>
    <xf numFmtId="0" fontId="9" fillId="5" borderId="1" xfId="1" applyFont="1" applyFill="1" applyAlignment="1">
      <alignment horizontal="center" wrapText="1"/>
    </xf>
    <xf numFmtId="0" fontId="9" fillId="5" borderId="1" xfId="1" applyFont="1" applyFill="1" applyAlignment="1">
      <alignment horizontal="center"/>
    </xf>
    <xf numFmtId="1" fontId="21" fillId="0" borderId="5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2" fillId="0" borderId="20" xfId="0" quotePrefix="1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9" fillId="0" borderId="18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center" vertical="center"/>
    </xf>
    <xf numFmtId="0" fontId="23" fillId="0" borderId="25" xfId="0" quotePrefix="1" applyFont="1" applyBorder="1" applyAlignment="1">
      <alignment horizontal="center" vertical="center" wrapText="1"/>
    </xf>
    <xf numFmtId="14" fontId="23" fillId="0" borderId="25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30" fillId="7" borderId="28" xfId="0" applyFont="1" applyFill="1" applyBorder="1" applyAlignment="1">
      <alignment vertical="center"/>
    </xf>
    <xf numFmtId="0" fontId="18" fillId="0" borderId="11" xfId="2" applyBorder="1"/>
    <xf numFmtId="2" fontId="17" fillId="0" borderId="11" xfId="0" applyNumberFormat="1" applyFont="1" applyBorder="1" applyAlignment="1">
      <alignment horizontal="left" vertical="center"/>
    </xf>
    <xf numFmtId="2" fontId="17" fillId="0" borderId="11" xfId="0" quotePrefix="1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1101</xdr:colOff>
      <xdr:row>0</xdr:row>
      <xdr:rowOff>128555</xdr:rowOff>
    </xdr:from>
    <xdr:to>
      <xdr:col>7</xdr:col>
      <xdr:colOff>591903</xdr:colOff>
      <xdr:row>3</xdr:row>
      <xdr:rowOff>147605</xdr:rowOff>
    </xdr:to>
    <xdr:sp macro="" textlink="" fLocksText="0">
      <xdr:nvSpPr>
        <xdr:cNvPr id="2" name="TextBox 3">
          <a:extLst>
            <a:ext uri="{FF2B5EF4-FFF2-40B4-BE49-F238E27FC236}">
              <a16:creationId xmlns:a16="http://schemas.microsoft.com/office/drawing/2014/main" id="{2BABB6AF-316B-4DEE-88D5-0CA4B37C6E9D}"/>
            </a:ext>
          </a:extLst>
        </xdr:cNvPr>
        <xdr:cNvSpPr txBox="1">
          <a:spLocks noChangeArrowheads="1"/>
        </xdr:cNvSpPr>
      </xdr:nvSpPr>
      <xdr:spPr bwMode="auto">
        <a:xfrm>
          <a:off x="4776301" y="128555"/>
          <a:ext cx="4362632" cy="5143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CỘNG HOÀ XÃ HỘI CHỦ NGHĨA VIỆT NAM</a:t>
          </a: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Độc lập - Tự do - Hạnh phúc</a:t>
          </a:r>
          <a:endParaRPr lang="en-US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4</xdr:col>
      <xdr:colOff>122254</xdr:colOff>
      <xdr:row>3</xdr:row>
      <xdr:rowOff>339727</xdr:rowOff>
    </xdr:to>
    <xdr:sp macro="" textlink="" fLocksText="0">
      <xdr:nvSpPr>
        <xdr:cNvPr id="3" name="TextBox 5">
          <a:extLst>
            <a:ext uri="{FF2B5EF4-FFF2-40B4-BE49-F238E27FC236}">
              <a16:creationId xmlns:a16="http://schemas.microsoft.com/office/drawing/2014/main" id="{913071DE-7CA9-4D6C-92D5-24786B0C6208}"/>
            </a:ext>
          </a:extLst>
        </xdr:cNvPr>
        <xdr:cNvSpPr txBox="1">
          <a:spLocks noChangeArrowheads="1"/>
        </xdr:cNvSpPr>
      </xdr:nvSpPr>
      <xdr:spPr bwMode="auto">
        <a:xfrm>
          <a:off x="368300" y="95250"/>
          <a:ext cx="2931027" cy="73977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BỘ CÔNG THƯƠNG</a:t>
          </a:r>
          <a:endParaRPr lang="en-US" sz="9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TRƯỜNG ĐẠI HỌC CÔNG THƯƠNG </a:t>
          </a:r>
        </a:p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THÀNH PHỐ HỒ CHÍ MINH</a:t>
          </a:r>
        </a:p>
      </xdr:txBody>
    </xdr:sp>
    <xdr:clientData/>
  </xdr:twoCellAnchor>
  <xdr:twoCellAnchor editAs="oneCell">
    <xdr:from>
      <xdr:col>0</xdr:col>
      <xdr:colOff>279400</xdr:colOff>
      <xdr:row>0</xdr:row>
      <xdr:rowOff>69850</xdr:rowOff>
    </xdr:from>
    <xdr:to>
      <xdr:col>1</xdr:col>
      <xdr:colOff>285750</xdr:colOff>
      <xdr:row>2</xdr:row>
      <xdr:rowOff>114300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79F8F33-2A7D-4F2E-9816-F2AEDE39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69850"/>
          <a:ext cx="37465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53125" defaultRowHeight="15" customHeight="1" x14ac:dyDescent="0.35"/>
  <cols>
    <col min="1" max="1" width="4.1796875" customWidth="1"/>
    <col min="2" max="2" width="19.81640625" customWidth="1"/>
    <col min="3" max="8" width="10.08984375" customWidth="1"/>
    <col min="9" max="9" width="8.81640625" customWidth="1"/>
    <col min="10" max="26" width="8" customWidth="1"/>
  </cols>
  <sheetData>
    <row r="1" spans="1:26" ht="26.25" customHeight="1" x14ac:dyDescent="0.35">
      <c r="A1" s="109" t="s">
        <v>917</v>
      </c>
      <c r="B1" s="110"/>
      <c r="C1" s="110"/>
      <c r="D1" s="110"/>
      <c r="E1" s="110"/>
      <c r="F1" s="110"/>
      <c r="G1" s="110"/>
      <c r="H1" s="110"/>
      <c r="I1" s="11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5">
      <c r="A2" s="111" t="s">
        <v>0</v>
      </c>
      <c r="B2" s="111" t="s">
        <v>918</v>
      </c>
      <c r="C2" s="113" t="s">
        <v>919</v>
      </c>
      <c r="D2" s="114"/>
      <c r="E2" s="115"/>
      <c r="F2" s="116" t="s">
        <v>920</v>
      </c>
      <c r="G2" s="114"/>
      <c r="H2" s="11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35">
      <c r="A3" s="112"/>
      <c r="B3" s="112"/>
      <c r="C3" s="6" t="s">
        <v>921</v>
      </c>
      <c r="D3" s="6" t="s">
        <v>922</v>
      </c>
      <c r="E3" s="6" t="s">
        <v>923</v>
      </c>
      <c r="F3" s="7" t="s">
        <v>921</v>
      </c>
      <c r="G3" s="7" t="s">
        <v>922</v>
      </c>
      <c r="H3" s="7" t="s">
        <v>923</v>
      </c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5">
      <c r="A4" s="8">
        <v>1</v>
      </c>
      <c r="B4" s="9" t="s">
        <v>924</v>
      </c>
      <c r="C4" s="10"/>
      <c r="D4" s="10"/>
      <c r="E4" s="10"/>
      <c r="F4" s="11"/>
      <c r="G4" s="11"/>
      <c r="H4" s="11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5">
      <c r="A5" s="8">
        <v>2</v>
      </c>
      <c r="B5" s="9" t="s">
        <v>925</v>
      </c>
      <c r="C5" s="10"/>
      <c r="D5" s="10"/>
      <c r="E5" s="10"/>
      <c r="F5" s="11"/>
      <c r="G5" s="11"/>
      <c r="H5" s="11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5">
      <c r="A6" s="8">
        <v>3</v>
      </c>
      <c r="B6" s="9" t="s">
        <v>926</v>
      </c>
      <c r="C6" s="10"/>
      <c r="D6" s="10"/>
      <c r="E6" s="10"/>
      <c r="F6" s="11"/>
      <c r="G6" s="11"/>
      <c r="H6" s="11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5">
      <c r="A7" s="8">
        <v>4</v>
      </c>
      <c r="B7" s="9" t="s">
        <v>927</v>
      </c>
      <c r="C7" s="10"/>
      <c r="D7" s="10"/>
      <c r="E7" s="10"/>
      <c r="F7" s="11"/>
      <c r="G7" s="11"/>
      <c r="H7" s="11"/>
      <c r="I7" s="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5">
      <c r="A8" s="8">
        <v>5</v>
      </c>
      <c r="B8" s="9" t="s">
        <v>928</v>
      </c>
      <c r="C8" s="10"/>
      <c r="D8" s="10"/>
      <c r="E8" s="10"/>
      <c r="F8" s="11"/>
      <c r="G8" s="11"/>
      <c r="H8" s="11"/>
      <c r="I8" s="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5">
      <c r="A9" s="8">
        <v>6</v>
      </c>
      <c r="B9" s="9" t="s">
        <v>929</v>
      </c>
      <c r="C9" s="10"/>
      <c r="D9" s="10"/>
      <c r="E9" s="10"/>
      <c r="F9" s="11"/>
      <c r="G9" s="11"/>
      <c r="H9" s="11"/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5">
      <c r="A10" s="8">
        <v>7</v>
      </c>
      <c r="B10" s="9"/>
      <c r="C10" s="10"/>
      <c r="D10" s="10"/>
      <c r="E10" s="10"/>
      <c r="F10" s="11"/>
      <c r="G10" s="11"/>
      <c r="H10" s="11"/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5">
      <c r="A11" s="8">
        <v>8</v>
      </c>
      <c r="B11" s="9"/>
      <c r="C11" s="10"/>
      <c r="D11" s="10"/>
      <c r="E11" s="10"/>
      <c r="F11" s="11"/>
      <c r="G11" s="11"/>
      <c r="H11" s="11"/>
      <c r="I11" s="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5">
      <c r="A12" s="8">
        <v>9</v>
      </c>
      <c r="B12" s="9"/>
      <c r="C12" s="10"/>
      <c r="D12" s="10"/>
      <c r="E12" s="10"/>
      <c r="F12" s="11"/>
      <c r="G12" s="11"/>
      <c r="H12" s="11"/>
      <c r="I12" s="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5">
      <c r="A15" s="4"/>
      <c r="B15" s="4"/>
      <c r="C15" s="4"/>
      <c r="D15" s="4"/>
      <c r="E15" s="4"/>
      <c r="F15" s="4"/>
      <c r="G15" s="4">
        <f>30*0.75*100*3</f>
        <v>6750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2:A3"/>
    <mergeCell ref="B2:B3"/>
    <mergeCell ref="C2:E2"/>
    <mergeCell ref="F2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J821"/>
  <sheetViews>
    <sheetView showGridLines="0" zoomScale="91" zoomScaleNormal="100" zoomScaleSheetLayoutView="98" workbookViewId="0">
      <selection activeCell="G12" sqref="G12"/>
    </sheetView>
  </sheetViews>
  <sheetFormatPr defaultColWidth="9.1796875" defaultRowHeight="13" x14ac:dyDescent="0.3"/>
  <cols>
    <col min="1" max="1" width="5.1796875" style="37" customWidth="1"/>
    <col min="2" max="2" width="12.1796875" style="38" customWidth="1"/>
    <col min="3" max="3" width="19.81640625" style="37" bestFit="1" customWidth="1"/>
    <col min="4" max="4" width="8.1796875" style="37" bestFit="1" customWidth="1"/>
    <col min="5" max="5" width="10.1796875" style="37" bestFit="1" customWidth="1"/>
    <col min="6" max="6" width="13.08984375" style="37" customWidth="1"/>
    <col min="7" max="7" width="22.36328125" style="38" customWidth="1"/>
    <col min="8" max="9" width="12.6328125" style="38" customWidth="1"/>
    <col min="10" max="10" width="16.08984375" style="37" customWidth="1"/>
    <col min="11" max="257" width="9.1796875" style="37"/>
    <col min="258" max="258" width="5.1796875" style="37" customWidth="1"/>
    <col min="259" max="259" width="15.54296875" style="37" customWidth="1"/>
    <col min="260" max="260" width="17.1796875" style="37" customWidth="1"/>
    <col min="261" max="261" width="9.453125" style="37" customWidth="1"/>
    <col min="262" max="262" width="10.1796875" style="37" customWidth="1"/>
    <col min="263" max="263" width="16.1796875" style="37" customWidth="1"/>
    <col min="264" max="264" width="12.453125" style="37" bestFit="1" customWidth="1"/>
    <col min="265" max="265" width="24.453125" style="37" customWidth="1"/>
    <col min="266" max="513" width="9.1796875" style="37"/>
    <col min="514" max="514" width="5.1796875" style="37" customWidth="1"/>
    <col min="515" max="515" width="15.54296875" style="37" customWidth="1"/>
    <col min="516" max="516" width="17.1796875" style="37" customWidth="1"/>
    <col min="517" max="517" width="9.453125" style="37" customWidth="1"/>
    <col min="518" max="518" width="10.1796875" style="37" customWidth="1"/>
    <col min="519" max="519" width="16.1796875" style="37" customWidth="1"/>
    <col min="520" max="520" width="12.453125" style="37" bestFit="1" customWidth="1"/>
    <col min="521" max="521" width="24.453125" style="37" customWidth="1"/>
    <col min="522" max="769" width="9.1796875" style="37"/>
    <col min="770" max="770" width="5.1796875" style="37" customWidth="1"/>
    <col min="771" max="771" width="15.54296875" style="37" customWidth="1"/>
    <col min="772" max="772" width="17.1796875" style="37" customWidth="1"/>
    <col min="773" max="773" width="9.453125" style="37" customWidth="1"/>
    <col min="774" max="774" width="10.1796875" style="37" customWidth="1"/>
    <col min="775" max="775" width="16.1796875" style="37" customWidth="1"/>
    <col min="776" max="776" width="12.453125" style="37" bestFit="1" customWidth="1"/>
    <col min="777" max="777" width="24.453125" style="37" customWidth="1"/>
    <col min="778" max="1025" width="9.1796875" style="37"/>
    <col min="1026" max="1026" width="5.1796875" style="37" customWidth="1"/>
    <col min="1027" max="1027" width="15.54296875" style="37" customWidth="1"/>
    <col min="1028" max="1028" width="17.1796875" style="37" customWidth="1"/>
    <col min="1029" max="1029" width="9.453125" style="37" customWidth="1"/>
    <col min="1030" max="1030" width="10.1796875" style="37" customWidth="1"/>
    <col min="1031" max="1031" width="16.1796875" style="37" customWidth="1"/>
    <col min="1032" max="1032" width="12.453125" style="37" bestFit="1" customWidth="1"/>
    <col min="1033" max="1033" width="24.453125" style="37" customWidth="1"/>
    <col min="1034" max="1281" width="9.1796875" style="37"/>
    <col min="1282" max="1282" width="5.1796875" style="37" customWidth="1"/>
    <col min="1283" max="1283" width="15.54296875" style="37" customWidth="1"/>
    <col min="1284" max="1284" width="17.1796875" style="37" customWidth="1"/>
    <col min="1285" max="1285" width="9.453125" style="37" customWidth="1"/>
    <col min="1286" max="1286" width="10.1796875" style="37" customWidth="1"/>
    <col min="1287" max="1287" width="16.1796875" style="37" customWidth="1"/>
    <col min="1288" max="1288" width="12.453125" style="37" bestFit="1" customWidth="1"/>
    <col min="1289" max="1289" width="24.453125" style="37" customWidth="1"/>
    <col min="1290" max="1537" width="9.1796875" style="37"/>
    <col min="1538" max="1538" width="5.1796875" style="37" customWidth="1"/>
    <col min="1539" max="1539" width="15.54296875" style="37" customWidth="1"/>
    <col min="1540" max="1540" width="17.1796875" style="37" customWidth="1"/>
    <col min="1541" max="1541" width="9.453125" style="37" customWidth="1"/>
    <col min="1542" max="1542" width="10.1796875" style="37" customWidth="1"/>
    <col min="1543" max="1543" width="16.1796875" style="37" customWidth="1"/>
    <col min="1544" max="1544" width="12.453125" style="37" bestFit="1" customWidth="1"/>
    <col min="1545" max="1545" width="24.453125" style="37" customWidth="1"/>
    <col min="1546" max="1793" width="9.1796875" style="37"/>
    <col min="1794" max="1794" width="5.1796875" style="37" customWidth="1"/>
    <col min="1795" max="1795" width="15.54296875" style="37" customWidth="1"/>
    <col min="1796" max="1796" width="17.1796875" style="37" customWidth="1"/>
    <col min="1797" max="1797" width="9.453125" style="37" customWidth="1"/>
    <col min="1798" max="1798" width="10.1796875" style="37" customWidth="1"/>
    <col min="1799" max="1799" width="16.1796875" style="37" customWidth="1"/>
    <col min="1800" max="1800" width="12.453125" style="37" bestFit="1" customWidth="1"/>
    <col min="1801" max="1801" width="24.453125" style="37" customWidth="1"/>
    <col min="1802" max="2049" width="9.1796875" style="37"/>
    <col min="2050" max="2050" width="5.1796875" style="37" customWidth="1"/>
    <col min="2051" max="2051" width="15.54296875" style="37" customWidth="1"/>
    <col min="2052" max="2052" width="17.1796875" style="37" customWidth="1"/>
    <col min="2053" max="2053" width="9.453125" style="37" customWidth="1"/>
    <col min="2054" max="2054" width="10.1796875" style="37" customWidth="1"/>
    <col min="2055" max="2055" width="16.1796875" style="37" customWidth="1"/>
    <col min="2056" max="2056" width="12.453125" style="37" bestFit="1" customWidth="1"/>
    <col min="2057" max="2057" width="24.453125" style="37" customWidth="1"/>
    <col min="2058" max="2305" width="9.1796875" style="37"/>
    <col min="2306" max="2306" width="5.1796875" style="37" customWidth="1"/>
    <col min="2307" max="2307" width="15.54296875" style="37" customWidth="1"/>
    <col min="2308" max="2308" width="17.1796875" style="37" customWidth="1"/>
    <col min="2309" max="2309" width="9.453125" style="37" customWidth="1"/>
    <col min="2310" max="2310" width="10.1796875" style="37" customWidth="1"/>
    <col min="2311" max="2311" width="16.1796875" style="37" customWidth="1"/>
    <col min="2312" max="2312" width="12.453125" style="37" bestFit="1" customWidth="1"/>
    <col min="2313" max="2313" width="24.453125" style="37" customWidth="1"/>
    <col min="2314" max="2561" width="9.1796875" style="37"/>
    <col min="2562" max="2562" width="5.1796875" style="37" customWidth="1"/>
    <col min="2563" max="2563" width="15.54296875" style="37" customWidth="1"/>
    <col min="2564" max="2564" width="17.1796875" style="37" customWidth="1"/>
    <col min="2565" max="2565" width="9.453125" style="37" customWidth="1"/>
    <col min="2566" max="2566" width="10.1796875" style="37" customWidth="1"/>
    <col min="2567" max="2567" width="16.1796875" style="37" customWidth="1"/>
    <col min="2568" max="2568" width="12.453125" style="37" bestFit="1" customWidth="1"/>
    <col min="2569" max="2569" width="24.453125" style="37" customWidth="1"/>
    <col min="2570" max="2817" width="9.1796875" style="37"/>
    <col min="2818" max="2818" width="5.1796875" style="37" customWidth="1"/>
    <col min="2819" max="2819" width="15.54296875" style="37" customWidth="1"/>
    <col min="2820" max="2820" width="17.1796875" style="37" customWidth="1"/>
    <col min="2821" max="2821" width="9.453125" style="37" customWidth="1"/>
    <col min="2822" max="2822" width="10.1796875" style="37" customWidth="1"/>
    <col min="2823" max="2823" width="16.1796875" style="37" customWidth="1"/>
    <col min="2824" max="2824" width="12.453125" style="37" bestFit="1" customWidth="1"/>
    <col min="2825" max="2825" width="24.453125" style="37" customWidth="1"/>
    <col min="2826" max="3073" width="9.1796875" style="37"/>
    <col min="3074" max="3074" width="5.1796875" style="37" customWidth="1"/>
    <col min="3075" max="3075" width="15.54296875" style="37" customWidth="1"/>
    <col min="3076" max="3076" width="17.1796875" style="37" customWidth="1"/>
    <col min="3077" max="3077" width="9.453125" style="37" customWidth="1"/>
    <col min="3078" max="3078" width="10.1796875" style="37" customWidth="1"/>
    <col min="3079" max="3079" width="16.1796875" style="37" customWidth="1"/>
    <col min="3080" max="3080" width="12.453125" style="37" bestFit="1" customWidth="1"/>
    <col min="3081" max="3081" width="24.453125" style="37" customWidth="1"/>
    <col min="3082" max="3329" width="9.1796875" style="37"/>
    <col min="3330" max="3330" width="5.1796875" style="37" customWidth="1"/>
    <col min="3331" max="3331" width="15.54296875" style="37" customWidth="1"/>
    <col min="3332" max="3332" width="17.1796875" style="37" customWidth="1"/>
    <col min="3333" max="3333" width="9.453125" style="37" customWidth="1"/>
    <col min="3334" max="3334" width="10.1796875" style="37" customWidth="1"/>
    <col min="3335" max="3335" width="16.1796875" style="37" customWidth="1"/>
    <col min="3336" max="3336" width="12.453125" style="37" bestFit="1" customWidth="1"/>
    <col min="3337" max="3337" width="24.453125" style="37" customWidth="1"/>
    <col min="3338" max="3585" width="9.1796875" style="37"/>
    <col min="3586" max="3586" width="5.1796875" style="37" customWidth="1"/>
    <col min="3587" max="3587" width="15.54296875" style="37" customWidth="1"/>
    <col min="3588" max="3588" width="17.1796875" style="37" customWidth="1"/>
    <col min="3589" max="3589" width="9.453125" style="37" customWidth="1"/>
    <col min="3590" max="3590" width="10.1796875" style="37" customWidth="1"/>
    <col min="3591" max="3591" width="16.1796875" style="37" customWidth="1"/>
    <col min="3592" max="3592" width="12.453125" style="37" bestFit="1" customWidth="1"/>
    <col min="3593" max="3593" width="24.453125" style="37" customWidth="1"/>
    <col min="3594" max="3841" width="9.1796875" style="37"/>
    <col min="3842" max="3842" width="5.1796875" style="37" customWidth="1"/>
    <col min="3843" max="3843" width="15.54296875" style="37" customWidth="1"/>
    <col min="3844" max="3844" width="17.1796875" style="37" customWidth="1"/>
    <col min="3845" max="3845" width="9.453125" style="37" customWidth="1"/>
    <col min="3846" max="3846" width="10.1796875" style="37" customWidth="1"/>
    <col min="3847" max="3847" width="16.1796875" style="37" customWidth="1"/>
    <col min="3848" max="3848" width="12.453125" style="37" bestFit="1" customWidth="1"/>
    <col min="3849" max="3849" width="24.453125" style="37" customWidth="1"/>
    <col min="3850" max="4097" width="9.1796875" style="37"/>
    <col min="4098" max="4098" width="5.1796875" style="37" customWidth="1"/>
    <col min="4099" max="4099" width="15.54296875" style="37" customWidth="1"/>
    <col min="4100" max="4100" width="17.1796875" style="37" customWidth="1"/>
    <col min="4101" max="4101" width="9.453125" style="37" customWidth="1"/>
    <col min="4102" max="4102" width="10.1796875" style="37" customWidth="1"/>
    <col min="4103" max="4103" width="16.1796875" style="37" customWidth="1"/>
    <col min="4104" max="4104" width="12.453125" style="37" bestFit="1" customWidth="1"/>
    <col min="4105" max="4105" width="24.453125" style="37" customWidth="1"/>
    <col min="4106" max="4353" width="9.1796875" style="37"/>
    <col min="4354" max="4354" width="5.1796875" style="37" customWidth="1"/>
    <col min="4355" max="4355" width="15.54296875" style="37" customWidth="1"/>
    <col min="4356" max="4356" width="17.1796875" style="37" customWidth="1"/>
    <col min="4357" max="4357" width="9.453125" style="37" customWidth="1"/>
    <col min="4358" max="4358" width="10.1796875" style="37" customWidth="1"/>
    <col min="4359" max="4359" width="16.1796875" style="37" customWidth="1"/>
    <col min="4360" max="4360" width="12.453125" style="37" bestFit="1" customWidth="1"/>
    <col min="4361" max="4361" width="24.453125" style="37" customWidth="1"/>
    <col min="4362" max="4609" width="9.1796875" style="37"/>
    <col min="4610" max="4610" width="5.1796875" style="37" customWidth="1"/>
    <col min="4611" max="4611" width="15.54296875" style="37" customWidth="1"/>
    <col min="4612" max="4612" width="17.1796875" style="37" customWidth="1"/>
    <col min="4613" max="4613" width="9.453125" style="37" customWidth="1"/>
    <col min="4614" max="4614" width="10.1796875" style="37" customWidth="1"/>
    <col min="4615" max="4615" width="16.1796875" style="37" customWidth="1"/>
    <col min="4616" max="4616" width="12.453125" style="37" bestFit="1" customWidth="1"/>
    <col min="4617" max="4617" width="24.453125" style="37" customWidth="1"/>
    <col min="4618" max="4865" width="9.1796875" style="37"/>
    <col min="4866" max="4866" width="5.1796875" style="37" customWidth="1"/>
    <col min="4867" max="4867" width="15.54296875" style="37" customWidth="1"/>
    <col min="4868" max="4868" width="17.1796875" style="37" customWidth="1"/>
    <col min="4869" max="4869" width="9.453125" style="37" customWidth="1"/>
    <col min="4870" max="4870" width="10.1796875" style="37" customWidth="1"/>
    <col min="4871" max="4871" width="16.1796875" style="37" customWidth="1"/>
    <col min="4872" max="4872" width="12.453125" style="37" bestFit="1" customWidth="1"/>
    <col min="4873" max="4873" width="24.453125" style="37" customWidth="1"/>
    <col min="4874" max="5121" width="9.1796875" style="37"/>
    <col min="5122" max="5122" width="5.1796875" style="37" customWidth="1"/>
    <col min="5123" max="5123" width="15.54296875" style="37" customWidth="1"/>
    <col min="5124" max="5124" width="17.1796875" style="37" customWidth="1"/>
    <col min="5125" max="5125" width="9.453125" style="37" customWidth="1"/>
    <col min="5126" max="5126" width="10.1796875" style="37" customWidth="1"/>
    <col min="5127" max="5127" width="16.1796875" style="37" customWidth="1"/>
    <col min="5128" max="5128" width="12.453125" style="37" bestFit="1" customWidth="1"/>
    <col min="5129" max="5129" width="24.453125" style="37" customWidth="1"/>
    <col min="5130" max="5377" width="9.1796875" style="37"/>
    <col min="5378" max="5378" width="5.1796875" style="37" customWidth="1"/>
    <col min="5379" max="5379" width="15.54296875" style="37" customWidth="1"/>
    <col min="5380" max="5380" width="17.1796875" style="37" customWidth="1"/>
    <col min="5381" max="5381" width="9.453125" style="37" customWidth="1"/>
    <col min="5382" max="5382" width="10.1796875" style="37" customWidth="1"/>
    <col min="5383" max="5383" width="16.1796875" style="37" customWidth="1"/>
    <col min="5384" max="5384" width="12.453125" style="37" bestFit="1" customWidth="1"/>
    <col min="5385" max="5385" width="24.453125" style="37" customWidth="1"/>
    <col min="5386" max="5633" width="9.1796875" style="37"/>
    <col min="5634" max="5634" width="5.1796875" style="37" customWidth="1"/>
    <col min="5635" max="5635" width="15.54296875" style="37" customWidth="1"/>
    <col min="5636" max="5636" width="17.1796875" style="37" customWidth="1"/>
    <col min="5637" max="5637" width="9.453125" style="37" customWidth="1"/>
    <col min="5638" max="5638" width="10.1796875" style="37" customWidth="1"/>
    <col min="5639" max="5639" width="16.1796875" style="37" customWidth="1"/>
    <col min="5640" max="5640" width="12.453125" style="37" bestFit="1" customWidth="1"/>
    <col min="5641" max="5641" width="24.453125" style="37" customWidth="1"/>
    <col min="5642" max="5889" width="9.1796875" style="37"/>
    <col min="5890" max="5890" width="5.1796875" style="37" customWidth="1"/>
    <col min="5891" max="5891" width="15.54296875" style="37" customWidth="1"/>
    <col min="5892" max="5892" width="17.1796875" style="37" customWidth="1"/>
    <col min="5893" max="5893" width="9.453125" style="37" customWidth="1"/>
    <col min="5894" max="5894" width="10.1796875" style="37" customWidth="1"/>
    <col min="5895" max="5895" width="16.1796875" style="37" customWidth="1"/>
    <col min="5896" max="5896" width="12.453125" style="37" bestFit="1" customWidth="1"/>
    <col min="5897" max="5897" width="24.453125" style="37" customWidth="1"/>
    <col min="5898" max="6145" width="9.1796875" style="37"/>
    <col min="6146" max="6146" width="5.1796875" style="37" customWidth="1"/>
    <col min="6147" max="6147" width="15.54296875" style="37" customWidth="1"/>
    <col min="6148" max="6148" width="17.1796875" style="37" customWidth="1"/>
    <col min="6149" max="6149" width="9.453125" style="37" customWidth="1"/>
    <col min="6150" max="6150" width="10.1796875" style="37" customWidth="1"/>
    <col min="6151" max="6151" width="16.1796875" style="37" customWidth="1"/>
    <col min="6152" max="6152" width="12.453125" style="37" bestFit="1" customWidth="1"/>
    <col min="6153" max="6153" width="24.453125" style="37" customWidth="1"/>
    <col min="6154" max="6401" width="9.1796875" style="37"/>
    <col min="6402" max="6402" width="5.1796875" style="37" customWidth="1"/>
    <col min="6403" max="6403" width="15.54296875" style="37" customWidth="1"/>
    <col min="6404" max="6404" width="17.1796875" style="37" customWidth="1"/>
    <col min="6405" max="6405" width="9.453125" style="37" customWidth="1"/>
    <col min="6406" max="6406" width="10.1796875" style="37" customWidth="1"/>
    <col min="6407" max="6407" width="16.1796875" style="37" customWidth="1"/>
    <col min="6408" max="6408" width="12.453125" style="37" bestFit="1" customWidth="1"/>
    <col min="6409" max="6409" width="24.453125" style="37" customWidth="1"/>
    <col min="6410" max="6657" width="9.1796875" style="37"/>
    <col min="6658" max="6658" width="5.1796875" style="37" customWidth="1"/>
    <col min="6659" max="6659" width="15.54296875" style="37" customWidth="1"/>
    <col min="6660" max="6660" width="17.1796875" style="37" customWidth="1"/>
    <col min="6661" max="6661" width="9.453125" style="37" customWidth="1"/>
    <col min="6662" max="6662" width="10.1796875" style="37" customWidth="1"/>
    <col min="6663" max="6663" width="16.1796875" style="37" customWidth="1"/>
    <col min="6664" max="6664" width="12.453125" style="37" bestFit="1" customWidth="1"/>
    <col min="6665" max="6665" width="24.453125" style="37" customWidth="1"/>
    <col min="6666" max="6913" width="9.1796875" style="37"/>
    <col min="6914" max="6914" width="5.1796875" style="37" customWidth="1"/>
    <col min="6915" max="6915" width="15.54296875" style="37" customWidth="1"/>
    <col min="6916" max="6916" width="17.1796875" style="37" customWidth="1"/>
    <col min="6917" max="6917" width="9.453125" style="37" customWidth="1"/>
    <col min="6918" max="6918" width="10.1796875" style="37" customWidth="1"/>
    <col min="6919" max="6919" width="16.1796875" style="37" customWidth="1"/>
    <col min="6920" max="6920" width="12.453125" style="37" bestFit="1" customWidth="1"/>
    <col min="6921" max="6921" width="24.453125" style="37" customWidth="1"/>
    <col min="6922" max="7169" width="9.1796875" style="37"/>
    <col min="7170" max="7170" width="5.1796875" style="37" customWidth="1"/>
    <col min="7171" max="7171" width="15.54296875" style="37" customWidth="1"/>
    <col min="7172" max="7172" width="17.1796875" style="37" customWidth="1"/>
    <col min="7173" max="7173" width="9.453125" style="37" customWidth="1"/>
    <col min="7174" max="7174" width="10.1796875" style="37" customWidth="1"/>
    <col min="7175" max="7175" width="16.1796875" style="37" customWidth="1"/>
    <col min="7176" max="7176" width="12.453125" style="37" bestFit="1" customWidth="1"/>
    <col min="7177" max="7177" width="24.453125" style="37" customWidth="1"/>
    <col min="7178" max="7425" width="9.1796875" style="37"/>
    <col min="7426" max="7426" width="5.1796875" style="37" customWidth="1"/>
    <col min="7427" max="7427" width="15.54296875" style="37" customWidth="1"/>
    <col min="7428" max="7428" width="17.1796875" style="37" customWidth="1"/>
    <col min="7429" max="7429" width="9.453125" style="37" customWidth="1"/>
    <col min="7430" max="7430" width="10.1796875" style="37" customWidth="1"/>
    <col min="7431" max="7431" width="16.1796875" style="37" customWidth="1"/>
    <col min="7432" max="7432" width="12.453125" style="37" bestFit="1" customWidth="1"/>
    <col min="7433" max="7433" width="24.453125" style="37" customWidth="1"/>
    <col min="7434" max="7681" width="9.1796875" style="37"/>
    <col min="7682" max="7682" width="5.1796875" style="37" customWidth="1"/>
    <col min="7683" max="7683" width="15.54296875" style="37" customWidth="1"/>
    <col min="7684" max="7684" width="17.1796875" style="37" customWidth="1"/>
    <col min="7685" max="7685" width="9.453125" style="37" customWidth="1"/>
    <col min="7686" max="7686" width="10.1796875" style="37" customWidth="1"/>
    <col min="7687" max="7687" width="16.1796875" style="37" customWidth="1"/>
    <col min="7688" max="7688" width="12.453125" style="37" bestFit="1" customWidth="1"/>
    <col min="7689" max="7689" width="24.453125" style="37" customWidth="1"/>
    <col min="7690" max="7937" width="9.1796875" style="37"/>
    <col min="7938" max="7938" width="5.1796875" style="37" customWidth="1"/>
    <col min="7939" max="7939" width="15.54296875" style="37" customWidth="1"/>
    <col min="7940" max="7940" width="17.1796875" style="37" customWidth="1"/>
    <col min="7941" max="7941" width="9.453125" style="37" customWidth="1"/>
    <col min="7942" max="7942" width="10.1796875" style="37" customWidth="1"/>
    <col min="7943" max="7943" width="16.1796875" style="37" customWidth="1"/>
    <col min="7944" max="7944" width="12.453125" style="37" bestFit="1" customWidth="1"/>
    <col min="7945" max="7945" width="24.453125" style="37" customWidth="1"/>
    <col min="7946" max="8193" width="9.1796875" style="37"/>
    <col min="8194" max="8194" width="5.1796875" style="37" customWidth="1"/>
    <col min="8195" max="8195" width="15.54296875" style="37" customWidth="1"/>
    <col min="8196" max="8196" width="17.1796875" style="37" customWidth="1"/>
    <col min="8197" max="8197" width="9.453125" style="37" customWidth="1"/>
    <col min="8198" max="8198" width="10.1796875" style="37" customWidth="1"/>
    <col min="8199" max="8199" width="16.1796875" style="37" customWidth="1"/>
    <col min="8200" max="8200" width="12.453125" style="37" bestFit="1" customWidth="1"/>
    <col min="8201" max="8201" width="24.453125" style="37" customWidth="1"/>
    <col min="8202" max="8449" width="9.1796875" style="37"/>
    <col min="8450" max="8450" width="5.1796875" style="37" customWidth="1"/>
    <col min="8451" max="8451" width="15.54296875" style="37" customWidth="1"/>
    <col min="8452" max="8452" width="17.1796875" style="37" customWidth="1"/>
    <col min="8453" max="8453" width="9.453125" style="37" customWidth="1"/>
    <col min="8454" max="8454" width="10.1796875" style="37" customWidth="1"/>
    <col min="8455" max="8455" width="16.1796875" style="37" customWidth="1"/>
    <col min="8456" max="8456" width="12.453125" style="37" bestFit="1" customWidth="1"/>
    <col min="8457" max="8457" width="24.453125" style="37" customWidth="1"/>
    <col min="8458" max="8705" width="9.1796875" style="37"/>
    <col min="8706" max="8706" width="5.1796875" style="37" customWidth="1"/>
    <col min="8707" max="8707" width="15.54296875" style="37" customWidth="1"/>
    <col min="8708" max="8708" width="17.1796875" style="37" customWidth="1"/>
    <col min="8709" max="8709" width="9.453125" style="37" customWidth="1"/>
    <col min="8710" max="8710" width="10.1796875" style="37" customWidth="1"/>
    <col min="8711" max="8711" width="16.1796875" style="37" customWidth="1"/>
    <col min="8712" max="8712" width="12.453125" style="37" bestFit="1" customWidth="1"/>
    <col min="8713" max="8713" width="24.453125" style="37" customWidth="1"/>
    <col min="8714" max="8961" width="9.1796875" style="37"/>
    <col min="8962" max="8962" width="5.1796875" style="37" customWidth="1"/>
    <col min="8963" max="8963" width="15.54296875" style="37" customWidth="1"/>
    <col min="8964" max="8964" width="17.1796875" style="37" customWidth="1"/>
    <col min="8965" max="8965" width="9.453125" style="37" customWidth="1"/>
    <col min="8966" max="8966" width="10.1796875" style="37" customWidth="1"/>
    <col min="8967" max="8967" width="16.1796875" style="37" customWidth="1"/>
    <col min="8968" max="8968" width="12.453125" style="37" bestFit="1" customWidth="1"/>
    <col min="8969" max="8969" width="24.453125" style="37" customWidth="1"/>
    <col min="8970" max="9217" width="9.1796875" style="37"/>
    <col min="9218" max="9218" width="5.1796875" style="37" customWidth="1"/>
    <col min="9219" max="9219" width="15.54296875" style="37" customWidth="1"/>
    <col min="9220" max="9220" width="17.1796875" style="37" customWidth="1"/>
    <col min="9221" max="9221" width="9.453125" style="37" customWidth="1"/>
    <col min="9222" max="9222" width="10.1796875" style="37" customWidth="1"/>
    <col min="9223" max="9223" width="16.1796875" style="37" customWidth="1"/>
    <col min="9224" max="9224" width="12.453125" style="37" bestFit="1" customWidth="1"/>
    <col min="9225" max="9225" width="24.453125" style="37" customWidth="1"/>
    <col min="9226" max="9473" width="9.1796875" style="37"/>
    <col min="9474" max="9474" width="5.1796875" style="37" customWidth="1"/>
    <col min="9475" max="9475" width="15.54296875" style="37" customWidth="1"/>
    <col min="9476" max="9476" width="17.1796875" style="37" customWidth="1"/>
    <col min="9477" max="9477" width="9.453125" style="37" customWidth="1"/>
    <col min="9478" max="9478" width="10.1796875" style="37" customWidth="1"/>
    <col min="9479" max="9479" width="16.1796875" style="37" customWidth="1"/>
    <col min="9480" max="9480" width="12.453125" style="37" bestFit="1" customWidth="1"/>
    <col min="9481" max="9481" width="24.453125" style="37" customWidth="1"/>
    <col min="9482" max="9729" width="9.1796875" style="37"/>
    <col min="9730" max="9730" width="5.1796875" style="37" customWidth="1"/>
    <col min="9731" max="9731" width="15.54296875" style="37" customWidth="1"/>
    <col min="9732" max="9732" width="17.1796875" style="37" customWidth="1"/>
    <col min="9733" max="9733" width="9.453125" style="37" customWidth="1"/>
    <col min="9734" max="9734" width="10.1796875" style="37" customWidth="1"/>
    <col min="9735" max="9735" width="16.1796875" style="37" customWidth="1"/>
    <col min="9736" max="9736" width="12.453125" style="37" bestFit="1" customWidth="1"/>
    <col min="9737" max="9737" width="24.453125" style="37" customWidth="1"/>
    <col min="9738" max="9985" width="9.1796875" style="37"/>
    <col min="9986" max="9986" width="5.1796875" style="37" customWidth="1"/>
    <col min="9987" max="9987" width="15.54296875" style="37" customWidth="1"/>
    <col min="9988" max="9988" width="17.1796875" style="37" customWidth="1"/>
    <col min="9989" max="9989" width="9.453125" style="37" customWidth="1"/>
    <col min="9990" max="9990" width="10.1796875" style="37" customWidth="1"/>
    <col min="9991" max="9991" width="16.1796875" style="37" customWidth="1"/>
    <col min="9992" max="9992" width="12.453125" style="37" bestFit="1" customWidth="1"/>
    <col min="9993" max="9993" width="24.453125" style="37" customWidth="1"/>
    <col min="9994" max="10241" width="9.1796875" style="37"/>
    <col min="10242" max="10242" width="5.1796875" style="37" customWidth="1"/>
    <col min="10243" max="10243" width="15.54296875" style="37" customWidth="1"/>
    <col min="10244" max="10244" width="17.1796875" style="37" customWidth="1"/>
    <col min="10245" max="10245" width="9.453125" style="37" customWidth="1"/>
    <col min="10246" max="10246" width="10.1796875" style="37" customWidth="1"/>
    <col min="10247" max="10247" width="16.1796875" style="37" customWidth="1"/>
    <col min="10248" max="10248" width="12.453125" style="37" bestFit="1" customWidth="1"/>
    <col min="10249" max="10249" width="24.453125" style="37" customWidth="1"/>
    <col min="10250" max="10497" width="9.1796875" style="37"/>
    <col min="10498" max="10498" width="5.1796875" style="37" customWidth="1"/>
    <col min="10499" max="10499" width="15.54296875" style="37" customWidth="1"/>
    <col min="10500" max="10500" width="17.1796875" style="37" customWidth="1"/>
    <col min="10501" max="10501" width="9.453125" style="37" customWidth="1"/>
    <col min="10502" max="10502" width="10.1796875" style="37" customWidth="1"/>
    <col min="10503" max="10503" width="16.1796875" style="37" customWidth="1"/>
    <col min="10504" max="10504" width="12.453125" style="37" bestFit="1" customWidth="1"/>
    <col min="10505" max="10505" width="24.453125" style="37" customWidth="1"/>
    <col min="10506" max="10753" width="9.1796875" style="37"/>
    <col min="10754" max="10754" width="5.1796875" style="37" customWidth="1"/>
    <col min="10755" max="10755" width="15.54296875" style="37" customWidth="1"/>
    <col min="10756" max="10756" width="17.1796875" style="37" customWidth="1"/>
    <col min="10757" max="10757" width="9.453125" style="37" customWidth="1"/>
    <col min="10758" max="10758" width="10.1796875" style="37" customWidth="1"/>
    <col min="10759" max="10759" width="16.1796875" style="37" customWidth="1"/>
    <col min="10760" max="10760" width="12.453125" style="37" bestFit="1" customWidth="1"/>
    <col min="10761" max="10761" width="24.453125" style="37" customWidth="1"/>
    <col min="10762" max="11009" width="9.1796875" style="37"/>
    <col min="11010" max="11010" width="5.1796875" style="37" customWidth="1"/>
    <col min="11011" max="11011" width="15.54296875" style="37" customWidth="1"/>
    <col min="11012" max="11012" width="17.1796875" style="37" customWidth="1"/>
    <col min="11013" max="11013" width="9.453125" style="37" customWidth="1"/>
    <col min="11014" max="11014" width="10.1796875" style="37" customWidth="1"/>
    <col min="11015" max="11015" width="16.1796875" style="37" customWidth="1"/>
    <col min="11016" max="11016" width="12.453125" style="37" bestFit="1" customWidth="1"/>
    <col min="11017" max="11017" width="24.453125" style="37" customWidth="1"/>
    <col min="11018" max="11265" width="9.1796875" style="37"/>
    <col min="11266" max="11266" width="5.1796875" style="37" customWidth="1"/>
    <col min="11267" max="11267" width="15.54296875" style="37" customWidth="1"/>
    <col min="11268" max="11268" width="17.1796875" style="37" customWidth="1"/>
    <col min="11269" max="11269" width="9.453125" style="37" customWidth="1"/>
    <col min="11270" max="11270" width="10.1796875" style="37" customWidth="1"/>
    <col min="11271" max="11271" width="16.1796875" style="37" customWidth="1"/>
    <col min="11272" max="11272" width="12.453125" style="37" bestFit="1" customWidth="1"/>
    <col min="11273" max="11273" width="24.453125" style="37" customWidth="1"/>
    <col min="11274" max="11521" width="9.1796875" style="37"/>
    <col min="11522" max="11522" width="5.1796875" style="37" customWidth="1"/>
    <col min="11523" max="11523" width="15.54296875" style="37" customWidth="1"/>
    <col min="11524" max="11524" width="17.1796875" style="37" customWidth="1"/>
    <col min="11525" max="11525" width="9.453125" style="37" customWidth="1"/>
    <col min="11526" max="11526" width="10.1796875" style="37" customWidth="1"/>
    <col min="11527" max="11527" width="16.1796875" style="37" customWidth="1"/>
    <col min="11528" max="11528" width="12.453125" style="37" bestFit="1" customWidth="1"/>
    <col min="11529" max="11529" width="24.453125" style="37" customWidth="1"/>
    <col min="11530" max="11777" width="9.1796875" style="37"/>
    <col min="11778" max="11778" width="5.1796875" style="37" customWidth="1"/>
    <col min="11779" max="11779" width="15.54296875" style="37" customWidth="1"/>
    <col min="11780" max="11780" width="17.1796875" style="37" customWidth="1"/>
    <col min="11781" max="11781" width="9.453125" style="37" customWidth="1"/>
    <col min="11782" max="11782" width="10.1796875" style="37" customWidth="1"/>
    <col min="11783" max="11783" width="16.1796875" style="37" customWidth="1"/>
    <col min="11784" max="11784" width="12.453125" style="37" bestFit="1" customWidth="1"/>
    <col min="11785" max="11785" width="24.453125" style="37" customWidth="1"/>
    <col min="11786" max="12033" width="9.1796875" style="37"/>
    <col min="12034" max="12034" width="5.1796875" style="37" customWidth="1"/>
    <col min="12035" max="12035" width="15.54296875" style="37" customWidth="1"/>
    <col min="12036" max="12036" width="17.1796875" style="37" customWidth="1"/>
    <col min="12037" max="12037" width="9.453125" style="37" customWidth="1"/>
    <col min="12038" max="12038" width="10.1796875" style="37" customWidth="1"/>
    <col min="12039" max="12039" width="16.1796875" style="37" customWidth="1"/>
    <col min="12040" max="12040" width="12.453125" style="37" bestFit="1" customWidth="1"/>
    <col min="12041" max="12041" width="24.453125" style="37" customWidth="1"/>
    <col min="12042" max="12289" width="9.1796875" style="37"/>
    <col min="12290" max="12290" width="5.1796875" style="37" customWidth="1"/>
    <col min="12291" max="12291" width="15.54296875" style="37" customWidth="1"/>
    <col min="12292" max="12292" width="17.1796875" style="37" customWidth="1"/>
    <col min="12293" max="12293" width="9.453125" style="37" customWidth="1"/>
    <col min="12294" max="12294" width="10.1796875" style="37" customWidth="1"/>
    <col min="12295" max="12295" width="16.1796875" style="37" customWidth="1"/>
    <col min="12296" max="12296" width="12.453125" style="37" bestFit="1" customWidth="1"/>
    <col min="12297" max="12297" width="24.453125" style="37" customWidth="1"/>
    <col min="12298" max="12545" width="9.1796875" style="37"/>
    <col min="12546" max="12546" width="5.1796875" style="37" customWidth="1"/>
    <col min="12547" max="12547" width="15.54296875" style="37" customWidth="1"/>
    <col min="12548" max="12548" width="17.1796875" style="37" customWidth="1"/>
    <col min="12549" max="12549" width="9.453125" style="37" customWidth="1"/>
    <col min="12550" max="12550" width="10.1796875" style="37" customWidth="1"/>
    <col min="12551" max="12551" width="16.1796875" style="37" customWidth="1"/>
    <col min="12552" max="12552" width="12.453125" style="37" bestFit="1" customWidth="1"/>
    <col min="12553" max="12553" width="24.453125" style="37" customWidth="1"/>
    <col min="12554" max="12801" width="9.1796875" style="37"/>
    <col min="12802" max="12802" width="5.1796875" style="37" customWidth="1"/>
    <col min="12803" max="12803" width="15.54296875" style="37" customWidth="1"/>
    <col min="12804" max="12804" width="17.1796875" style="37" customWidth="1"/>
    <col min="12805" max="12805" width="9.453125" style="37" customWidth="1"/>
    <col min="12806" max="12806" width="10.1796875" style="37" customWidth="1"/>
    <col min="12807" max="12807" width="16.1796875" style="37" customWidth="1"/>
    <col min="12808" max="12808" width="12.453125" style="37" bestFit="1" customWidth="1"/>
    <col min="12809" max="12809" width="24.453125" style="37" customWidth="1"/>
    <col min="12810" max="13057" width="9.1796875" style="37"/>
    <col min="13058" max="13058" width="5.1796875" style="37" customWidth="1"/>
    <col min="13059" max="13059" width="15.54296875" style="37" customWidth="1"/>
    <col min="13060" max="13060" width="17.1796875" style="37" customWidth="1"/>
    <col min="13061" max="13061" width="9.453125" style="37" customWidth="1"/>
    <col min="13062" max="13062" width="10.1796875" style="37" customWidth="1"/>
    <col min="13063" max="13063" width="16.1796875" style="37" customWidth="1"/>
    <col min="13064" max="13064" width="12.453125" style="37" bestFit="1" customWidth="1"/>
    <col min="13065" max="13065" width="24.453125" style="37" customWidth="1"/>
    <col min="13066" max="13313" width="9.1796875" style="37"/>
    <col min="13314" max="13314" width="5.1796875" style="37" customWidth="1"/>
    <col min="13315" max="13315" width="15.54296875" style="37" customWidth="1"/>
    <col min="13316" max="13316" width="17.1796875" style="37" customWidth="1"/>
    <col min="13317" max="13317" width="9.453125" style="37" customWidth="1"/>
    <col min="13318" max="13318" width="10.1796875" style="37" customWidth="1"/>
    <col min="13319" max="13319" width="16.1796875" style="37" customWidth="1"/>
    <col min="13320" max="13320" width="12.453125" style="37" bestFit="1" customWidth="1"/>
    <col min="13321" max="13321" width="24.453125" style="37" customWidth="1"/>
    <col min="13322" max="13569" width="9.1796875" style="37"/>
    <col min="13570" max="13570" width="5.1796875" style="37" customWidth="1"/>
    <col min="13571" max="13571" width="15.54296875" style="37" customWidth="1"/>
    <col min="13572" max="13572" width="17.1796875" style="37" customWidth="1"/>
    <col min="13573" max="13573" width="9.453125" style="37" customWidth="1"/>
    <col min="13574" max="13574" width="10.1796875" style="37" customWidth="1"/>
    <col min="13575" max="13575" width="16.1796875" style="37" customWidth="1"/>
    <col min="13576" max="13576" width="12.453125" style="37" bestFit="1" customWidth="1"/>
    <col min="13577" max="13577" width="24.453125" style="37" customWidth="1"/>
    <col min="13578" max="13825" width="9.1796875" style="37"/>
    <col min="13826" max="13826" width="5.1796875" style="37" customWidth="1"/>
    <col min="13827" max="13827" width="15.54296875" style="37" customWidth="1"/>
    <col min="13828" max="13828" width="17.1796875" style="37" customWidth="1"/>
    <col min="13829" max="13829" width="9.453125" style="37" customWidth="1"/>
    <col min="13830" max="13830" width="10.1796875" style="37" customWidth="1"/>
    <col min="13831" max="13831" width="16.1796875" style="37" customWidth="1"/>
    <col min="13832" max="13832" width="12.453125" style="37" bestFit="1" customWidth="1"/>
    <col min="13833" max="13833" width="24.453125" style="37" customWidth="1"/>
    <col min="13834" max="14081" width="9.1796875" style="37"/>
    <col min="14082" max="14082" width="5.1796875" style="37" customWidth="1"/>
    <col min="14083" max="14083" width="15.54296875" style="37" customWidth="1"/>
    <col min="14084" max="14084" width="17.1796875" style="37" customWidth="1"/>
    <col min="14085" max="14085" width="9.453125" style="37" customWidth="1"/>
    <col min="14086" max="14086" width="10.1796875" style="37" customWidth="1"/>
    <col min="14087" max="14087" width="16.1796875" style="37" customWidth="1"/>
    <col min="14088" max="14088" width="12.453125" style="37" bestFit="1" customWidth="1"/>
    <col min="14089" max="14089" width="24.453125" style="37" customWidth="1"/>
    <col min="14090" max="14337" width="9.1796875" style="37"/>
    <col min="14338" max="14338" width="5.1796875" style="37" customWidth="1"/>
    <col min="14339" max="14339" width="15.54296875" style="37" customWidth="1"/>
    <col min="14340" max="14340" width="17.1796875" style="37" customWidth="1"/>
    <col min="14341" max="14341" width="9.453125" style="37" customWidth="1"/>
    <col min="14342" max="14342" width="10.1796875" style="37" customWidth="1"/>
    <col min="14343" max="14343" width="16.1796875" style="37" customWidth="1"/>
    <col min="14344" max="14344" width="12.453125" style="37" bestFit="1" customWidth="1"/>
    <col min="14345" max="14345" width="24.453125" style="37" customWidth="1"/>
    <col min="14346" max="14593" width="9.1796875" style="37"/>
    <col min="14594" max="14594" width="5.1796875" style="37" customWidth="1"/>
    <col min="14595" max="14595" width="15.54296875" style="37" customWidth="1"/>
    <col min="14596" max="14596" width="17.1796875" style="37" customWidth="1"/>
    <col min="14597" max="14597" width="9.453125" style="37" customWidth="1"/>
    <col min="14598" max="14598" width="10.1796875" style="37" customWidth="1"/>
    <col min="14599" max="14599" width="16.1796875" style="37" customWidth="1"/>
    <col min="14600" max="14600" width="12.453125" style="37" bestFit="1" customWidth="1"/>
    <col min="14601" max="14601" width="24.453125" style="37" customWidth="1"/>
    <col min="14602" max="14849" width="9.1796875" style="37"/>
    <col min="14850" max="14850" width="5.1796875" style="37" customWidth="1"/>
    <col min="14851" max="14851" width="15.54296875" style="37" customWidth="1"/>
    <col min="14852" max="14852" width="17.1796875" style="37" customWidth="1"/>
    <col min="14853" max="14853" width="9.453125" style="37" customWidth="1"/>
    <col min="14854" max="14854" width="10.1796875" style="37" customWidth="1"/>
    <col min="14855" max="14855" width="16.1796875" style="37" customWidth="1"/>
    <col min="14856" max="14856" width="12.453125" style="37" bestFit="1" customWidth="1"/>
    <col min="14857" max="14857" width="24.453125" style="37" customWidth="1"/>
    <col min="14858" max="15105" width="9.1796875" style="37"/>
    <col min="15106" max="15106" width="5.1796875" style="37" customWidth="1"/>
    <col min="15107" max="15107" width="15.54296875" style="37" customWidth="1"/>
    <col min="15108" max="15108" width="17.1796875" style="37" customWidth="1"/>
    <col min="15109" max="15109" width="9.453125" style="37" customWidth="1"/>
    <col min="15110" max="15110" width="10.1796875" style="37" customWidth="1"/>
    <col min="15111" max="15111" width="16.1796875" style="37" customWidth="1"/>
    <col min="15112" max="15112" width="12.453125" style="37" bestFit="1" customWidth="1"/>
    <col min="15113" max="15113" width="24.453125" style="37" customWidth="1"/>
    <col min="15114" max="15361" width="9.1796875" style="37"/>
    <col min="15362" max="15362" width="5.1796875" style="37" customWidth="1"/>
    <col min="15363" max="15363" width="15.54296875" style="37" customWidth="1"/>
    <col min="15364" max="15364" width="17.1796875" style="37" customWidth="1"/>
    <col min="15365" max="15365" width="9.453125" style="37" customWidth="1"/>
    <col min="15366" max="15366" width="10.1796875" style="37" customWidth="1"/>
    <col min="15367" max="15367" width="16.1796875" style="37" customWidth="1"/>
    <col min="15368" max="15368" width="12.453125" style="37" bestFit="1" customWidth="1"/>
    <col min="15369" max="15369" width="24.453125" style="37" customWidth="1"/>
    <col min="15370" max="15617" width="9.1796875" style="37"/>
    <col min="15618" max="15618" width="5.1796875" style="37" customWidth="1"/>
    <col min="15619" max="15619" width="15.54296875" style="37" customWidth="1"/>
    <col min="15620" max="15620" width="17.1796875" style="37" customWidth="1"/>
    <col min="15621" max="15621" width="9.453125" style="37" customWidth="1"/>
    <col min="15622" max="15622" width="10.1796875" style="37" customWidth="1"/>
    <col min="15623" max="15623" width="16.1796875" style="37" customWidth="1"/>
    <col min="15624" max="15624" width="12.453125" style="37" bestFit="1" customWidth="1"/>
    <col min="15625" max="15625" width="24.453125" style="37" customWidth="1"/>
    <col min="15626" max="15873" width="9.1796875" style="37"/>
    <col min="15874" max="15874" width="5.1796875" style="37" customWidth="1"/>
    <col min="15875" max="15875" width="15.54296875" style="37" customWidth="1"/>
    <col min="15876" max="15876" width="17.1796875" style="37" customWidth="1"/>
    <col min="15877" max="15877" width="9.453125" style="37" customWidth="1"/>
    <col min="15878" max="15878" width="10.1796875" style="37" customWidth="1"/>
    <col min="15879" max="15879" width="16.1796875" style="37" customWidth="1"/>
    <col min="15880" max="15880" width="12.453125" style="37" bestFit="1" customWidth="1"/>
    <col min="15881" max="15881" width="24.453125" style="37" customWidth="1"/>
    <col min="15882" max="16129" width="9.1796875" style="37"/>
    <col min="16130" max="16130" width="5.1796875" style="37" customWidth="1"/>
    <col min="16131" max="16131" width="15.54296875" style="37" customWidth="1"/>
    <col min="16132" max="16132" width="17.1796875" style="37" customWidth="1"/>
    <col min="16133" max="16133" width="9.453125" style="37" customWidth="1"/>
    <col min="16134" max="16134" width="10.1796875" style="37" customWidth="1"/>
    <col min="16135" max="16135" width="16.1796875" style="37" customWidth="1"/>
    <col min="16136" max="16136" width="12.453125" style="37" bestFit="1" customWidth="1"/>
    <col min="16137" max="16137" width="24.453125" style="37" customWidth="1"/>
    <col min="16138" max="16384" width="9.1796875" style="37"/>
  </cols>
  <sheetData>
    <row r="4" spans="1:10" ht="45.65" customHeight="1" x14ac:dyDescent="0.45">
      <c r="A4" s="117" t="s">
        <v>930</v>
      </c>
      <c r="B4" s="118"/>
      <c r="C4" s="118"/>
      <c r="D4" s="118"/>
      <c r="E4" s="118"/>
      <c r="F4" s="118"/>
      <c r="G4" s="118"/>
      <c r="H4" s="49"/>
      <c r="I4" s="49"/>
    </row>
    <row r="5" spans="1:10" ht="4.5" customHeight="1" x14ac:dyDescent="0.3">
      <c r="A5" s="39"/>
      <c r="B5" s="39"/>
      <c r="C5" s="39"/>
      <c r="D5" s="39"/>
      <c r="E5" s="39"/>
      <c r="F5" s="39"/>
      <c r="G5" s="39"/>
      <c r="H5" s="103"/>
      <c r="I5" s="103"/>
    </row>
    <row r="6" spans="1:10" s="43" customFormat="1" ht="40" customHeight="1" x14ac:dyDescent="0.35">
      <c r="A6" s="40" t="s">
        <v>0</v>
      </c>
      <c r="B6" s="40" t="s">
        <v>931</v>
      </c>
      <c r="C6" s="41" t="s">
        <v>932</v>
      </c>
      <c r="D6" s="42" t="s">
        <v>127</v>
      </c>
      <c r="E6" s="40" t="s">
        <v>933</v>
      </c>
      <c r="F6" s="40" t="s">
        <v>934</v>
      </c>
      <c r="G6" s="40" t="s">
        <v>129</v>
      </c>
      <c r="H6" s="40" t="s">
        <v>2093</v>
      </c>
      <c r="I6" s="40" t="s">
        <v>2091</v>
      </c>
      <c r="J6" s="40" t="s">
        <v>128</v>
      </c>
    </row>
    <row r="7" spans="1:10" s="18" customFormat="1" ht="18.75" customHeight="1" x14ac:dyDescent="0.3">
      <c r="A7" s="19">
        <v>1</v>
      </c>
      <c r="B7" s="20">
        <v>2022220050</v>
      </c>
      <c r="C7" s="21" t="s">
        <v>757</v>
      </c>
      <c r="D7" s="22" t="s">
        <v>71</v>
      </c>
      <c r="E7" s="20" t="s">
        <v>935</v>
      </c>
      <c r="F7" s="23" t="s">
        <v>758</v>
      </c>
      <c r="G7" s="30" t="s">
        <v>759</v>
      </c>
      <c r="H7" s="30">
        <f>VLOOKUP(B7,'Dữ liệu TQNM'!$B$7:$F$769,5,0)</f>
        <v>3</v>
      </c>
      <c r="I7" s="30">
        <f>COUNTIF('Nộp báo cáo'!$A$3:$A$1993,'Tổng 24-25'!B7)</f>
        <v>3</v>
      </c>
      <c r="J7" s="91"/>
    </row>
    <row r="8" spans="1:10" s="18" customFormat="1" ht="18.75" customHeight="1" x14ac:dyDescent="0.3">
      <c r="A8" s="19">
        <v>2</v>
      </c>
      <c r="B8" s="20">
        <v>2022220068</v>
      </c>
      <c r="C8" s="21" t="s">
        <v>199</v>
      </c>
      <c r="D8" s="22" t="s">
        <v>71</v>
      </c>
      <c r="E8" s="20" t="s">
        <v>524</v>
      </c>
      <c r="F8" s="23" t="s">
        <v>758</v>
      </c>
      <c r="G8" s="30" t="s">
        <v>759</v>
      </c>
      <c r="H8" s="30">
        <f>VLOOKUP(B8,'Dữ liệu TQNM'!$B$7:$F$769,5,0)</f>
        <v>3</v>
      </c>
      <c r="I8" s="30">
        <f>COUNTIF('Nộp báo cáo'!$A$3:$A$1993,'Tổng 24-25'!B8)</f>
        <v>3</v>
      </c>
      <c r="J8" s="91"/>
    </row>
    <row r="9" spans="1:10" s="18" customFormat="1" ht="18.75" customHeight="1" x14ac:dyDescent="0.3">
      <c r="A9" s="19">
        <v>3</v>
      </c>
      <c r="B9" s="20">
        <v>2022220181</v>
      </c>
      <c r="C9" s="21" t="s">
        <v>760</v>
      </c>
      <c r="D9" s="22" t="s">
        <v>36</v>
      </c>
      <c r="E9" s="20" t="s">
        <v>936</v>
      </c>
      <c r="F9" s="23" t="s">
        <v>758</v>
      </c>
      <c r="G9" s="30" t="s">
        <v>759</v>
      </c>
      <c r="H9" s="30">
        <f>VLOOKUP(B9,'Dữ liệu TQNM'!$B$7:$F$769,5,0)</f>
        <v>2</v>
      </c>
      <c r="I9" s="30">
        <f>COUNTIF('Nộp báo cáo'!$A$3:$A$1993,'Tổng 24-25'!B9)</f>
        <v>3</v>
      </c>
      <c r="J9" s="91"/>
    </row>
    <row r="10" spans="1:10" s="18" customFormat="1" ht="18.75" customHeight="1" x14ac:dyDescent="0.3">
      <c r="A10" s="19">
        <v>4</v>
      </c>
      <c r="B10" s="20">
        <v>2022220211</v>
      </c>
      <c r="C10" s="21" t="s">
        <v>761</v>
      </c>
      <c r="D10" s="22" t="s">
        <v>36</v>
      </c>
      <c r="E10" s="20" t="s">
        <v>762</v>
      </c>
      <c r="F10" s="23" t="s">
        <v>758</v>
      </c>
      <c r="G10" s="30" t="s">
        <v>759</v>
      </c>
      <c r="H10" s="30">
        <f>VLOOKUP(B10,'Dữ liệu TQNM'!$B$7:$F$769,5,0)</f>
        <v>3</v>
      </c>
      <c r="I10" s="30">
        <f>COUNTIF('Nộp báo cáo'!$A$3:$A$1993,'Tổng 24-25'!B10)</f>
        <v>3</v>
      </c>
      <c r="J10" s="91"/>
    </row>
    <row r="11" spans="1:10" s="18" customFormat="1" ht="18.75" customHeight="1" x14ac:dyDescent="0.3">
      <c r="A11" s="19">
        <v>5</v>
      </c>
      <c r="B11" s="20">
        <v>2022220170</v>
      </c>
      <c r="C11" s="21" t="s">
        <v>763</v>
      </c>
      <c r="D11" s="22" t="s">
        <v>36</v>
      </c>
      <c r="E11" s="20" t="s">
        <v>213</v>
      </c>
      <c r="F11" s="23" t="s">
        <v>758</v>
      </c>
      <c r="G11" s="30" t="s">
        <v>759</v>
      </c>
      <c r="H11" s="30">
        <f>VLOOKUP(B11,'Dữ liệu TQNM'!$B$7:$F$769,5,0)</f>
        <v>3</v>
      </c>
      <c r="I11" s="30">
        <f>COUNTIF('Nộp báo cáo'!$A$3:$A$1993,'Tổng 24-25'!B11)</f>
        <v>3</v>
      </c>
      <c r="J11" s="91"/>
    </row>
    <row r="12" spans="1:10" s="18" customFormat="1" ht="18.75" customHeight="1" x14ac:dyDescent="0.3">
      <c r="A12" s="19">
        <v>6</v>
      </c>
      <c r="B12" s="20">
        <v>2022220182</v>
      </c>
      <c r="C12" s="21" t="s">
        <v>765</v>
      </c>
      <c r="D12" s="22" t="s">
        <v>36</v>
      </c>
      <c r="E12" s="20" t="s">
        <v>937</v>
      </c>
      <c r="F12" s="23" t="s">
        <v>758</v>
      </c>
      <c r="G12" s="30" t="s">
        <v>759</v>
      </c>
      <c r="H12" s="30">
        <f>VLOOKUP(B12,'Dữ liệu TQNM'!$B$7:$F$769,5,0)</f>
        <v>3</v>
      </c>
      <c r="I12" s="30">
        <f>COUNTIF('Nộp báo cáo'!$A$3:$A$1993,'Tổng 24-25'!B12)</f>
        <v>3</v>
      </c>
      <c r="J12" s="91"/>
    </row>
    <row r="13" spans="1:10" s="18" customFormat="1" ht="18.75" customHeight="1" x14ac:dyDescent="0.3">
      <c r="A13" s="19">
        <v>7</v>
      </c>
      <c r="B13" s="20">
        <v>2022220199</v>
      </c>
      <c r="C13" s="21" t="s">
        <v>764</v>
      </c>
      <c r="D13" s="22" t="s">
        <v>36</v>
      </c>
      <c r="E13" s="20" t="s">
        <v>938</v>
      </c>
      <c r="F13" s="23" t="s">
        <v>758</v>
      </c>
      <c r="G13" s="30" t="s">
        <v>759</v>
      </c>
      <c r="H13" s="30">
        <f>VLOOKUP(B13,'Dữ liệu TQNM'!$B$7:$F$769,5,0)</f>
        <v>2</v>
      </c>
      <c r="I13" s="30">
        <f>COUNTIF('Nộp báo cáo'!$A$3:$A$1993,'Tổng 24-25'!B13)</f>
        <v>4</v>
      </c>
      <c r="J13" s="91"/>
    </row>
    <row r="14" spans="1:10" s="18" customFormat="1" ht="18.75" customHeight="1" x14ac:dyDescent="0.3">
      <c r="A14" s="19">
        <v>8</v>
      </c>
      <c r="B14" s="20">
        <v>2022220464</v>
      </c>
      <c r="C14" s="21" t="s">
        <v>74</v>
      </c>
      <c r="D14" s="22" t="s">
        <v>324</v>
      </c>
      <c r="E14" s="20" t="s">
        <v>766</v>
      </c>
      <c r="F14" s="23" t="s">
        <v>758</v>
      </c>
      <c r="G14" s="30" t="s">
        <v>759</v>
      </c>
      <c r="H14" s="30">
        <f>VLOOKUP(B14,'Dữ liệu TQNM'!$B$7:$F$769,5,0)</f>
        <v>2</v>
      </c>
      <c r="I14" s="30">
        <f>COUNTIF('Nộp báo cáo'!$A$3:$A$1993,'Tổng 24-25'!B14)</f>
        <v>3</v>
      </c>
      <c r="J14" s="91"/>
    </row>
    <row r="15" spans="1:10" s="18" customFormat="1" ht="18.75" customHeight="1" x14ac:dyDescent="0.3">
      <c r="A15" s="19">
        <v>9</v>
      </c>
      <c r="B15" s="20">
        <v>2022220619</v>
      </c>
      <c r="C15" s="21" t="s">
        <v>89</v>
      </c>
      <c r="D15" s="22" t="s">
        <v>704</v>
      </c>
      <c r="E15" s="20" t="s">
        <v>939</v>
      </c>
      <c r="F15" s="23" t="s">
        <v>758</v>
      </c>
      <c r="G15" s="30" t="s">
        <v>759</v>
      </c>
      <c r="H15" s="30">
        <f>VLOOKUP(B15,'Dữ liệu TQNM'!$B$7:$F$769,5,0)</f>
        <v>2</v>
      </c>
      <c r="I15" s="30">
        <f>COUNTIF('Nộp báo cáo'!$A$3:$A$1993,'Tổng 24-25'!B15)</f>
        <v>3</v>
      </c>
      <c r="J15" s="91"/>
    </row>
    <row r="16" spans="1:10" s="18" customFormat="1" ht="18.75" customHeight="1" x14ac:dyDescent="0.3">
      <c r="A16" s="19">
        <v>10</v>
      </c>
      <c r="B16" s="20">
        <v>2022220980</v>
      </c>
      <c r="C16" s="21" t="s">
        <v>767</v>
      </c>
      <c r="D16" s="22" t="s">
        <v>768</v>
      </c>
      <c r="E16" s="20" t="s">
        <v>218</v>
      </c>
      <c r="F16" s="23" t="s">
        <v>758</v>
      </c>
      <c r="G16" s="30" t="s">
        <v>759</v>
      </c>
      <c r="H16" s="30">
        <f>VLOOKUP(B16,'Dữ liệu TQNM'!$B$7:$F$769,5,0)</f>
        <v>3</v>
      </c>
      <c r="I16" s="30">
        <f>COUNTIF('Nộp báo cáo'!$A$3:$A$1993,'Tổng 24-25'!B16)</f>
        <v>3</v>
      </c>
      <c r="J16" s="91"/>
    </row>
    <row r="17" spans="1:10" s="18" customFormat="1" ht="18.75" customHeight="1" x14ac:dyDescent="0.3">
      <c r="A17" s="19">
        <v>11</v>
      </c>
      <c r="B17" s="20">
        <v>2022221018</v>
      </c>
      <c r="C17" s="21" t="s">
        <v>769</v>
      </c>
      <c r="D17" s="22" t="s">
        <v>770</v>
      </c>
      <c r="E17" s="20" t="s">
        <v>771</v>
      </c>
      <c r="F17" s="23" t="s">
        <v>758</v>
      </c>
      <c r="G17" s="30" t="s">
        <v>759</v>
      </c>
      <c r="H17" s="30">
        <f>VLOOKUP(B17,'Dữ liệu TQNM'!$B$7:$F$769,5,0)</f>
        <v>3</v>
      </c>
      <c r="I17" s="30">
        <f>COUNTIF('Nộp báo cáo'!$A$3:$A$1993,'Tổng 24-25'!B17)</f>
        <v>3</v>
      </c>
      <c r="J17" s="91"/>
    </row>
    <row r="18" spans="1:10" s="18" customFormat="1" ht="18.75" customHeight="1" x14ac:dyDescent="0.3">
      <c r="A18" s="19">
        <v>12</v>
      </c>
      <c r="B18" s="20">
        <v>2022220692</v>
      </c>
      <c r="C18" s="21" t="s">
        <v>772</v>
      </c>
      <c r="D18" s="22" t="s">
        <v>773</v>
      </c>
      <c r="E18" s="20" t="s">
        <v>940</v>
      </c>
      <c r="F18" s="23" t="s">
        <v>758</v>
      </c>
      <c r="G18" s="30" t="s">
        <v>759</v>
      </c>
      <c r="H18" s="30">
        <f>VLOOKUP(B18,'Dữ liệu TQNM'!$B$7:$F$769,5,0)</f>
        <v>3</v>
      </c>
      <c r="I18" s="30">
        <f>COUNTIF('Nộp báo cáo'!$A$3:$A$1993,'Tổng 24-25'!B18)</f>
        <v>2</v>
      </c>
      <c r="J18" s="91"/>
    </row>
    <row r="19" spans="1:10" s="18" customFormat="1" ht="18.75" customHeight="1" x14ac:dyDescent="0.3">
      <c r="A19" s="19">
        <v>13</v>
      </c>
      <c r="B19" s="20">
        <v>2022221072</v>
      </c>
      <c r="C19" s="21" t="s">
        <v>386</v>
      </c>
      <c r="D19" s="22" t="s">
        <v>774</v>
      </c>
      <c r="E19" s="20" t="s">
        <v>941</v>
      </c>
      <c r="F19" s="23" t="s">
        <v>758</v>
      </c>
      <c r="G19" s="30" t="s">
        <v>759</v>
      </c>
      <c r="H19" s="30">
        <f>VLOOKUP(B19,'Dữ liệu TQNM'!$B$7:$F$769,5,0)</f>
        <v>2</v>
      </c>
      <c r="I19" s="30">
        <f>COUNTIF('Nộp báo cáo'!$A$3:$A$1993,'Tổng 24-25'!B19)</f>
        <v>5</v>
      </c>
      <c r="J19" s="91"/>
    </row>
    <row r="20" spans="1:10" s="18" customFormat="1" ht="18.75" customHeight="1" x14ac:dyDescent="0.3">
      <c r="A20" s="19">
        <v>14</v>
      </c>
      <c r="B20" s="20">
        <v>2022221112</v>
      </c>
      <c r="C20" s="21" t="s">
        <v>775</v>
      </c>
      <c r="D20" s="22" t="s">
        <v>11</v>
      </c>
      <c r="E20" s="20" t="s">
        <v>942</v>
      </c>
      <c r="F20" s="23" t="s">
        <v>758</v>
      </c>
      <c r="G20" s="30" t="s">
        <v>759</v>
      </c>
      <c r="H20" s="30">
        <f>VLOOKUP(B20,'Dữ liệu TQNM'!$B$7:$F$769,5,0)</f>
        <v>2</v>
      </c>
      <c r="I20" s="30">
        <f>COUNTIF('Nộp báo cáo'!$A$3:$A$1993,'Tổng 24-25'!B20)</f>
        <v>4</v>
      </c>
      <c r="J20" s="91"/>
    </row>
    <row r="21" spans="1:10" s="18" customFormat="1" ht="18.75" customHeight="1" x14ac:dyDescent="0.3">
      <c r="A21" s="19">
        <v>15</v>
      </c>
      <c r="B21" s="20">
        <v>2022221149</v>
      </c>
      <c r="C21" s="21" t="s">
        <v>823</v>
      </c>
      <c r="D21" s="22" t="s">
        <v>85</v>
      </c>
      <c r="E21" s="20" t="s">
        <v>495</v>
      </c>
      <c r="F21" s="23" t="s">
        <v>758</v>
      </c>
      <c r="G21" s="30" t="s">
        <v>759</v>
      </c>
      <c r="H21" s="30">
        <f>VLOOKUP(B21,'Dữ liệu TQNM'!$B$7:$F$769,5,0)</f>
        <v>3</v>
      </c>
      <c r="I21" s="30">
        <f>COUNTIF('Nộp báo cáo'!$A$3:$A$1993,'Tổng 24-25'!B21)</f>
        <v>1</v>
      </c>
      <c r="J21" s="91"/>
    </row>
    <row r="22" spans="1:10" s="18" customFormat="1" ht="18.75" customHeight="1" x14ac:dyDescent="0.3">
      <c r="A22" s="19">
        <v>16</v>
      </c>
      <c r="B22" s="20">
        <v>2022221290</v>
      </c>
      <c r="C22" s="21" t="s">
        <v>777</v>
      </c>
      <c r="D22" s="22" t="s">
        <v>172</v>
      </c>
      <c r="E22" s="20" t="s">
        <v>215</v>
      </c>
      <c r="F22" s="23" t="s">
        <v>758</v>
      </c>
      <c r="G22" s="30" t="s">
        <v>759</v>
      </c>
      <c r="H22" s="30">
        <f>VLOOKUP(B22,'Dữ liệu TQNM'!$B$7:$F$769,5,0)</f>
        <v>4</v>
      </c>
      <c r="I22" s="30">
        <f>COUNTIF('Nộp báo cáo'!$A$3:$A$1993,'Tổng 24-25'!B22)</f>
        <v>3</v>
      </c>
      <c r="J22" s="91"/>
    </row>
    <row r="23" spans="1:10" s="18" customFormat="1" ht="18.75" customHeight="1" x14ac:dyDescent="0.3">
      <c r="A23" s="19">
        <v>17</v>
      </c>
      <c r="B23" s="20">
        <v>2022221300</v>
      </c>
      <c r="C23" s="21" t="s">
        <v>776</v>
      </c>
      <c r="D23" s="22" t="s">
        <v>172</v>
      </c>
      <c r="E23" s="20" t="s">
        <v>265</v>
      </c>
      <c r="F23" s="23" t="s">
        <v>758</v>
      </c>
      <c r="G23" s="30" t="s">
        <v>759</v>
      </c>
      <c r="H23" s="30">
        <f>VLOOKUP(B23,'Dữ liệu TQNM'!$B$7:$F$769,5,0)</f>
        <v>3</v>
      </c>
      <c r="I23" s="30">
        <f>COUNTIF('Nộp báo cáo'!$A$3:$A$1993,'Tổng 24-25'!B23)</f>
        <v>3</v>
      </c>
      <c r="J23" s="91"/>
    </row>
    <row r="24" spans="1:10" s="18" customFormat="1" ht="18.75" customHeight="1" x14ac:dyDescent="0.3">
      <c r="A24" s="19">
        <v>18</v>
      </c>
      <c r="B24" s="20">
        <v>2022221299</v>
      </c>
      <c r="C24" s="21" t="s">
        <v>288</v>
      </c>
      <c r="D24" s="22" t="s">
        <v>172</v>
      </c>
      <c r="E24" s="20" t="s">
        <v>943</v>
      </c>
      <c r="F24" s="23" t="s">
        <v>758</v>
      </c>
      <c r="G24" s="30" t="s">
        <v>759</v>
      </c>
      <c r="H24" s="30">
        <f>VLOOKUP(B24,'Dữ liệu TQNM'!$B$7:$F$769,5,0)</f>
        <v>2</v>
      </c>
      <c r="I24" s="30">
        <f>COUNTIF('Nộp báo cáo'!$A$3:$A$1993,'Tổng 24-25'!B24)</f>
        <v>3</v>
      </c>
      <c r="J24" s="91"/>
    </row>
    <row r="25" spans="1:10" s="18" customFormat="1" ht="18.75" customHeight="1" x14ac:dyDescent="0.3">
      <c r="A25" s="19">
        <v>19</v>
      </c>
      <c r="B25" s="20">
        <v>2022221227</v>
      </c>
      <c r="C25" s="21" t="s">
        <v>779</v>
      </c>
      <c r="D25" s="22" t="s">
        <v>373</v>
      </c>
      <c r="E25" s="20" t="s">
        <v>944</v>
      </c>
      <c r="F25" s="23" t="s">
        <v>758</v>
      </c>
      <c r="G25" s="30" t="s">
        <v>759</v>
      </c>
      <c r="H25" s="30">
        <f>VLOOKUP(B25,'Dữ liệu TQNM'!$B$7:$F$769,5,0)</f>
        <v>3</v>
      </c>
      <c r="I25" s="30">
        <f>COUNTIF('Nộp báo cáo'!$A$3:$A$1993,'Tổng 24-25'!B25)</f>
        <v>3</v>
      </c>
      <c r="J25" s="91"/>
    </row>
    <row r="26" spans="1:10" s="18" customFormat="1" ht="18.75" customHeight="1" x14ac:dyDescent="0.3">
      <c r="A26" s="19">
        <v>20</v>
      </c>
      <c r="B26" s="20">
        <v>2022221231</v>
      </c>
      <c r="C26" s="21" t="s">
        <v>778</v>
      </c>
      <c r="D26" s="22" t="s">
        <v>373</v>
      </c>
      <c r="E26" s="20" t="s">
        <v>213</v>
      </c>
      <c r="F26" s="23" t="s">
        <v>758</v>
      </c>
      <c r="G26" s="30" t="s">
        <v>759</v>
      </c>
      <c r="H26" s="30">
        <f>VLOOKUP(B26,'Dữ liệu TQNM'!$B$7:$F$769,5,0)</f>
        <v>2</v>
      </c>
      <c r="I26" s="30">
        <f>COUNTIF('Nộp báo cáo'!$A$3:$A$1993,'Tổng 24-25'!B26)</f>
        <v>2</v>
      </c>
      <c r="J26" s="91"/>
    </row>
    <row r="27" spans="1:10" ht="18.75" customHeight="1" x14ac:dyDescent="0.3">
      <c r="A27" s="31">
        <v>21</v>
      </c>
      <c r="B27" s="107">
        <v>2022221423</v>
      </c>
      <c r="C27" s="33" t="s">
        <v>945</v>
      </c>
      <c r="D27" s="34" t="s">
        <v>88</v>
      </c>
      <c r="E27" s="32" t="s">
        <v>946</v>
      </c>
      <c r="F27" s="35" t="s">
        <v>758</v>
      </c>
      <c r="G27" s="36" t="s">
        <v>759</v>
      </c>
      <c r="H27" s="30">
        <f>VLOOKUP(B27,'Dữ liệu TQNM'!$B$7:$F$769,5,0)</f>
        <v>0</v>
      </c>
      <c r="I27" s="30">
        <f>COUNTIF('Nộp báo cáo'!$A$3:$A$1993,'Tổng 24-25'!B27)</f>
        <v>0</v>
      </c>
      <c r="J27" s="91"/>
    </row>
    <row r="28" spans="1:10" s="18" customFormat="1" ht="18.75" customHeight="1" x14ac:dyDescent="0.3">
      <c r="A28" s="19">
        <v>22</v>
      </c>
      <c r="B28" s="20">
        <v>2022221536</v>
      </c>
      <c r="C28" s="21" t="s">
        <v>780</v>
      </c>
      <c r="D28" s="22" t="s">
        <v>781</v>
      </c>
      <c r="E28" s="20" t="s">
        <v>150</v>
      </c>
      <c r="F28" s="23" t="s">
        <v>758</v>
      </c>
      <c r="G28" s="30" t="s">
        <v>759</v>
      </c>
      <c r="H28" s="30">
        <f>VLOOKUP(B28,'Dữ liệu TQNM'!$B$7:$F$769,5,0)</f>
        <v>2</v>
      </c>
      <c r="I28" s="30">
        <f>COUNTIF('Nộp báo cáo'!$A$3:$A$1993,'Tổng 24-25'!B28)</f>
        <v>3</v>
      </c>
      <c r="J28" s="91"/>
    </row>
    <row r="29" spans="1:10" s="18" customFormat="1" ht="18.75" customHeight="1" x14ac:dyDescent="0.3">
      <c r="A29" s="19">
        <v>23</v>
      </c>
      <c r="B29" s="20">
        <v>2022221801</v>
      </c>
      <c r="C29" s="21" t="s">
        <v>782</v>
      </c>
      <c r="D29" s="22" t="s">
        <v>437</v>
      </c>
      <c r="E29" s="20" t="s">
        <v>937</v>
      </c>
      <c r="F29" s="23" t="s">
        <v>758</v>
      </c>
      <c r="G29" s="30" t="s">
        <v>759</v>
      </c>
      <c r="H29" s="30">
        <f>VLOOKUP(B29,'Dữ liệu TQNM'!$B$7:$F$769,5,0)</f>
        <v>3</v>
      </c>
      <c r="I29" s="30">
        <f>COUNTIF('Nộp báo cáo'!$A$3:$A$1993,'Tổng 24-25'!B29)</f>
        <v>5</v>
      </c>
      <c r="J29" s="91"/>
    </row>
    <row r="30" spans="1:10" s="18" customFormat="1" ht="18.75" customHeight="1" x14ac:dyDescent="0.3">
      <c r="A30" s="19">
        <v>24</v>
      </c>
      <c r="B30" s="20">
        <v>2022221841</v>
      </c>
      <c r="C30" s="21" t="s">
        <v>824</v>
      </c>
      <c r="D30" s="22" t="s">
        <v>173</v>
      </c>
      <c r="E30" s="20" t="s">
        <v>947</v>
      </c>
      <c r="F30" s="23" t="s">
        <v>758</v>
      </c>
      <c r="G30" s="30" t="s">
        <v>759</v>
      </c>
      <c r="H30" s="30">
        <f>VLOOKUP(B30,'Dữ liệu TQNM'!$B$7:$F$769,5,0)</f>
        <v>1</v>
      </c>
      <c r="I30" s="30">
        <f>COUNTIF('Nộp báo cáo'!$A$3:$A$1993,'Tổng 24-25'!B30)</f>
        <v>1</v>
      </c>
      <c r="J30" s="91"/>
    </row>
    <row r="31" spans="1:10" s="18" customFormat="1" ht="18.75" customHeight="1" x14ac:dyDescent="0.3">
      <c r="A31" s="19">
        <v>25</v>
      </c>
      <c r="B31" s="20">
        <v>2022221773</v>
      </c>
      <c r="C31" s="21" t="s">
        <v>783</v>
      </c>
      <c r="D31" s="22" t="s">
        <v>479</v>
      </c>
      <c r="E31" s="20" t="s">
        <v>784</v>
      </c>
      <c r="F31" s="23" t="s">
        <v>758</v>
      </c>
      <c r="G31" s="30" t="s">
        <v>759</v>
      </c>
      <c r="H31" s="30">
        <f>VLOOKUP(B31,'Dữ liệu TQNM'!$B$7:$F$769,5,0)</f>
        <v>3</v>
      </c>
      <c r="I31" s="30">
        <f>COUNTIF('Nộp báo cáo'!$A$3:$A$1993,'Tổng 24-25'!B31)</f>
        <v>3</v>
      </c>
      <c r="J31" s="91"/>
    </row>
    <row r="32" spans="1:10" ht="18.75" customHeight="1" x14ac:dyDescent="0.3">
      <c r="A32" s="31">
        <v>26</v>
      </c>
      <c r="B32" s="107">
        <v>2022222085</v>
      </c>
      <c r="C32" s="33" t="s">
        <v>214</v>
      </c>
      <c r="D32" s="34" t="s">
        <v>122</v>
      </c>
      <c r="E32" s="32" t="s">
        <v>265</v>
      </c>
      <c r="F32" s="35" t="s">
        <v>758</v>
      </c>
      <c r="G32" s="36" t="s">
        <v>759</v>
      </c>
      <c r="H32" s="30">
        <f>VLOOKUP(B32,'Dữ liệu TQNM'!$B$7:$F$769,5,0)</f>
        <v>0</v>
      </c>
      <c r="I32" s="30">
        <f>COUNTIF('Nộp báo cáo'!$A$3:$A$1993,'Tổng 24-25'!B32)</f>
        <v>0</v>
      </c>
      <c r="J32" s="91"/>
    </row>
    <row r="33" spans="1:10" s="18" customFormat="1" ht="18.75" customHeight="1" x14ac:dyDescent="0.3">
      <c r="A33" s="19">
        <v>27</v>
      </c>
      <c r="B33" s="20">
        <v>2022222151</v>
      </c>
      <c r="C33" s="21" t="s">
        <v>785</v>
      </c>
      <c r="D33" s="22" t="s">
        <v>232</v>
      </c>
      <c r="E33" s="20" t="s">
        <v>948</v>
      </c>
      <c r="F33" s="23" t="s">
        <v>758</v>
      </c>
      <c r="G33" s="30" t="s">
        <v>759</v>
      </c>
      <c r="H33" s="30">
        <f>VLOOKUP(B33,'Dữ liệu TQNM'!$B$7:$F$769,5,0)</f>
        <v>3</v>
      </c>
      <c r="I33" s="30">
        <f>COUNTIF('Nộp báo cáo'!$A$3:$A$1993,'Tổng 24-25'!B33)</f>
        <v>4</v>
      </c>
      <c r="J33" s="91"/>
    </row>
    <row r="34" spans="1:10" s="18" customFormat="1" ht="18.75" customHeight="1" x14ac:dyDescent="0.3">
      <c r="A34" s="19">
        <v>28</v>
      </c>
      <c r="B34" s="20">
        <v>2022222221</v>
      </c>
      <c r="C34" s="21" t="s">
        <v>786</v>
      </c>
      <c r="D34" s="22" t="s">
        <v>311</v>
      </c>
      <c r="E34" s="20" t="s">
        <v>287</v>
      </c>
      <c r="F34" s="23" t="s">
        <v>758</v>
      </c>
      <c r="G34" s="30" t="s">
        <v>759</v>
      </c>
      <c r="H34" s="30">
        <f>VLOOKUP(B34,'Dữ liệu TQNM'!$B$7:$F$769,5,0)</f>
        <v>2</v>
      </c>
      <c r="I34" s="30">
        <f>COUNTIF('Nộp báo cáo'!$A$3:$A$1993,'Tổng 24-25'!B34)</f>
        <v>3</v>
      </c>
      <c r="J34" s="91"/>
    </row>
    <row r="35" spans="1:10" s="18" customFormat="1" ht="18.75" customHeight="1" x14ac:dyDescent="0.3">
      <c r="A35" s="19">
        <v>29</v>
      </c>
      <c r="B35" s="20">
        <v>2022222260</v>
      </c>
      <c r="C35" s="21" t="s">
        <v>95</v>
      </c>
      <c r="D35" s="22" t="s">
        <v>202</v>
      </c>
      <c r="E35" s="20" t="s">
        <v>59</v>
      </c>
      <c r="F35" s="23" t="s">
        <v>758</v>
      </c>
      <c r="G35" s="30" t="s">
        <v>759</v>
      </c>
      <c r="H35" s="30">
        <f>VLOOKUP(B35,'Dữ liệu TQNM'!$B$7:$F$769,5,0)</f>
        <v>5</v>
      </c>
      <c r="I35" s="30">
        <f>COUNTIF('Nộp báo cáo'!$A$3:$A$1993,'Tổng 24-25'!B35)</f>
        <v>2</v>
      </c>
      <c r="J35" s="91"/>
    </row>
    <row r="36" spans="1:10" ht="18.75" customHeight="1" x14ac:dyDescent="0.3">
      <c r="A36" s="31">
        <v>30</v>
      </c>
      <c r="B36" s="107">
        <v>2022222480</v>
      </c>
      <c r="C36" s="33" t="s">
        <v>949</v>
      </c>
      <c r="D36" s="34" t="s">
        <v>58</v>
      </c>
      <c r="E36" s="32" t="s">
        <v>797</v>
      </c>
      <c r="F36" s="35" t="s">
        <v>758</v>
      </c>
      <c r="G36" s="36" t="s">
        <v>759</v>
      </c>
      <c r="H36" s="30">
        <f>VLOOKUP(B36,'Dữ liệu TQNM'!$B$7:$F$769,5,0)</f>
        <v>0</v>
      </c>
      <c r="I36" s="30">
        <f>COUNTIF('Nộp báo cáo'!$A$3:$A$1993,'Tổng 24-25'!B36)</f>
        <v>0</v>
      </c>
      <c r="J36" s="91"/>
    </row>
    <row r="37" spans="1:10" s="18" customFormat="1" ht="18.75" customHeight="1" x14ac:dyDescent="0.3">
      <c r="A37" s="19">
        <v>31</v>
      </c>
      <c r="B37" s="20">
        <v>2022222474</v>
      </c>
      <c r="C37" s="21" t="s">
        <v>787</v>
      </c>
      <c r="D37" s="22" t="s">
        <v>58</v>
      </c>
      <c r="E37" s="20" t="s">
        <v>950</v>
      </c>
      <c r="F37" s="23" t="s">
        <v>758</v>
      </c>
      <c r="G37" s="30" t="s">
        <v>759</v>
      </c>
      <c r="H37" s="30">
        <f>VLOOKUP(B37,'Dữ liệu TQNM'!$B$7:$F$769,5,0)</f>
        <v>3</v>
      </c>
      <c r="I37" s="30">
        <f>COUNTIF('Nộp báo cáo'!$A$3:$A$1993,'Tổng 24-25'!B37)</f>
        <v>3</v>
      </c>
      <c r="J37" s="91"/>
    </row>
    <row r="38" spans="1:10" s="18" customFormat="1" ht="18.75" customHeight="1" x14ac:dyDescent="0.3">
      <c r="A38" s="19">
        <v>32</v>
      </c>
      <c r="B38" s="20">
        <v>2022222537</v>
      </c>
      <c r="C38" s="21" t="s">
        <v>788</v>
      </c>
      <c r="D38" s="22" t="s">
        <v>484</v>
      </c>
      <c r="E38" s="20" t="s">
        <v>951</v>
      </c>
      <c r="F38" s="23" t="s">
        <v>758</v>
      </c>
      <c r="G38" s="30" t="s">
        <v>759</v>
      </c>
      <c r="H38" s="30">
        <f>VLOOKUP(B38,'Dữ liệu TQNM'!$B$7:$F$769,5,0)</f>
        <v>3</v>
      </c>
      <c r="I38" s="30">
        <f>COUNTIF('Nộp báo cáo'!$A$3:$A$1993,'Tổng 24-25'!B38)</f>
        <v>3</v>
      </c>
      <c r="J38" s="91"/>
    </row>
    <row r="39" spans="1:10" s="18" customFormat="1" ht="18.75" customHeight="1" x14ac:dyDescent="0.3">
      <c r="A39" s="19">
        <v>33</v>
      </c>
      <c r="B39" s="20">
        <v>2022222669</v>
      </c>
      <c r="C39" s="21" t="s">
        <v>789</v>
      </c>
      <c r="D39" s="22" t="s">
        <v>790</v>
      </c>
      <c r="E39" s="20" t="s">
        <v>215</v>
      </c>
      <c r="F39" s="23" t="s">
        <v>758</v>
      </c>
      <c r="G39" s="30" t="s">
        <v>759</v>
      </c>
      <c r="H39" s="30">
        <f>VLOOKUP(B39,'Dữ liệu TQNM'!$B$7:$F$769,5,0)</f>
        <v>2</v>
      </c>
      <c r="I39" s="30">
        <f>COUNTIF('Nộp báo cáo'!$A$3:$A$1993,'Tổng 24-25'!B39)</f>
        <v>3</v>
      </c>
      <c r="J39" s="91"/>
    </row>
    <row r="40" spans="1:10" s="18" customFormat="1" ht="18.75" customHeight="1" x14ac:dyDescent="0.3">
      <c r="A40" s="19">
        <v>34</v>
      </c>
      <c r="B40" s="20">
        <v>2022222721</v>
      </c>
      <c r="C40" s="21" t="s">
        <v>791</v>
      </c>
      <c r="D40" s="22" t="s">
        <v>91</v>
      </c>
      <c r="E40" s="20" t="s">
        <v>951</v>
      </c>
      <c r="F40" s="23" t="s">
        <v>758</v>
      </c>
      <c r="G40" s="30" t="s">
        <v>759</v>
      </c>
      <c r="H40" s="30">
        <f>VLOOKUP(B40,'Dữ liệu TQNM'!$B$7:$F$769,5,0)</f>
        <v>2</v>
      </c>
      <c r="I40" s="30">
        <f>COUNTIF('Nộp báo cáo'!$A$3:$A$1993,'Tổng 24-25'!B40)</f>
        <v>3</v>
      </c>
      <c r="J40" s="91"/>
    </row>
    <row r="41" spans="1:10" s="18" customFormat="1" ht="18.75" customHeight="1" x14ac:dyDescent="0.3">
      <c r="A41" s="19">
        <v>35</v>
      </c>
      <c r="B41" s="20">
        <v>2022222838</v>
      </c>
      <c r="C41" s="21" t="s">
        <v>792</v>
      </c>
      <c r="D41" s="22" t="s">
        <v>362</v>
      </c>
      <c r="E41" s="20" t="s">
        <v>203</v>
      </c>
      <c r="F41" s="23" t="s">
        <v>758</v>
      </c>
      <c r="G41" s="30" t="s">
        <v>759</v>
      </c>
      <c r="H41" s="30">
        <f>VLOOKUP(B41,'Dữ liệu TQNM'!$B$7:$F$769,5,0)</f>
        <v>2</v>
      </c>
      <c r="I41" s="30">
        <f>COUNTIF('Nộp báo cáo'!$A$3:$A$1993,'Tổng 24-25'!B41)</f>
        <v>3</v>
      </c>
      <c r="J41" s="91"/>
    </row>
    <row r="42" spans="1:10" s="18" customFormat="1" ht="18.75" customHeight="1" x14ac:dyDescent="0.3">
      <c r="A42" s="19">
        <v>36</v>
      </c>
      <c r="B42" s="20">
        <v>2022222952</v>
      </c>
      <c r="C42" s="21" t="s">
        <v>95</v>
      </c>
      <c r="D42" s="22" t="s">
        <v>92</v>
      </c>
      <c r="E42" s="20" t="s">
        <v>952</v>
      </c>
      <c r="F42" s="23" t="s">
        <v>758</v>
      </c>
      <c r="G42" s="30" t="s">
        <v>759</v>
      </c>
      <c r="H42" s="30">
        <f>VLOOKUP(B42,'Dữ liệu TQNM'!$B$7:$F$769,5,0)</f>
        <v>2</v>
      </c>
      <c r="I42" s="30">
        <f>COUNTIF('Nộp báo cáo'!$A$3:$A$1993,'Tổng 24-25'!B42)</f>
        <v>4</v>
      </c>
      <c r="J42" s="91"/>
    </row>
    <row r="43" spans="1:10" s="18" customFormat="1" ht="18.75" customHeight="1" x14ac:dyDescent="0.3">
      <c r="A43" s="19">
        <v>37</v>
      </c>
      <c r="B43" s="20">
        <v>2022222956</v>
      </c>
      <c r="C43" s="21" t="s">
        <v>795</v>
      </c>
      <c r="D43" s="22" t="s">
        <v>92</v>
      </c>
      <c r="E43" s="20" t="s">
        <v>150</v>
      </c>
      <c r="F43" s="23" t="s">
        <v>758</v>
      </c>
      <c r="G43" s="30" t="s">
        <v>759</v>
      </c>
      <c r="H43" s="30">
        <f>VLOOKUP(B43,'Dữ liệu TQNM'!$B$7:$F$769,5,0)</f>
        <v>2</v>
      </c>
      <c r="I43" s="30">
        <f>COUNTIF('Nộp báo cáo'!$A$3:$A$1993,'Tổng 24-25'!B43)</f>
        <v>4</v>
      </c>
      <c r="J43" s="91"/>
    </row>
    <row r="44" spans="1:10" s="18" customFormat="1" ht="18.75" customHeight="1" x14ac:dyDescent="0.3">
      <c r="A44" s="19">
        <v>38</v>
      </c>
      <c r="B44" s="20">
        <v>2022222954</v>
      </c>
      <c r="C44" s="21" t="s">
        <v>221</v>
      </c>
      <c r="D44" s="22" t="s">
        <v>92</v>
      </c>
      <c r="E44" s="20" t="s">
        <v>953</v>
      </c>
      <c r="F44" s="23" t="s">
        <v>758</v>
      </c>
      <c r="G44" s="30" t="s">
        <v>759</v>
      </c>
      <c r="H44" s="30">
        <f>VLOOKUP(B44,'Dữ liệu TQNM'!$B$7:$F$769,5,0)</f>
        <v>4</v>
      </c>
      <c r="I44" s="30">
        <f>COUNTIF('Nộp báo cáo'!$A$3:$A$1993,'Tổng 24-25'!B44)</f>
        <v>3</v>
      </c>
      <c r="J44" s="91"/>
    </row>
    <row r="45" spans="1:10" s="18" customFormat="1" ht="18.75" customHeight="1" x14ac:dyDescent="0.3">
      <c r="A45" s="19">
        <v>39</v>
      </c>
      <c r="B45" s="20">
        <v>2022222955</v>
      </c>
      <c r="C45" s="21" t="s">
        <v>793</v>
      </c>
      <c r="D45" s="22" t="s">
        <v>92</v>
      </c>
      <c r="E45" s="20" t="s">
        <v>794</v>
      </c>
      <c r="F45" s="23" t="s">
        <v>758</v>
      </c>
      <c r="G45" s="30" t="s">
        <v>759</v>
      </c>
      <c r="H45" s="30">
        <f>VLOOKUP(B45,'Dữ liệu TQNM'!$B$7:$F$769,5,0)</f>
        <v>2</v>
      </c>
      <c r="I45" s="30">
        <f>COUNTIF('Nộp báo cáo'!$A$3:$A$1993,'Tổng 24-25'!B45)</f>
        <v>3</v>
      </c>
      <c r="J45" s="91"/>
    </row>
    <row r="46" spans="1:10" s="18" customFormat="1" ht="18.75" customHeight="1" x14ac:dyDescent="0.3">
      <c r="A46" s="19">
        <v>40</v>
      </c>
      <c r="B46" s="20">
        <v>2022223013</v>
      </c>
      <c r="C46" s="21" t="s">
        <v>796</v>
      </c>
      <c r="D46" s="22" t="s">
        <v>241</v>
      </c>
      <c r="E46" s="20" t="s">
        <v>797</v>
      </c>
      <c r="F46" s="23" t="s">
        <v>758</v>
      </c>
      <c r="G46" s="30" t="s">
        <v>759</v>
      </c>
      <c r="H46" s="30">
        <f>VLOOKUP(B46,'Dữ liệu TQNM'!$B$7:$F$769,5,0)</f>
        <v>3</v>
      </c>
      <c r="I46" s="30">
        <f>COUNTIF('Nộp báo cáo'!$A$3:$A$1993,'Tổng 24-25'!B46)</f>
        <v>3</v>
      </c>
      <c r="J46" s="91"/>
    </row>
    <row r="47" spans="1:10" s="18" customFormat="1" ht="18.75" customHeight="1" x14ac:dyDescent="0.3">
      <c r="A47" s="19">
        <v>41</v>
      </c>
      <c r="B47" s="20">
        <v>2022223101</v>
      </c>
      <c r="C47" s="21" t="s">
        <v>798</v>
      </c>
      <c r="D47" s="22" t="s">
        <v>51</v>
      </c>
      <c r="E47" s="20" t="s">
        <v>799</v>
      </c>
      <c r="F47" s="23" t="s">
        <v>758</v>
      </c>
      <c r="G47" s="30" t="s">
        <v>759</v>
      </c>
      <c r="H47" s="30">
        <f>VLOOKUP(B47,'Dữ liệu TQNM'!$B$7:$F$769,5,0)</f>
        <v>2</v>
      </c>
      <c r="I47" s="30">
        <f>COUNTIF('Nộp báo cáo'!$A$3:$A$1993,'Tổng 24-25'!B47)</f>
        <v>3</v>
      </c>
      <c r="J47" s="91"/>
    </row>
    <row r="48" spans="1:10" s="18" customFormat="1" ht="18.75" customHeight="1" x14ac:dyDescent="0.3">
      <c r="A48" s="19">
        <v>42</v>
      </c>
      <c r="B48" s="20">
        <v>2022223171</v>
      </c>
      <c r="C48" s="21" t="s">
        <v>800</v>
      </c>
      <c r="D48" s="22" t="s">
        <v>205</v>
      </c>
      <c r="E48" s="20" t="s">
        <v>954</v>
      </c>
      <c r="F48" s="23" t="s">
        <v>758</v>
      </c>
      <c r="G48" s="30" t="s">
        <v>759</v>
      </c>
      <c r="H48" s="30">
        <f>VLOOKUP(B48,'Dữ liệu TQNM'!$B$7:$F$769,5,0)</f>
        <v>2</v>
      </c>
      <c r="I48" s="30">
        <f>COUNTIF('Nộp báo cáo'!$A$3:$A$1993,'Tổng 24-25'!B48)</f>
        <v>3</v>
      </c>
      <c r="J48" s="91"/>
    </row>
    <row r="49" spans="1:10" s="18" customFormat="1" ht="18.75" customHeight="1" x14ac:dyDescent="0.3">
      <c r="A49" s="19">
        <v>43</v>
      </c>
      <c r="B49" s="20">
        <v>2022223260</v>
      </c>
      <c r="C49" s="21" t="s">
        <v>801</v>
      </c>
      <c r="D49" s="22" t="s">
        <v>367</v>
      </c>
      <c r="E49" s="20" t="s">
        <v>955</v>
      </c>
      <c r="F49" s="23" t="s">
        <v>758</v>
      </c>
      <c r="G49" s="30" t="s">
        <v>759</v>
      </c>
      <c r="H49" s="30">
        <f>VLOOKUP(B49,'Dữ liệu TQNM'!$B$7:$F$769,5,0)</f>
        <v>3</v>
      </c>
      <c r="I49" s="30">
        <f>COUNTIF('Nộp báo cáo'!$A$3:$A$1993,'Tổng 24-25'!B49)</f>
        <v>2</v>
      </c>
      <c r="J49" s="91"/>
    </row>
    <row r="50" spans="1:10" s="18" customFormat="1" ht="18.75" customHeight="1" x14ac:dyDescent="0.3">
      <c r="A50" s="19">
        <v>44</v>
      </c>
      <c r="B50" s="20">
        <v>2022223251</v>
      </c>
      <c r="C50" s="21" t="s">
        <v>146</v>
      </c>
      <c r="D50" s="22" t="s">
        <v>367</v>
      </c>
      <c r="E50" s="20" t="s">
        <v>526</v>
      </c>
      <c r="F50" s="23" t="s">
        <v>758</v>
      </c>
      <c r="G50" s="30" t="s">
        <v>759</v>
      </c>
      <c r="H50" s="30">
        <f>VLOOKUP(B50,'Dữ liệu TQNM'!$B$7:$F$769,5,0)</f>
        <v>3</v>
      </c>
      <c r="I50" s="30">
        <f>COUNTIF('Nộp báo cáo'!$A$3:$A$1993,'Tổng 24-25'!B50)</f>
        <v>3</v>
      </c>
      <c r="J50" s="91"/>
    </row>
    <row r="51" spans="1:10" s="18" customFormat="1" ht="18.75" customHeight="1" x14ac:dyDescent="0.3">
      <c r="A51" s="19">
        <v>45</v>
      </c>
      <c r="B51" s="20">
        <v>2022223409</v>
      </c>
      <c r="C51" s="21" t="s">
        <v>802</v>
      </c>
      <c r="D51" s="22" t="s">
        <v>76</v>
      </c>
      <c r="E51" s="20" t="s">
        <v>956</v>
      </c>
      <c r="F51" s="23" t="s">
        <v>758</v>
      </c>
      <c r="G51" s="30" t="s">
        <v>759</v>
      </c>
      <c r="H51" s="30">
        <f>VLOOKUP(B51,'Dữ liệu TQNM'!$B$7:$F$769,5,0)</f>
        <v>4</v>
      </c>
      <c r="I51" s="30">
        <f>COUNTIF('Nộp báo cáo'!$A$3:$A$1993,'Tổng 24-25'!B51)</f>
        <v>3</v>
      </c>
      <c r="J51" s="91"/>
    </row>
    <row r="52" spans="1:10" s="18" customFormat="1" ht="18.75" customHeight="1" x14ac:dyDescent="0.3">
      <c r="A52" s="19">
        <v>46</v>
      </c>
      <c r="B52" s="20">
        <v>2022223529</v>
      </c>
      <c r="C52" s="21" t="s">
        <v>93</v>
      </c>
      <c r="D52" s="22" t="s">
        <v>318</v>
      </c>
      <c r="E52" s="20" t="s">
        <v>529</v>
      </c>
      <c r="F52" s="23" t="s">
        <v>758</v>
      </c>
      <c r="G52" s="30" t="s">
        <v>759</v>
      </c>
      <c r="H52" s="30">
        <f>VLOOKUP(B52,'Dữ liệu TQNM'!$B$7:$F$769,5,0)</f>
        <v>4</v>
      </c>
      <c r="I52" s="30">
        <f>COUNTIF('Nộp báo cáo'!$A$3:$A$1993,'Tổng 24-25'!B52)</f>
        <v>3</v>
      </c>
      <c r="J52" s="91"/>
    </row>
    <row r="53" spans="1:10" s="18" customFormat="1" ht="18.75" customHeight="1" x14ac:dyDescent="0.3">
      <c r="A53" s="19">
        <v>47</v>
      </c>
      <c r="B53" s="20">
        <v>2022223453</v>
      </c>
      <c r="C53" s="21" t="s">
        <v>578</v>
      </c>
      <c r="D53" s="22" t="s">
        <v>803</v>
      </c>
      <c r="E53" s="20" t="s">
        <v>276</v>
      </c>
      <c r="F53" s="23" t="s">
        <v>758</v>
      </c>
      <c r="G53" s="30" t="s">
        <v>759</v>
      </c>
      <c r="H53" s="30">
        <f>VLOOKUP(B53,'Dữ liệu TQNM'!$B$7:$F$769,5,0)</f>
        <v>2</v>
      </c>
      <c r="I53" s="30">
        <f>COUNTIF('Nộp báo cáo'!$A$3:$A$1993,'Tổng 24-25'!B53)</f>
        <v>3</v>
      </c>
      <c r="J53" s="91"/>
    </row>
    <row r="54" spans="1:10" s="18" customFormat="1" ht="18.75" customHeight="1" x14ac:dyDescent="0.3">
      <c r="A54" s="19">
        <v>48</v>
      </c>
      <c r="B54" s="20">
        <v>2022223634</v>
      </c>
      <c r="C54" s="21" t="s">
        <v>804</v>
      </c>
      <c r="D54" s="22" t="s">
        <v>303</v>
      </c>
      <c r="E54" s="20" t="s">
        <v>592</v>
      </c>
      <c r="F54" s="23" t="s">
        <v>758</v>
      </c>
      <c r="G54" s="30" t="s">
        <v>759</v>
      </c>
      <c r="H54" s="30">
        <f>VLOOKUP(B54,'Dữ liệu TQNM'!$B$7:$F$769,5,0)</f>
        <v>2</v>
      </c>
      <c r="I54" s="30">
        <f>COUNTIF('Nộp báo cáo'!$A$3:$A$1993,'Tổng 24-25'!B54)</f>
        <v>2</v>
      </c>
      <c r="J54" s="91"/>
    </row>
    <row r="55" spans="1:10" s="18" customFormat="1" ht="18.75" customHeight="1" x14ac:dyDescent="0.3">
      <c r="A55" s="19">
        <v>49</v>
      </c>
      <c r="B55" s="20">
        <v>2022223957</v>
      </c>
      <c r="C55" s="21" t="s">
        <v>825</v>
      </c>
      <c r="D55" s="22" t="s">
        <v>750</v>
      </c>
      <c r="E55" s="20" t="s">
        <v>809</v>
      </c>
      <c r="F55" s="23" t="s">
        <v>758</v>
      </c>
      <c r="G55" s="30" t="s">
        <v>759</v>
      </c>
      <c r="H55" s="30">
        <f>VLOOKUP(B55,'Dữ liệu TQNM'!$B$7:$F$769,5,0)</f>
        <v>4</v>
      </c>
      <c r="I55" s="30">
        <f>COUNTIF('Nộp báo cáo'!$A$3:$A$1993,'Tổng 24-25'!B55)</f>
        <v>3</v>
      </c>
      <c r="J55" s="91"/>
    </row>
    <row r="56" spans="1:10" s="18" customFormat="1" ht="18.75" customHeight="1" x14ac:dyDescent="0.3">
      <c r="A56" s="19">
        <v>50</v>
      </c>
      <c r="B56" s="20">
        <v>2022224110</v>
      </c>
      <c r="C56" s="21" t="s">
        <v>699</v>
      </c>
      <c r="D56" s="22" t="s">
        <v>65</v>
      </c>
      <c r="E56" s="20" t="s">
        <v>805</v>
      </c>
      <c r="F56" s="23" t="s">
        <v>758</v>
      </c>
      <c r="G56" s="30" t="s">
        <v>759</v>
      </c>
      <c r="H56" s="30">
        <f>VLOOKUP(B56,'Dữ liệu TQNM'!$B$7:$F$769,5,0)</f>
        <v>4</v>
      </c>
      <c r="I56" s="30">
        <f>COUNTIF('Nộp báo cáo'!$A$3:$A$1993,'Tổng 24-25'!B56)</f>
        <v>3</v>
      </c>
      <c r="J56" s="91"/>
    </row>
    <row r="57" spans="1:10" s="18" customFormat="1" ht="18.75" customHeight="1" x14ac:dyDescent="0.3">
      <c r="A57" s="19">
        <v>51</v>
      </c>
      <c r="B57" s="20">
        <v>2022224187</v>
      </c>
      <c r="C57" s="21" t="s">
        <v>806</v>
      </c>
      <c r="D57" s="22" t="s">
        <v>807</v>
      </c>
      <c r="E57" s="20" t="s">
        <v>957</v>
      </c>
      <c r="F57" s="23" t="s">
        <v>758</v>
      </c>
      <c r="G57" s="30" t="s">
        <v>759</v>
      </c>
      <c r="H57" s="30">
        <f>VLOOKUP(B57,'Dữ liệu TQNM'!$B$7:$F$769,5,0)</f>
        <v>2</v>
      </c>
      <c r="I57" s="30">
        <f>COUNTIF('Nộp báo cáo'!$A$3:$A$1993,'Tổng 24-25'!B57)</f>
        <v>3</v>
      </c>
      <c r="J57" s="91"/>
    </row>
    <row r="58" spans="1:10" s="18" customFormat="1" ht="18.75" customHeight="1" x14ac:dyDescent="0.3">
      <c r="A58" s="19">
        <v>52</v>
      </c>
      <c r="B58" s="20">
        <v>2022224892</v>
      </c>
      <c r="C58" s="21" t="s">
        <v>808</v>
      </c>
      <c r="D58" s="22" t="s">
        <v>304</v>
      </c>
      <c r="E58" s="20" t="s">
        <v>809</v>
      </c>
      <c r="F58" s="23" t="s">
        <v>758</v>
      </c>
      <c r="G58" s="30" t="s">
        <v>759</v>
      </c>
      <c r="H58" s="30">
        <f>VLOOKUP(B58,'Dữ liệu TQNM'!$B$7:$F$769,5,0)</f>
        <v>3</v>
      </c>
      <c r="I58" s="30">
        <f>COUNTIF('Nộp báo cáo'!$A$3:$A$1993,'Tổng 24-25'!B58)</f>
        <v>3</v>
      </c>
      <c r="J58" s="91"/>
    </row>
    <row r="59" spans="1:10" s="18" customFormat="1" ht="18.75" customHeight="1" x14ac:dyDescent="0.3">
      <c r="A59" s="19">
        <v>53</v>
      </c>
      <c r="B59" s="20">
        <v>2022225251</v>
      </c>
      <c r="C59" s="21" t="s">
        <v>810</v>
      </c>
      <c r="D59" s="22" t="s">
        <v>123</v>
      </c>
      <c r="E59" s="20" t="s">
        <v>811</v>
      </c>
      <c r="F59" s="23" t="s">
        <v>758</v>
      </c>
      <c r="G59" s="30" t="s">
        <v>759</v>
      </c>
      <c r="H59" s="30">
        <f>VLOOKUP(B59,'Dữ liệu TQNM'!$B$7:$F$769,5,0)</f>
        <v>2</v>
      </c>
      <c r="I59" s="30">
        <f>COUNTIF('Nộp báo cáo'!$A$3:$A$1993,'Tổng 24-25'!B59)</f>
        <v>6</v>
      </c>
      <c r="J59" s="91"/>
    </row>
    <row r="60" spans="1:10" ht="18.75" customHeight="1" x14ac:dyDescent="0.3">
      <c r="A60" s="31">
        <v>54</v>
      </c>
      <c r="B60" s="107">
        <v>2022225257</v>
      </c>
      <c r="C60" s="33" t="s">
        <v>958</v>
      </c>
      <c r="D60" s="34" t="s">
        <v>123</v>
      </c>
      <c r="E60" s="32" t="s">
        <v>228</v>
      </c>
      <c r="F60" s="35" t="s">
        <v>758</v>
      </c>
      <c r="G60" s="36" t="s">
        <v>759</v>
      </c>
      <c r="H60" s="30">
        <f>VLOOKUP(B60,'Dữ liệu TQNM'!$B$7:$F$769,5,0)</f>
        <v>0</v>
      </c>
      <c r="I60" s="30">
        <f>COUNTIF('Nộp báo cáo'!$A$3:$A$1993,'Tổng 24-25'!B60)</f>
        <v>0</v>
      </c>
      <c r="J60" s="91"/>
    </row>
    <row r="61" spans="1:10" s="18" customFormat="1" ht="18.75" customHeight="1" x14ac:dyDescent="0.3">
      <c r="A61" s="19">
        <v>55</v>
      </c>
      <c r="B61" s="20">
        <v>2022225134</v>
      </c>
      <c r="C61" s="21" t="s">
        <v>812</v>
      </c>
      <c r="D61" s="22" t="s">
        <v>515</v>
      </c>
      <c r="E61" s="20" t="s">
        <v>813</v>
      </c>
      <c r="F61" s="23" t="s">
        <v>758</v>
      </c>
      <c r="G61" s="30" t="s">
        <v>759</v>
      </c>
      <c r="H61" s="30">
        <f>VLOOKUP(B61,'Dữ liệu TQNM'!$B$7:$F$769,5,0)</f>
        <v>2</v>
      </c>
      <c r="I61" s="30">
        <f>COUNTIF('Nộp báo cáo'!$A$3:$A$1993,'Tổng 24-25'!B61)</f>
        <v>3</v>
      </c>
      <c r="J61" s="91"/>
    </row>
    <row r="62" spans="1:10" s="18" customFormat="1" ht="18.75" customHeight="1" x14ac:dyDescent="0.3">
      <c r="A62" s="19">
        <v>56</v>
      </c>
      <c r="B62" s="20">
        <v>2022225466</v>
      </c>
      <c r="C62" s="21" t="s">
        <v>814</v>
      </c>
      <c r="D62" s="22" t="s">
        <v>138</v>
      </c>
      <c r="E62" s="20" t="s">
        <v>529</v>
      </c>
      <c r="F62" s="23" t="s">
        <v>758</v>
      </c>
      <c r="G62" s="30" t="s">
        <v>759</v>
      </c>
      <c r="H62" s="30">
        <f>VLOOKUP(B62,'Dữ liệu TQNM'!$B$7:$F$769,5,0)</f>
        <v>2</v>
      </c>
      <c r="I62" s="30">
        <f>COUNTIF('Nộp báo cáo'!$A$3:$A$1993,'Tổng 24-25'!B62)</f>
        <v>3</v>
      </c>
      <c r="J62" s="91"/>
    </row>
    <row r="63" spans="1:10" s="18" customFormat="1" ht="18.75" customHeight="1" x14ac:dyDescent="0.3">
      <c r="A63" s="19">
        <v>57</v>
      </c>
      <c r="B63" s="20">
        <v>2022225607</v>
      </c>
      <c r="C63" s="21" t="s">
        <v>815</v>
      </c>
      <c r="D63" s="22" t="s">
        <v>115</v>
      </c>
      <c r="E63" s="20" t="s">
        <v>692</v>
      </c>
      <c r="F63" s="23" t="s">
        <v>758</v>
      </c>
      <c r="G63" s="30" t="s">
        <v>759</v>
      </c>
      <c r="H63" s="30">
        <f>VLOOKUP(B63,'Dữ liệu TQNM'!$B$7:$F$769,5,0)</f>
        <v>2</v>
      </c>
      <c r="I63" s="30">
        <f>COUNTIF('Nộp báo cáo'!$A$3:$A$1993,'Tổng 24-25'!B63)</f>
        <v>3</v>
      </c>
      <c r="J63" s="91"/>
    </row>
    <row r="64" spans="1:10" s="18" customFormat="1" ht="18.75" customHeight="1" x14ac:dyDescent="0.3">
      <c r="A64" s="19">
        <v>58</v>
      </c>
      <c r="B64" s="20">
        <v>2022224567</v>
      </c>
      <c r="C64" s="21" t="s">
        <v>816</v>
      </c>
      <c r="D64" s="22" t="s">
        <v>817</v>
      </c>
      <c r="E64" s="20" t="s">
        <v>941</v>
      </c>
      <c r="F64" s="23" t="s">
        <v>758</v>
      </c>
      <c r="G64" s="30" t="s">
        <v>759</v>
      </c>
      <c r="H64" s="30">
        <f>VLOOKUP(B64,'Dữ liệu TQNM'!$B$7:$F$769,5,0)</f>
        <v>3</v>
      </c>
      <c r="I64" s="30">
        <f>COUNTIF('Nộp báo cáo'!$A$3:$A$1993,'Tổng 24-25'!B64)</f>
        <v>3</v>
      </c>
      <c r="J64" s="91"/>
    </row>
    <row r="65" spans="1:10" s="18" customFormat="1" ht="18.75" customHeight="1" x14ac:dyDescent="0.3">
      <c r="A65" s="19">
        <v>59</v>
      </c>
      <c r="B65" s="20">
        <v>2022225798</v>
      </c>
      <c r="C65" s="21" t="s">
        <v>818</v>
      </c>
      <c r="D65" s="22" t="s">
        <v>262</v>
      </c>
      <c r="E65" s="20" t="s">
        <v>648</v>
      </c>
      <c r="F65" s="23" t="s">
        <v>758</v>
      </c>
      <c r="G65" s="30" t="s">
        <v>759</v>
      </c>
      <c r="H65" s="30">
        <f>VLOOKUP(B65,'Dữ liệu TQNM'!$B$7:$F$769,5,0)</f>
        <v>2</v>
      </c>
      <c r="I65" s="30">
        <f>COUNTIF('Nộp báo cáo'!$A$3:$A$1993,'Tổng 24-25'!B65)</f>
        <v>2</v>
      </c>
      <c r="J65" s="91"/>
    </row>
    <row r="66" spans="1:10" s="18" customFormat="1" ht="18.75" customHeight="1" x14ac:dyDescent="0.3">
      <c r="A66" s="19">
        <v>60</v>
      </c>
      <c r="B66" s="20">
        <v>2022225891</v>
      </c>
      <c r="C66" s="21" t="s">
        <v>819</v>
      </c>
      <c r="D66" s="22" t="s">
        <v>820</v>
      </c>
      <c r="E66" s="20" t="s">
        <v>959</v>
      </c>
      <c r="F66" s="23" t="s">
        <v>758</v>
      </c>
      <c r="G66" s="30" t="s">
        <v>759</v>
      </c>
      <c r="H66" s="30">
        <f>VLOOKUP(B66,'Dữ liệu TQNM'!$B$7:$F$769,5,0)</f>
        <v>5</v>
      </c>
      <c r="I66" s="30">
        <f>COUNTIF('Nộp báo cáo'!$A$3:$A$1993,'Tổng 24-25'!B66)</f>
        <v>3</v>
      </c>
      <c r="J66" s="91"/>
    </row>
    <row r="67" spans="1:10" s="18" customFormat="1" ht="18.75" customHeight="1" x14ac:dyDescent="0.3">
      <c r="A67" s="19">
        <v>61</v>
      </c>
      <c r="B67" s="20">
        <v>2022226009</v>
      </c>
      <c r="C67" s="21" t="s">
        <v>435</v>
      </c>
      <c r="D67" s="22" t="s">
        <v>56</v>
      </c>
      <c r="E67" s="20" t="s">
        <v>821</v>
      </c>
      <c r="F67" s="23" t="s">
        <v>758</v>
      </c>
      <c r="G67" s="30" t="s">
        <v>759</v>
      </c>
      <c r="H67" s="30">
        <f>VLOOKUP(B67,'Dữ liệu TQNM'!$B$7:$F$769,5,0)</f>
        <v>2</v>
      </c>
      <c r="I67" s="30">
        <f>COUNTIF('Nộp báo cáo'!$A$3:$A$1993,'Tổng 24-25'!B67)</f>
        <v>2</v>
      </c>
      <c r="J67" s="91"/>
    </row>
    <row r="68" spans="1:10" s="18" customFormat="1" ht="18.75" customHeight="1" x14ac:dyDescent="0.3">
      <c r="A68" s="19">
        <v>62</v>
      </c>
      <c r="B68" s="20">
        <v>2022226028</v>
      </c>
      <c r="C68" s="21" t="s">
        <v>341</v>
      </c>
      <c r="D68" s="22" t="s">
        <v>56</v>
      </c>
      <c r="E68" s="20" t="s">
        <v>956</v>
      </c>
      <c r="F68" s="23" t="s">
        <v>758</v>
      </c>
      <c r="G68" s="30" t="s">
        <v>759</v>
      </c>
      <c r="H68" s="30">
        <f>VLOOKUP(B68,'Dữ liệu TQNM'!$B$7:$F$769,5,0)</f>
        <v>2</v>
      </c>
      <c r="I68" s="30">
        <f>COUNTIF('Nộp báo cáo'!$A$3:$A$1993,'Tổng 24-25'!B68)</f>
        <v>5</v>
      </c>
      <c r="J68" s="91"/>
    </row>
    <row r="69" spans="1:10" s="18" customFormat="1" ht="18.75" customHeight="1" x14ac:dyDescent="0.3">
      <c r="A69" s="19">
        <v>63</v>
      </c>
      <c r="B69" s="20">
        <v>2022226039</v>
      </c>
      <c r="C69" s="21" t="s">
        <v>530</v>
      </c>
      <c r="D69" s="22" t="s">
        <v>56</v>
      </c>
      <c r="E69" s="20" t="s">
        <v>611</v>
      </c>
      <c r="F69" s="23" t="s">
        <v>758</v>
      </c>
      <c r="G69" s="30" t="s">
        <v>759</v>
      </c>
      <c r="H69" s="30">
        <f>VLOOKUP(B69,'Dữ liệu TQNM'!$B$7:$F$769,5,0)</f>
        <v>2</v>
      </c>
      <c r="I69" s="30">
        <f>COUNTIF('Nộp báo cáo'!$A$3:$A$1993,'Tổng 24-25'!B69)</f>
        <v>3</v>
      </c>
      <c r="J69" s="91"/>
    </row>
    <row r="70" spans="1:10" s="18" customFormat="1" ht="18.75" customHeight="1" x14ac:dyDescent="0.3">
      <c r="A70" s="19">
        <v>64</v>
      </c>
      <c r="B70" s="20">
        <v>2022226018</v>
      </c>
      <c r="C70" s="21" t="s">
        <v>184</v>
      </c>
      <c r="D70" s="22" t="s">
        <v>56</v>
      </c>
      <c r="E70" s="20" t="s">
        <v>454</v>
      </c>
      <c r="F70" s="23" t="s">
        <v>758</v>
      </c>
      <c r="G70" s="30" t="s">
        <v>759</v>
      </c>
      <c r="H70" s="30">
        <f>VLOOKUP(B70,'Dữ liệu TQNM'!$B$7:$F$769,5,0)</f>
        <v>2</v>
      </c>
      <c r="I70" s="30">
        <f>COUNTIF('Nộp báo cáo'!$A$3:$A$1993,'Tổng 24-25'!B70)</f>
        <v>4</v>
      </c>
      <c r="J70" s="91"/>
    </row>
    <row r="71" spans="1:10" s="18" customFormat="1" ht="18.75" customHeight="1" x14ac:dyDescent="0.3">
      <c r="A71" s="19">
        <v>65</v>
      </c>
      <c r="B71" s="20">
        <v>2022226027</v>
      </c>
      <c r="C71" s="21" t="s">
        <v>822</v>
      </c>
      <c r="D71" s="22" t="s">
        <v>56</v>
      </c>
      <c r="E71" s="20" t="s">
        <v>396</v>
      </c>
      <c r="F71" s="23" t="s">
        <v>758</v>
      </c>
      <c r="G71" s="30" t="s">
        <v>759</v>
      </c>
      <c r="H71" s="30">
        <f>VLOOKUP(B71,'Dữ liệu TQNM'!$B$7:$F$769,5,0)</f>
        <v>2</v>
      </c>
      <c r="I71" s="30">
        <f>COUNTIF('Nộp báo cáo'!$A$3:$A$1993,'Tổng 24-25'!B71)</f>
        <v>2</v>
      </c>
      <c r="J71" s="91"/>
    </row>
    <row r="72" spans="1:10" s="18" customFormat="1" ht="18.75" customHeight="1" x14ac:dyDescent="0.3">
      <c r="A72" s="19">
        <v>66</v>
      </c>
      <c r="B72" s="20">
        <v>2022226088</v>
      </c>
      <c r="C72" s="21" t="s">
        <v>297</v>
      </c>
      <c r="D72" s="22" t="s">
        <v>24</v>
      </c>
      <c r="E72" s="20" t="s">
        <v>611</v>
      </c>
      <c r="F72" s="23" t="s">
        <v>758</v>
      </c>
      <c r="G72" s="30" t="s">
        <v>759</v>
      </c>
      <c r="H72" s="30">
        <f>VLOOKUP(B72,'Dữ liệu TQNM'!$B$7:$F$769,5,0)</f>
        <v>4</v>
      </c>
      <c r="I72" s="30">
        <f>COUNTIF('Nộp báo cáo'!$A$3:$A$1993,'Tổng 24-25'!B72)</f>
        <v>3</v>
      </c>
      <c r="J72" s="91"/>
    </row>
    <row r="73" spans="1:10" s="18" customFormat="1" ht="18.75" customHeight="1" x14ac:dyDescent="0.3">
      <c r="A73" s="19">
        <v>67</v>
      </c>
      <c r="B73" s="20">
        <v>2022220369</v>
      </c>
      <c r="C73" s="21" t="s">
        <v>826</v>
      </c>
      <c r="D73" s="22" t="s">
        <v>827</v>
      </c>
      <c r="E73" s="20" t="s">
        <v>734</v>
      </c>
      <c r="F73" s="23" t="s">
        <v>468</v>
      </c>
      <c r="G73" s="30" t="s">
        <v>759</v>
      </c>
      <c r="H73" s="30">
        <f>VLOOKUP(B73,'Dữ liệu TQNM'!$B$7:$F$769,5,0)</f>
        <v>2</v>
      </c>
      <c r="I73" s="30">
        <f>COUNTIF('Nộp báo cáo'!$A$3:$A$1993,'Tổng 24-25'!B73)</f>
        <v>3</v>
      </c>
      <c r="J73" s="91"/>
    </row>
    <row r="74" spans="1:10" s="18" customFormat="1" ht="18.75" customHeight="1" x14ac:dyDescent="0.3">
      <c r="A74" s="19">
        <v>68</v>
      </c>
      <c r="B74" s="20">
        <v>2022220508</v>
      </c>
      <c r="C74" s="21" t="s">
        <v>746</v>
      </c>
      <c r="D74" s="22" t="s">
        <v>539</v>
      </c>
      <c r="E74" s="20" t="s">
        <v>828</v>
      </c>
      <c r="F74" s="23" t="s">
        <v>468</v>
      </c>
      <c r="G74" s="30" t="s">
        <v>759</v>
      </c>
      <c r="H74" s="30">
        <f>VLOOKUP(B74,'Dữ liệu TQNM'!$B$7:$F$769,5,0)</f>
        <v>3</v>
      </c>
      <c r="I74" s="30">
        <f>COUNTIF('Nộp báo cáo'!$A$3:$A$1993,'Tổng 24-25'!B74)</f>
        <v>3</v>
      </c>
      <c r="J74" s="91"/>
    </row>
    <row r="75" spans="1:10" s="18" customFormat="1" ht="18.75" customHeight="1" x14ac:dyDescent="0.3">
      <c r="A75" s="19">
        <v>69</v>
      </c>
      <c r="B75" s="20">
        <v>2022220505</v>
      </c>
      <c r="C75" s="21" t="s">
        <v>829</v>
      </c>
      <c r="D75" s="22" t="s">
        <v>539</v>
      </c>
      <c r="E75" s="20" t="s">
        <v>960</v>
      </c>
      <c r="F75" s="23" t="s">
        <v>468</v>
      </c>
      <c r="G75" s="30" t="s">
        <v>759</v>
      </c>
      <c r="H75" s="30">
        <f>VLOOKUP(B75,'Dữ liệu TQNM'!$B$7:$F$769,5,0)</f>
        <v>2</v>
      </c>
      <c r="I75" s="30">
        <f>COUNTIF('Nộp báo cáo'!$A$3:$A$1993,'Tổng 24-25'!B75)</f>
        <v>4</v>
      </c>
      <c r="J75" s="91"/>
    </row>
    <row r="76" spans="1:10" s="18" customFormat="1" ht="18.75" customHeight="1" x14ac:dyDescent="0.3">
      <c r="A76" s="19">
        <v>70</v>
      </c>
      <c r="B76" s="20">
        <v>2022220553</v>
      </c>
      <c r="C76" s="21" t="s">
        <v>830</v>
      </c>
      <c r="D76" s="22" t="s">
        <v>831</v>
      </c>
      <c r="E76" s="20" t="s">
        <v>961</v>
      </c>
      <c r="F76" s="23" t="s">
        <v>468</v>
      </c>
      <c r="G76" s="30" t="s">
        <v>759</v>
      </c>
      <c r="H76" s="30">
        <f>VLOOKUP(B76,'Dữ liệu TQNM'!$B$7:$F$769,5,0)</f>
        <v>2</v>
      </c>
      <c r="I76" s="30">
        <f>COUNTIF('Nộp báo cáo'!$A$3:$A$1993,'Tổng 24-25'!B76)</f>
        <v>2</v>
      </c>
      <c r="J76" s="91"/>
    </row>
    <row r="77" spans="1:10" s="18" customFormat="1" ht="18.75" customHeight="1" x14ac:dyDescent="0.3">
      <c r="A77" s="19">
        <v>71</v>
      </c>
      <c r="B77" s="20">
        <v>2022220787</v>
      </c>
      <c r="C77" s="21" t="s">
        <v>832</v>
      </c>
      <c r="D77" s="22" t="s">
        <v>84</v>
      </c>
      <c r="E77" s="20" t="s">
        <v>481</v>
      </c>
      <c r="F77" s="23" t="s">
        <v>468</v>
      </c>
      <c r="G77" s="30" t="s">
        <v>759</v>
      </c>
      <c r="H77" s="30">
        <f>VLOOKUP(B77,'Dữ liệu TQNM'!$B$7:$F$769,5,0)</f>
        <v>2</v>
      </c>
      <c r="I77" s="30">
        <f>COUNTIF('Nộp báo cáo'!$A$3:$A$1993,'Tổng 24-25'!B77)</f>
        <v>2</v>
      </c>
      <c r="J77" s="91"/>
    </row>
    <row r="78" spans="1:10" s="18" customFormat="1" ht="18.75" customHeight="1" x14ac:dyDescent="0.3">
      <c r="A78" s="19">
        <v>72</v>
      </c>
      <c r="B78" s="20">
        <v>2022221306</v>
      </c>
      <c r="C78" s="21" t="s">
        <v>267</v>
      </c>
      <c r="D78" s="22" t="s">
        <v>172</v>
      </c>
      <c r="E78" s="20" t="s">
        <v>962</v>
      </c>
      <c r="F78" s="23" t="s">
        <v>468</v>
      </c>
      <c r="G78" s="30" t="s">
        <v>759</v>
      </c>
      <c r="H78" s="30">
        <f>VLOOKUP(B78,'Dữ liệu TQNM'!$B$7:$F$769,5,0)</f>
        <v>2</v>
      </c>
      <c r="I78" s="30">
        <f>COUNTIF('Nộp báo cáo'!$A$3:$A$1993,'Tổng 24-25'!B78)</f>
        <v>4</v>
      </c>
      <c r="J78" s="91"/>
    </row>
    <row r="79" spans="1:10" s="18" customFormat="1" ht="18.75" customHeight="1" x14ac:dyDescent="0.3">
      <c r="A79" s="19">
        <v>73</v>
      </c>
      <c r="B79" s="20">
        <v>2022221305</v>
      </c>
      <c r="C79" s="21" t="s">
        <v>471</v>
      </c>
      <c r="D79" s="22" t="s">
        <v>172</v>
      </c>
      <c r="E79" s="20" t="s">
        <v>472</v>
      </c>
      <c r="F79" s="23" t="s">
        <v>468</v>
      </c>
      <c r="G79" s="30" t="s">
        <v>469</v>
      </c>
      <c r="H79" s="30">
        <f>VLOOKUP(B79,'Dữ liệu TQNM'!$B$7:$F$769,5,0)</f>
        <v>2</v>
      </c>
      <c r="I79" s="30">
        <f>COUNTIF('Nộp báo cáo'!$A$3:$A$1993,'Tổng 24-25'!B79)</f>
        <v>2</v>
      </c>
      <c r="J79" s="91"/>
    </row>
    <row r="80" spans="1:10" s="18" customFormat="1" ht="18.75" customHeight="1" x14ac:dyDescent="0.3">
      <c r="A80" s="19">
        <v>74</v>
      </c>
      <c r="B80" s="20">
        <v>2022221296</v>
      </c>
      <c r="C80" s="21" t="s">
        <v>473</v>
      </c>
      <c r="D80" s="22" t="s">
        <v>172</v>
      </c>
      <c r="E80" s="20" t="s">
        <v>255</v>
      </c>
      <c r="F80" s="23" t="s">
        <v>468</v>
      </c>
      <c r="G80" s="30" t="s">
        <v>469</v>
      </c>
      <c r="H80" s="30">
        <f>VLOOKUP(B80,'Dữ liệu TQNM'!$B$7:$F$769,5,0)</f>
        <v>2</v>
      </c>
      <c r="I80" s="30">
        <f>COUNTIF('Nộp báo cáo'!$A$3:$A$1993,'Tổng 24-25'!B80)</f>
        <v>3</v>
      </c>
      <c r="J80" s="91"/>
    </row>
    <row r="81" spans="1:10" ht="18.75" customHeight="1" x14ac:dyDescent="0.3">
      <c r="A81" s="31">
        <v>75</v>
      </c>
      <c r="B81" s="107">
        <v>2022221184</v>
      </c>
      <c r="C81" s="33" t="s">
        <v>963</v>
      </c>
      <c r="D81" s="34" t="s">
        <v>75</v>
      </c>
      <c r="E81" s="32" t="s">
        <v>964</v>
      </c>
      <c r="F81" s="35" t="s">
        <v>468</v>
      </c>
      <c r="G81" s="36" t="s">
        <v>469</v>
      </c>
      <c r="H81" s="30">
        <f>VLOOKUP(B81,'Dữ liệu TQNM'!$B$7:$F$769,5,0)</f>
        <v>0</v>
      </c>
      <c r="I81" s="30">
        <f>COUNTIF('Nộp báo cáo'!$A$3:$A$1993,'Tổng 24-25'!B81)</f>
        <v>0</v>
      </c>
      <c r="J81" s="91"/>
    </row>
    <row r="82" spans="1:10" ht="18.75" customHeight="1" x14ac:dyDescent="0.3">
      <c r="A82" s="31">
        <v>76</v>
      </c>
      <c r="B82" s="107">
        <v>2022221183</v>
      </c>
      <c r="C82" s="33" t="s">
        <v>965</v>
      </c>
      <c r="D82" s="34" t="s">
        <v>75</v>
      </c>
      <c r="E82" s="32" t="s">
        <v>653</v>
      </c>
      <c r="F82" s="35" t="s">
        <v>468</v>
      </c>
      <c r="G82" s="36" t="s">
        <v>469</v>
      </c>
      <c r="H82" s="30">
        <f>VLOOKUP(B82,'Dữ liệu TQNM'!$B$7:$F$769,5,0)</f>
        <v>0</v>
      </c>
      <c r="I82" s="30">
        <f>COUNTIF('Nộp báo cáo'!$A$3:$A$1993,'Tổng 24-25'!B82)</f>
        <v>0</v>
      </c>
      <c r="J82" s="91"/>
    </row>
    <row r="83" spans="1:10" s="18" customFormat="1" ht="18.75" customHeight="1" x14ac:dyDescent="0.3">
      <c r="A83" s="19">
        <v>77</v>
      </c>
      <c r="B83" s="20">
        <v>2022221204</v>
      </c>
      <c r="C83" s="21" t="s">
        <v>474</v>
      </c>
      <c r="D83" s="22" t="s">
        <v>475</v>
      </c>
      <c r="E83" s="20" t="s">
        <v>263</v>
      </c>
      <c r="F83" s="23" t="s">
        <v>468</v>
      </c>
      <c r="G83" s="30" t="s">
        <v>469</v>
      </c>
      <c r="H83" s="30">
        <f>VLOOKUP(B83,'Dữ liệu TQNM'!$B$7:$F$769,5,0)</f>
        <v>2</v>
      </c>
      <c r="I83" s="30">
        <f>COUNTIF('Nộp báo cáo'!$A$3:$A$1993,'Tổng 24-25'!B83)</f>
        <v>3</v>
      </c>
      <c r="J83" s="91"/>
    </row>
    <row r="84" spans="1:10" s="18" customFormat="1" ht="18.75" customHeight="1" x14ac:dyDescent="0.3">
      <c r="A84" s="19">
        <v>78</v>
      </c>
      <c r="B84" s="20">
        <v>2022221374</v>
      </c>
      <c r="C84" s="21" t="s">
        <v>467</v>
      </c>
      <c r="D84" s="22" t="s">
        <v>105</v>
      </c>
      <c r="E84" s="20" t="s">
        <v>209</v>
      </c>
      <c r="F84" s="23" t="s">
        <v>468</v>
      </c>
      <c r="G84" s="30" t="s">
        <v>469</v>
      </c>
      <c r="H84" s="30">
        <f>VLOOKUP(B84,'Dữ liệu TQNM'!$B$7:$F$769,5,0)</f>
        <v>3</v>
      </c>
      <c r="I84" s="30">
        <f>COUNTIF('Nộp báo cáo'!$A$3:$A$1993,'Tổng 24-25'!B84)</f>
        <v>3</v>
      </c>
      <c r="J84" s="91"/>
    </row>
    <row r="85" spans="1:10" s="18" customFormat="1" ht="18.75" customHeight="1" x14ac:dyDescent="0.3">
      <c r="A85" s="19">
        <v>79</v>
      </c>
      <c r="B85" s="20">
        <v>2022221429</v>
      </c>
      <c r="C85" s="21" t="s">
        <v>42</v>
      </c>
      <c r="D85" s="22" t="s">
        <v>88</v>
      </c>
      <c r="E85" s="20" t="s">
        <v>966</v>
      </c>
      <c r="F85" s="23" t="s">
        <v>468</v>
      </c>
      <c r="G85" s="30" t="s">
        <v>469</v>
      </c>
      <c r="H85" s="30">
        <f>VLOOKUP(B85,'Dữ liệu TQNM'!$B$7:$F$769,5,0)</f>
        <v>2</v>
      </c>
      <c r="I85" s="30">
        <f>COUNTIF('Nộp báo cáo'!$A$3:$A$1993,'Tổng 24-25'!B85)</f>
        <v>3</v>
      </c>
      <c r="J85" s="91"/>
    </row>
    <row r="86" spans="1:10" ht="18.75" customHeight="1" x14ac:dyDescent="0.3">
      <c r="A86" s="31">
        <v>80</v>
      </c>
      <c r="B86" s="32">
        <v>2022221502</v>
      </c>
      <c r="C86" s="33" t="s">
        <v>470</v>
      </c>
      <c r="D86" s="34" t="s">
        <v>81</v>
      </c>
      <c r="E86" s="32" t="s">
        <v>967</v>
      </c>
      <c r="F86" s="35" t="s">
        <v>468</v>
      </c>
      <c r="G86" s="36" t="s">
        <v>469</v>
      </c>
      <c r="H86" s="30">
        <f>VLOOKUP(B86,'Dữ liệu TQNM'!$B$7:$F$769,5,0)</f>
        <v>0</v>
      </c>
      <c r="I86" s="30">
        <f>COUNTIF('Nộp báo cáo'!$A$3:$A$1993,'Tổng 24-25'!B86)</f>
        <v>0</v>
      </c>
      <c r="J86" s="91"/>
    </row>
    <row r="87" spans="1:10" s="18" customFormat="1" ht="18.75" customHeight="1" x14ac:dyDescent="0.3">
      <c r="A87" s="19">
        <v>81</v>
      </c>
      <c r="B87" s="20">
        <v>2022221805</v>
      </c>
      <c r="C87" s="21" t="s">
        <v>476</v>
      </c>
      <c r="D87" s="22" t="s">
        <v>437</v>
      </c>
      <c r="E87" s="20" t="s">
        <v>477</v>
      </c>
      <c r="F87" s="23" t="s">
        <v>468</v>
      </c>
      <c r="G87" s="30" t="s">
        <v>469</v>
      </c>
      <c r="H87" s="30">
        <f>VLOOKUP(B87,'Dữ liệu TQNM'!$B$7:$F$769,5,0)</f>
        <v>3</v>
      </c>
      <c r="I87" s="30">
        <f>COUNTIF('Nộp báo cáo'!$A$3:$A$1993,'Tổng 24-25'!B87)</f>
        <v>7</v>
      </c>
      <c r="J87" s="91"/>
    </row>
    <row r="88" spans="1:10" s="18" customFormat="1" ht="18.75" customHeight="1" x14ac:dyDescent="0.3">
      <c r="A88" s="19">
        <v>82</v>
      </c>
      <c r="B88" s="20">
        <v>2022221770</v>
      </c>
      <c r="C88" s="21" t="s">
        <v>478</v>
      </c>
      <c r="D88" s="22" t="s">
        <v>479</v>
      </c>
      <c r="E88" s="20" t="s">
        <v>428</v>
      </c>
      <c r="F88" s="23" t="s">
        <v>468</v>
      </c>
      <c r="G88" s="30" t="s">
        <v>469</v>
      </c>
      <c r="H88" s="30">
        <f>VLOOKUP(B88,'Dữ liệu TQNM'!$B$7:$F$769,5,0)</f>
        <v>2</v>
      </c>
      <c r="I88" s="30">
        <f>COUNTIF('Nộp báo cáo'!$A$3:$A$1993,'Tổng 24-25'!B88)</f>
        <v>2</v>
      </c>
      <c r="J88" s="91"/>
    </row>
    <row r="89" spans="1:10" s="18" customFormat="1" ht="18.75" customHeight="1" x14ac:dyDescent="0.3">
      <c r="A89" s="19">
        <v>83</v>
      </c>
      <c r="B89" s="20">
        <v>2022222380</v>
      </c>
      <c r="C89" s="21" t="s">
        <v>480</v>
      </c>
      <c r="D89" s="22" t="s">
        <v>29</v>
      </c>
      <c r="E89" s="20" t="s">
        <v>481</v>
      </c>
      <c r="F89" s="23" t="s">
        <v>468</v>
      </c>
      <c r="G89" s="30" t="s">
        <v>469</v>
      </c>
      <c r="H89" s="30">
        <f>VLOOKUP(B89,'Dữ liệu TQNM'!$B$7:$F$769,5,0)</f>
        <v>3</v>
      </c>
      <c r="I89" s="30">
        <f>COUNTIF('Nộp báo cáo'!$A$3:$A$1993,'Tổng 24-25'!B89)</f>
        <v>3</v>
      </c>
      <c r="J89" s="91"/>
    </row>
    <row r="90" spans="1:10" s="18" customFormat="1" ht="18.75" customHeight="1" x14ac:dyDescent="0.3">
      <c r="A90" s="19">
        <v>84</v>
      </c>
      <c r="B90" s="20">
        <v>2022222423</v>
      </c>
      <c r="C90" s="21" t="s">
        <v>482</v>
      </c>
      <c r="D90" s="22" t="s">
        <v>483</v>
      </c>
      <c r="E90" s="20" t="s">
        <v>106</v>
      </c>
      <c r="F90" s="23" t="s">
        <v>468</v>
      </c>
      <c r="G90" s="30" t="s">
        <v>469</v>
      </c>
      <c r="H90" s="30">
        <f>VLOOKUP(B90,'Dữ liệu TQNM'!$B$7:$F$769,5,0)</f>
        <v>2</v>
      </c>
      <c r="I90" s="30">
        <f>COUNTIF('Nộp báo cáo'!$A$3:$A$1993,'Tổng 24-25'!B90)</f>
        <v>0</v>
      </c>
      <c r="J90" s="91"/>
    </row>
    <row r="91" spans="1:10" ht="18.75" customHeight="1" x14ac:dyDescent="0.3">
      <c r="A91" s="31">
        <v>85</v>
      </c>
      <c r="B91" s="107">
        <v>2022222442</v>
      </c>
      <c r="C91" s="33" t="s">
        <v>968</v>
      </c>
      <c r="D91" s="34" t="s">
        <v>969</v>
      </c>
      <c r="E91" s="32" t="s">
        <v>970</v>
      </c>
      <c r="F91" s="35" t="s">
        <v>468</v>
      </c>
      <c r="G91" s="36" t="s">
        <v>469</v>
      </c>
      <c r="H91" s="30">
        <f>VLOOKUP(B91,'Dữ liệu TQNM'!$B$7:$F$769,5,0)</f>
        <v>0</v>
      </c>
      <c r="I91" s="30">
        <f>COUNTIF('Nộp báo cáo'!$A$3:$A$1993,'Tổng 24-25'!B91)</f>
        <v>0</v>
      </c>
      <c r="J91" s="91"/>
    </row>
    <row r="92" spans="1:10" s="18" customFormat="1" ht="18.75" customHeight="1" x14ac:dyDescent="0.3">
      <c r="A92" s="19">
        <v>86</v>
      </c>
      <c r="B92" s="20">
        <v>2022222549</v>
      </c>
      <c r="C92" s="21" t="s">
        <v>485</v>
      </c>
      <c r="D92" s="22" t="s">
        <v>484</v>
      </c>
      <c r="E92" s="20" t="s">
        <v>486</v>
      </c>
      <c r="F92" s="23" t="s">
        <v>468</v>
      </c>
      <c r="G92" s="30" t="s">
        <v>469</v>
      </c>
      <c r="H92" s="30">
        <f>VLOOKUP(B92,'Dữ liệu TQNM'!$B$7:$F$769,5,0)</f>
        <v>3</v>
      </c>
      <c r="I92" s="30">
        <f>COUNTIF('Nộp báo cáo'!$A$3:$A$1993,'Tổng 24-25'!B92)</f>
        <v>3</v>
      </c>
      <c r="J92" s="91"/>
    </row>
    <row r="93" spans="1:10" s="18" customFormat="1" ht="18.75" customHeight="1" x14ac:dyDescent="0.3">
      <c r="A93" s="19">
        <v>87</v>
      </c>
      <c r="B93" s="20">
        <v>2022222542</v>
      </c>
      <c r="C93" s="21" t="s">
        <v>234</v>
      </c>
      <c r="D93" s="22" t="s">
        <v>484</v>
      </c>
      <c r="E93" s="20" t="s">
        <v>235</v>
      </c>
      <c r="F93" s="23" t="s">
        <v>468</v>
      </c>
      <c r="G93" s="30" t="s">
        <v>469</v>
      </c>
      <c r="H93" s="30">
        <f>VLOOKUP(B93,'Dữ liệu TQNM'!$B$7:$F$769,5,0)</f>
        <v>2</v>
      </c>
      <c r="I93" s="30">
        <f>COUNTIF('Nộp báo cáo'!$A$3:$A$1993,'Tổng 24-25'!B93)</f>
        <v>3</v>
      </c>
      <c r="J93" s="91"/>
    </row>
    <row r="94" spans="1:10" s="18" customFormat="1" ht="18.75" customHeight="1" x14ac:dyDescent="0.3">
      <c r="A94" s="19">
        <v>88</v>
      </c>
      <c r="B94" s="20">
        <v>2022222653</v>
      </c>
      <c r="C94" s="21" t="s">
        <v>487</v>
      </c>
      <c r="D94" s="22" t="s">
        <v>239</v>
      </c>
      <c r="E94" s="20" t="s">
        <v>955</v>
      </c>
      <c r="F94" s="23" t="s">
        <v>468</v>
      </c>
      <c r="G94" s="30" t="s">
        <v>469</v>
      </c>
      <c r="H94" s="30">
        <f>VLOOKUP(B94,'Dữ liệu TQNM'!$B$7:$F$769,5,0)</f>
        <v>3</v>
      </c>
      <c r="I94" s="30">
        <f>COUNTIF('Nộp báo cáo'!$A$3:$A$1993,'Tổng 24-25'!B94)</f>
        <v>3</v>
      </c>
      <c r="J94" s="91"/>
    </row>
    <row r="95" spans="1:10" s="18" customFormat="1" ht="18.75" customHeight="1" x14ac:dyDescent="0.3">
      <c r="A95" s="19">
        <v>89</v>
      </c>
      <c r="B95" s="20">
        <v>2022222714</v>
      </c>
      <c r="C95" s="21" t="s">
        <v>48</v>
      </c>
      <c r="D95" s="22" t="s">
        <v>91</v>
      </c>
      <c r="E95" s="20" t="s">
        <v>488</v>
      </c>
      <c r="F95" s="23" t="s">
        <v>468</v>
      </c>
      <c r="G95" s="30" t="s">
        <v>469</v>
      </c>
      <c r="H95" s="30">
        <f>VLOOKUP(B95,'Dữ liệu TQNM'!$B$7:$F$769,5,0)</f>
        <v>2</v>
      </c>
      <c r="I95" s="30">
        <f>COUNTIF('Nộp báo cáo'!$A$3:$A$1993,'Tổng 24-25'!B95)</f>
        <v>2</v>
      </c>
      <c r="J95" s="91"/>
    </row>
    <row r="96" spans="1:10" s="18" customFormat="1" ht="18.75" customHeight="1" x14ac:dyDescent="0.3">
      <c r="A96" s="19">
        <v>90</v>
      </c>
      <c r="B96" s="20">
        <v>2022222797</v>
      </c>
      <c r="C96" s="21" t="s">
        <v>489</v>
      </c>
      <c r="D96" s="22" t="s">
        <v>152</v>
      </c>
      <c r="E96" s="20" t="s">
        <v>391</v>
      </c>
      <c r="F96" s="23" t="s">
        <v>468</v>
      </c>
      <c r="G96" s="30" t="s">
        <v>469</v>
      </c>
      <c r="H96" s="30">
        <f>VLOOKUP(B96,'Dữ liệu TQNM'!$B$7:$F$769,5,0)</f>
        <v>1</v>
      </c>
      <c r="I96" s="30">
        <f>COUNTIF('Nộp báo cáo'!$A$3:$A$1993,'Tổng 24-25'!B96)</f>
        <v>2</v>
      </c>
      <c r="J96" s="95" t="s">
        <v>2092</v>
      </c>
    </row>
    <row r="97" spans="1:10" s="18" customFormat="1" ht="18.75" customHeight="1" x14ac:dyDescent="0.3">
      <c r="A97" s="19">
        <v>91</v>
      </c>
      <c r="B97" s="20">
        <v>2022222953</v>
      </c>
      <c r="C97" s="21" t="s">
        <v>490</v>
      </c>
      <c r="D97" s="22" t="s">
        <v>92</v>
      </c>
      <c r="E97" s="20" t="s">
        <v>164</v>
      </c>
      <c r="F97" s="23" t="s">
        <v>468</v>
      </c>
      <c r="G97" s="30" t="s">
        <v>469</v>
      </c>
      <c r="H97" s="30">
        <f>VLOOKUP(B97,'Dữ liệu TQNM'!$B$7:$F$769,5,0)</f>
        <v>2</v>
      </c>
      <c r="I97" s="30">
        <f>COUNTIF('Nộp báo cáo'!$A$3:$A$1993,'Tổng 24-25'!B97)</f>
        <v>3</v>
      </c>
      <c r="J97" s="91"/>
    </row>
    <row r="98" spans="1:10" s="18" customFormat="1" ht="18.75" customHeight="1" x14ac:dyDescent="0.3">
      <c r="A98" s="19">
        <v>92</v>
      </c>
      <c r="B98" s="20">
        <v>2022222939</v>
      </c>
      <c r="C98" s="21" t="s">
        <v>493</v>
      </c>
      <c r="D98" s="22" t="s">
        <v>92</v>
      </c>
      <c r="E98" s="20" t="s">
        <v>971</v>
      </c>
      <c r="F98" s="23" t="s">
        <v>468</v>
      </c>
      <c r="G98" s="30" t="s">
        <v>469</v>
      </c>
      <c r="H98" s="30">
        <f>VLOOKUP(B98,'Dữ liệu TQNM'!$B$7:$F$769,5,0)</f>
        <v>3</v>
      </c>
      <c r="I98" s="30">
        <f>COUNTIF('Nộp báo cáo'!$A$3:$A$1993,'Tổng 24-25'!B98)</f>
        <v>2</v>
      </c>
      <c r="J98" s="91"/>
    </row>
    <row r="99" spans="1:10" s="18" customFormat="1" ht="18.75" customHeight="1" x14ac:dyDescent="0.3">
      <c r="A99" s="19">
        <v>93</v>
      </c>
      <c r="B99" s="20">
        <v>2022222938</v>
      </c>
      <c r="C99" s="21" t="s">
        <v>494</v>
      </c>
      <c r="D99" s="22" t="s">
        <v>92</v>
      </c>
      <c r="E99" s="20" t="s">
        <v>495</v>
      </c>
      <c r="F99" s="23" t="s">
        <v>468</v>
      </c>
      <c r="G99" s="30" t="s">
        <v>469</v>
      </c>
      <c r="H99" s="30">
        <f>VLOOKUP(B99,'Dữ liệu TQNM'!$B$7:$F$769,5,0)</f>
        <v>2</v>
      </c>
      <c r="I99" s="30">
        <f>COUNTIF('Nộp báo cáo'!$A$3:$A$1993,'Tổng 24-25'!B99)</f>
        <v>3</v>
      </c>
      <c r="J99" s="91"/>
    </row>
    <row r="100" spans="1:10" s="18" customFormat="1" ht="18.75" customHeight="1" x14ac:dyDescent="0.3">
      <c r="A100" s="19">
        <v>94</v>
      </c>
      <c r="B100" s="20">
        <v>2022222946</v>
      </c>
      <c r="C100" s="21" t="s">
        <v>491</v>
      </c>
      <c r="D100" s="22" t="s">
        <v>92</v>
      </c>
      <c r="E100" s="20" t="s">
        <v>492</v>
      </c>
      <c r="F100" s="23" t="s">
        <v>468</v>
      </c>
      <c r="G100" s="30" t="s">
        <v>469</v>
      </c>
      <c r="H100" s="30">
        <f>VLOOKUP(B100,'Dữ liệu TQNM'!$B$7:$F$769,5,0)</f>
        <v>3</v>
      </c>
      <c r="I100" s="30">
        <f>COUNTIF('Nộp báo cáo'!$A$3:$A$1993,'Tổng 24-25'!B100)</f>
        <v>3</v>
      </c>
      <c r="J100" s="91"/>
    </row>
    <row r="101" spans="1:10" s="18" customFormat="1" ht="18.75" customHeight="1" x14ac:dyDescent="0.3">
      <c r="A101" s="19">
        <v>95</v>
      </c>
      <c r="B101" s="20">
        <v>2022223005</v>
      </c>
      <c r="C101" s="21" t="s">
        <v>496</v>
      </c>
      <c r="D101" s="22" t="s">
        <v>241</v>
      </c>
      <c r="E101" s="20" t="s">
        <v>466</v>
      </c>
      <c r="F101" s="23" t="s">
        <v>468</v>
      </c>
      <c r="G101" s="30" t="s">
        <v>469</v>
      </c>
      <c r="H101" s="30">
        <f>VLOOKUP(B101,'Dữ liệu TQNM'!$B$7:$F$769,5,0)</f>
        <v>2</v>
      </c>
      <c r="I101" s="30">
        <f>COUNTIF('Nộp báo cáo'!$A$3:$A$1993,'Tổng 24-25'!B101)</f>
        <v>3</v>
      </c>
      <c r="J101" s="91"/>
    </row>
    <row r="102" spans="1:10" s="18" customFormat="1" ht="18.75" customHeight="1" x14ac:dyDescent="0.3">
      <c r="A102" s="19">
        <v>96</v>
      </c>
      <c r="B102" s="20">
        <v>2022223112</v>
      </c>
      <c r="C102" s="21" t="s">
        <v>497</v>
      </c>
      <c r="D102" s="22" t="s">
        <v>51</v>
      </c>
      <c r="E102" s="20" t="s">
        <v>285</v>
      </c>
      <c r="F102" s="23" t="s">
        <v>468</v>
      </c>
      <c r="G102" s="30" t="s">
        <v>469</v>
      </c>
      <c r="H102" s="30">
        <f>VLOOKUP(B102,'Dữ liệu TQNM'!$B$7:$F$769,5,0)</f>
        <v>3</v>
      </c>
      <c r="I102" s="30">
        <f>COUNTIF('Nộp báo cáo'!$A$3:$A$1993,'Tổng 24-25'!B102)</f>
        <v>3</v>
      </c>
      <c r="J102" s="91"/>
    </row>
    <row r="103" spans="1:10" s="18" customFormat="1" ht="18.75" customHeight="1" x14ac:dyDescent="0.3">
      <c r="A103" s="19">
        <v>97</v>
      </c>
      <c r="B103" s="20">
        <v>2022223160</v>
      </c>
      <c r="C103" s="21" t="s">
        <v>9</v>
      </c>
      <c r="D103" s="22" t="s">
        <v>205</v>
      </c>
      <c r="E103" s="20" t="s">
        <v>972</v>
      </c>
      <c r="F103" s="23" t="s">
        <v>468</v>
      </c>
      <c r="G103" s="30" t="s">
        <v>469</v>
      </c>
      <c r="H103" s="30">
        <f>VLOOKUP(B103,'Dữ liệu TQNM'!$B$7:$F$769,5,0)</f>
        <v>2</v>
      </c>
      <c r="I103" s="30">
        <f>COUNTIF('Nộp báo cáo'!$A$3:$A$1993,'Tổng 24-25'!B103)</f>
        <v>3</v>
      </c>
      <c r="J103" s="91"/>
    </row>
    <row r="104" spans="1:10" s="18" customFormat="1" ht="18.75" customHeight="1" x14ac:dyDescent="0.3">
      <c r="A104" s="19">
        <v>98</v>
      </c>
      <c r="B104" s="20">
        <v>2022222805</v>
      </c>
      <c r="C104" s="21" t="s">
        <v>498</v>
      </c>
      <c r="D104" s="22" t="s">
        <v>499</v>
      </c>
      <c r="E104" s="20" t="s">
        <v>973</v>
      </c>
      <c r="F104" s="23" t="s">
        <v>468</v>
      </c>
      <c r="G104" s="30" t="s">
        <v>469</v>
      </c>
      <c r="H104" s="30">
        <f>VLOOKUP(B104,'Dữ liệu TQNM'!$B$7:$F$769,5,0)</f>
        <v>2</v>
      </c>
      <c r="I104" s="30">
        <f>COUNTIF('Nộp báo cáo'!$A$3:$A$1993,'Tổng 24-25'!B104)</f>
        <v>3</v>
      </c>
      <c r="J104" s="91"/>
    </row>
    <row r="105" spans="1:10" s="18" customFormat="1" ht="18.75" customHeight="1" x14ac:dyDescent="0.3">
      <c r="A105" s="19">
        <v>99</v>
      </c>
      <c r="B105" s="20">
        <v>2022223699</v>
      </c>
      <c r="C105" s="21" t="s">
        <v>500</v>
      </c>
      <c r="D105" s="22" t="s">
        <v>501</v>
      </c>
      <c r="E105" s="20" t="s">
        <v>974</v>
      </c>
      <c r="F105" s="23" t="s">
        <v>468</v>
      </c>
      <c r="G105" s="30" t="s">
        <v>469</v>
      </c>
      <c r="H105" s="30">
        <f>VLOOKUP(B105,'Dữ liệu TQNM'!$B$7:$F$769,5,0)</f>
        <v>2</v>
      </c>
      <c r="I105" s="30">
        <f>COUNTIF('Nộp báo cáo'!$A$3:$A$1993,'Tổng 24-25'!B105)</f>
        <v>3</v>
      </c>
      <c r="J105" s="91"/>
    </row>
    <row r="106" spans="1:10" s="18" customFormat="1" ht="18.75" customHeight="1" x14ac:dyDescent="0.3">
      <c r="A106" s="19">
        <v>100</v>
      </c>
      <c r="B106" s="20">
        <v>2022223878</v>
      </c>
      <c r="C106" s="21" t="s">
        <v>502</v>
      </c>
      <c r="D106" s="22" t="s">
        <v>31</v>
      </c>
      <c r="E106" s="20" t="s">
        <v>975</v>
      </c>
      <c r="F106" s="23" t="s">
        <v>468</v>
      </c>
      <c r="G106" s="30" t="s">
        <v>469</v>
      </c>
      <c r="H106" s="30">
        <f>VLOOKUP(B106,'Dữ liệu TQNM'!$B$7:$F$769,5,0)</f>
        <v>2</v>
      </c>
      <c r="I106" s="30">
        <f>COUNTIF('Nộp báo cáo'!$A$3:$A$1993,'Tổng 24-25'!B106)</f>
        <v>4</v>
      </c>
      <c r="J106" s="91"/>
    </row>
    <row r="107" spans="1:10" s="18" customFormat="1" ht="18.75" customHeight="1" x14ac:dyDescent="0.3">
      <c r="A107" s="19">
        <v>101</v>
      </c>
      <c r="B107" s="20">
        <v>2022223860</v>
      </c>
      <c r="C107" s="21" t="s">
        <v>341</v>
      </c>
      <c r="D107" s="22" t="s">
        <v>31</v>
      </c>
      <c r="E107" s="20" t="s">
        <v>976</v>
      </c>
      <c r="F107" s="23" t="s">
        <v>468</v>
      </c>
      <c r="G107" s="30" t="s">
        <v>469</v>
      </c>
      <c r="H107" s="30">
        <f>VLOOKUP(B107,'Dữ liệu TQNM'!$B$7:$F$769,5,0)</f>
        <v>2</v>
      </c>
      <c r="I107" s="30">
        <f>COUNTIF('Nộp báo cáo'!$A$3:$A$1993,'Tổng 24-25'!B107)</f>
        <v>2</v>
      </c>
      <c r="J107" s="91"/>
    </row>
    <row r="108" spans="1:10" s="18" customFormat="1" ht="18.75" customHeight="1" x14ac:dyDescent="0.3">
      <c r="A108" s="19">
        <v>102</v>
      </c>
      <c r="B108" s="20">
        <v>2022223903</v>
      </c>
      <c r="C108" s="21" t="s">
        <v>503</v>
      </c>
      <c r="D108" s="22" t="s">
        <v>99</v>
      </c>
      <c r="E108" s="20" t="s">
        <v>504</v>
      </c>
      <c r="F108" s="23" t="s">
        <v>468</v>
      </c>
      <c r="G108" s="30" t="s">
        <v>469</v>
      </c>
      <c r="H108" s="30">
        <f>VLOOKUP(B108,'Dữ liệu TQNM'!$B$7:$F$769,5,0)</f>
        <v>2</v>
      </c>
      <c r="I108" s="30">
        <f>COUNTIF('Nộp báo cáo'!$A$3:$A$1993,'Tổng 24-25'!B108)</f>
        <v>3</v>
      </c>
      <c r="J108" s="91"/>
    </row>
    <row r="109" spans="1:10" s="18" customFormat="1" ht="18.75" customHeight="1" x14ac:dyDescent="0.3">
      <c r="A109" s="19">
        <v>103</v>
      </c>
      <c r="B109" s="20">
        <v>2022223981</v>
      </c>
      <c r="C109" s="21" t="s">
        <v>505</v>
      </c>
      <c r="D109" s="22" t="s">
        <v>506</v>
      </c>
      <c r="E109" s="20" t="s">
        <v>977</v>
      </c>
      <c r="F109" s="23" t="s">
        <v>468</v>
      </c>
      <c r="G109" s="30" t="s">
        <v>469</v>
      </c>
      <c r="H109" s="30">
        <f>VLOOKUP(B109,'Dữ liệu TQNM'!$B$7:$F$769,5,0)</f>
        <v>3</v>
      </c>
      <c r="I109" s="30">
        <f>COUNTIF('Nộp báo cáo'!$A$3:$A$1993,'Tổng 24-25'!B109)</f>
        <v>3</v>
      </c>
      <c r="J109" s="91"/>
    </row>
    <row r="110" spans="1:10" s="18" customFormat="1" ht="18.75" customHeight="1" x14ac:dyDescent="0.3">
      <c r="A110" s="19">
        <v>104</v>
      </c>
      <c r="B110" s="20">
        <v>2022224240</v>
      </c>
      <c r="C110" s="21" t="s">
        <v>398</v>
      </c>
      <c r="D110" s="22" t="s">
        <v>208</v>
      </c>
      <c r="E110" s="20" t="s">
        <v>193</v>
      </c>
      <c r="F110" s="23" t="s">
        <v>468</v>
      </c>
      <c r="G110" s="30" t="s">
        <v>469</v>
      </c>
      <c r="H110" s="30">
        <f>VLOOKUP(B110,'Dữ liệu TQNM'!$B$7:$F$769,5,0)</f>
        <v>2</v>
      </c>
      <c r="I110" s="30">
        <f>COUNTIF('Nộp báo cáo'!$A$3:$A$1993,'Tổng 24-25'!B110)</f>
        <v>3</v>
      </c>
      <c r="J110" s="91"/>
    </row>
    <row r="111" spans="1:10" s="18" customFormat="1" ht="18.75" customHeight="1" x14ac:dyDescent="0.3">
      <c r="A111" s="19">
        <v>105</v>
      </c>
      <c r="B111" s="20">
        <v>2022224813</v>
      </c>
      <c r="C111" s="21" t="s">
        <v>507</v>
      </c>
      <c r="D111" s="22" t="s">
        <v>102</v>
      </c>
      <c r="E111" s="20" t="s">
        <v>508</v>
      </c>
      <c r="F111" s="23" t="s">
        <v>468</v>
      </c>
      <c r="G111" s="30" t="s">
        <v>469</v>
      </c>
      <c r="H111" s="30">
        <f>VLOOKUP(B111,'Dữ liệu TQNM'!$B$7:$F$769,5,0)</f>
        <v>2</v>
      </c>
      <c r="I111" s="30">
        <f>COUNTIF('Nộp báo cáo'!$A$3:$A$1993,'Tổng 24-25'!B111)</f>
        <v>2</v>
      </c>
      <c r="J111" s="91"/>
    </row>
    <row r="112" spans="1:10" s="18" customFormat="1" ht="18.75" customHeight="1" x14ac:dyDescent="0.3">
      <c r="A112" s="19">
        <v>106</v>
      </c>
      <c r="B112" s="20">
        <v>2022224803</v>
      </c>
      <c r="C112" s="21" t="s">
        <v>509</v>
      </c>
      <c r="D112" s="22" t="s">
        <v>102</v>
      </c>
      <c r="E112" s="20" t="s">
        <v>978</v>
      </c>
      <c r="F112" s="23" t="s">
        <v>468</v>
      </c>
      <c r="G112" s="30" t="s">
        <v>469</v>
      </c>
      <c r="H112" s="30">
        <f>VLOOKUP(B112,'Dữ liệu TQNM'!$B$7:$F$769,5,0)</f>
        <v>2</v>
      </c>
      <c r="I112" s="30">
        <f>COUNTIF('Nộp báo cáo'!$A$3:$A$1993,'Tổng 24-25'!B112)</f>
        <v>2</v>
      </c>
      <c r="J112" s="91"/>
    </row>
    <row r="113" spans="1:10" s="18" customFormat="1" ht="18.75" customHeight="1" x14ac:dyDescent="0.3">
      <c r="A113" s="19">
        <v>107</v>
      </c>
      <c r="B113" s="20">
        <v>2022225222</v>
      </c>
      <c r="C113" s="21" t="s">
        <v>510</v>
      </c>
      <c r="D113" s="22" t="s">
        <v>123</v>
      </c>
      <c r="E113" s="20" t="s">
        <v>937</v>
      </c>
      <c r="F113" s="23" t="s">
        <v>468</v>
      </c>
      <c r="G113" s="30" t="s">
        <v>469</v>
      </c>
      <c r="H113" s="30">
        <f>VLOOKUP(B113,'Dữ liệu TQNM'!$B$7:$F$769,5,0)</f>
        <v>2</v>
      </c>
      <c r="I113" s="30">
        <f>COUNTIF('Nộp báo cáo'!$A$3:$A$1993,'Tổng 24-25'!B113)</f>
        <v>3</v>
      </c>
      <c r="J113" s="91"/>
    </row>
    <row r="114" spans="1:10" s="18" customFormat="1" ht="18.75" customHeight="1" x14ac:dyDescent="0.3">
      <c r="A114" s="19">
        <v>108</v>
      </c>
      <c r="B114" s="20">
        <v>2022225258</v>
      </c>
      <c r="C114" s="21" t="s">
        <v>511</v>
      </c>
      <c r="D114" s="22" t="s">
        <v>123</v>
      </c>
      <c r="E114" s="20" t="s">
        <v>512</v>
      </c>
      <c r="F114" s="23" t="s">
        <v>468</v>
      </c>
      <c r="G114" s="30" t="s">
        <v>469</v>
      </c>
      <c r="H114" s="30">
        <f>VLOOKUP(B114,'Dữ liệu TQNM'!$B$7:$F$769,5,0)</f>
        <v>2</v>
      </c>
      <c r="I114" s="30">
        <f>COUNTIF('Nộp báo cáo'!$A$3:$A$1993,'Tổng 24-25'!B114)</f>
        <v>3</v>
      </c>
      <c r="J114" s="91"/>
    </row>
    <row r="115" spans="1:10" s="18" customFormat="1" ht="18.75" customHeight="1" x14ac:dyDescent="0.3">
      <c r="A115" s="19">
        <v>109</v>
      </c>
      <c r="B115" s="20">
        <v>2022225303</v>
      </c>
      <c r="C115" s="21" t="s">
        <v>513</v>
      </c>
      <c r="D115" s="22" t="s">
        <v>514</v>
      </c>
      <c r="E115" s="20" t="s">
        <v>979</v>
      </c>
      <c r="F115" s="23" t="s">
        <v>468</v>
      </c>
      <c r="G115" s="30" t="s">
        <v>469</v>
      </c>
      <c r="H115" s="30">
        <f>VLOOKUP(B115,'Dữ liệu TQNM'!$B$7:$F$769,5,0)</f>
        <v>2</v>
      </c>
      <c r="I115" s="30">
        <f>COUNTIF('Nộp báo cáo'!$A$3:$A$1993,'Tổng 24-25'!B115)</f>
        <v>2</v>
      </c>
      <c r="J115" s="91"/>
    </row>
    <row r="116" spans="1:10" s="18" customFormat="1" ht="18.75" customHeight="1" x14ac:dyDescent="0.3">
      <c r="A116" s="19">
        <v>110</v>
      </c>
      <c r="B116" s="20">
        <v>2022225129</v>
      </c>
      <c r="C116" s="21" t="s">
        <v>219</v>
      </c>
      <c r="D116" s="22" t="s">
        <v>515</v>
      </c>
      <c r="E116" s="20" t="s">
        <v>336</v>
      </c>
      <c r="F116" s="23" t="s">
        <v>468</v>
      </c>
      <c r="G116" s="30" t="s">
        <v>469</v>
      </c>
      <c r="H116" s="30">
        <f>VLOOKUP(B116,'Dữ liệu TQNM'!$B$7:$F$769,5,0)</f>
        <v>2</v>
      </c>
      <c r="I116" s="30">
        <f>COUNTIF('Nộp báo cáo'!$A$3:$A$1993,'Tổng 24-25'!B116)</f>
        <v>4</v>
      </c>
      <c r="J116" s="91"/>
    </row>
    <row r="117" spans="1:10" s="18" customFormat="1" ht="18.75" customHeight="1" x14ac:dyDescent="0.3">
      <c r="A117" s="19">
        <v>111</v>
      </c>
      <c r="B117" s="20">
        <v>2022225090</v>
      </c>
      <c r="C117" s="21" t="s">
        <v>44</v>
      </c>
      <c r="D117" s="22" t="s">
        <v>516</v>
      </c>
      <c r="E117" s="20" t="s">
        <v>980</v>
      </c>
      <c r="F117" s="23" t="s">
        <v>468</v>
      </c>
      <c r="G117" s="30" t="s">
        <v>469</v>
      </c>
      <c r="H117" s="30">
        <f>VLOOKUP(B117,'Dữ liệu TQNM'!$B$7:$F$769,5,0)</f>
        <v>3</v>
      </c>
      <c r="I117" s="30">
        <f>COUNTIF('Nộp báo cáo'!$A$3:$A$1993,'Tổng 24-25'!B117)</f>
        <v>3</v>
      </c>
      <c r="J117" s="91"/>
    </row>
    <row r="118" spans="1:10" s="18" customFormat="1" ht="18.75" customHeight="1" x14ac:dyDescent="0.3">
      <c r="A118" s="19">
        <v>112</v>
      </c>
      <c r="B118" s="20">
        <v>2022225514</v>
      </c>
      <c r="C118" s="21" t="s">
        <v>517</v>
      </c>
      <c r="D118" s="22" t="s">
        <v>168</v>
      </c>
      <c r="E118" s="20" t="s">
        <v>276</v>
      </c>
      <c r="F118" s="23" t="s">
        <v>468</v>
      </c>
      <c r="G118" s="30" t="s">
        <v>469</v>
      </c>
      <c r="H118" s="30">
        <f>VLOOKUP(B118,'Dữ liệu TQNM'!$B$7:$F$769,5,0)</f>
        <v>2</v>
      </c>
      <c r="I118" s="30">
        <f>COUNTIF('Nộp báo cáo'!$A$3:$A$1993,'Tổng 24-25'!B118)</f>
        <v>4</v>
      </c>
      <c r="J118" s="91"/>
    </row>
    <row r="119" spans="1:10" ht="18.75" customHeight="1" x14ac:dyDescent="0.3">
      <c r="A119" s="31">
        <v>113</v>
      </c>
      <c r="B119" s="107">
        <v>2022225528</v>
      </c>
      <c r="C119" s="33" t="s">
        <v>981</v>
      </c>
      <c r="D119" s="34" t="s">
        <v>168</v>
      </c>
      <c r="E119" s="32" t="s">
        <v>982</v>
      </c>
      <c r="F119" s="35" t="s">
        <v>468</v>
      </c>
      <c r="G119" s="36" t="s">
        <v>469</v>
      </c>
      <c r="H119" s="30">
        <f>VLOOKUP(B119,'Dữ liệu TQNM'!$B$7:$F$769,5,0)</f>
        <v>0</v>
      </c>
      <c r="I119" s="30">
        <f>COUNTIF('Nộp báo cáo'!$A$3:$A$1993,'Tổng 24-25'!B119)</f>
        <v>0</v>
      </c>
      <c r="J119" s="91"/>
    </row>
    <row r="120" spans="1:10" s="18" customFormat="1" ht="18.75" customHeight="1" x14ac:dyDescent="0.3">
      <c r="A120" s="19">
        <v>114</v>
      </c>
      <c r="B120" s="20">
        <v>2022225393</v>
      </c>
      <c r="C120" s="21" t="s">
        <v>518</v>
      </c>
      <c r="D120" s="22" t="s">
        <v>258</v>
      </c>
      <c r="E120" s="20" t="s">
        <v>962</v>
      </c>
      <c r="F120" s="23" t="s">
        <v>468</v>
      </c>
      <c r="G120" s="30" t="s">
        <v>469</v>
      </c>
      <c r="H120" s="30">
        <f>VLOOKUP(B120,'Dữ liệu TQNM'!$B$7:$F$769,5,0)</f>
        <v>2</v>
      </c>
      <c r="I120" s="30">
        <f>COUNTIF('Nộp báo cáo'!$A$3:$A$1993,'Tổng 24-25'!B120)</f>
        <v>3</v>
      </c>
      <c r="J120" s="91"/>
    </row>
    <row r="121" spans="1:10" ht="18.75" customHeight="1" x14ac:dyDescent="0.3">
      <c r="A121" s="31">
        <v>115</v>
      </c>
      <c r="B121" s="32">
        <v>2022224508</v>
      </c>
      <c r="C121" s="33" t="s">
        <v>519</v>
      </c>
      <c r="D121" s="34" t="s">
        <v>335</v>
      </c>
      <c r="E121" s="32" t="s">
        <v>983</v>
      </c>
      <c r="F121" s="35" t="s">
        <v>468</v>
      </c>
      <c r="G121" s="36" t="s">
        <v>469</v>
      </c>
      <c r="H121" s="30">
        <f>VLOOKUP(B121,'Dữ liệu TQNM'!$B$7:$F$769,5,0)</f>
        <v>0</v>
      </c>
      <c r="I121" s="30">
        <f>COUNTIF('Nộp báo cáo'!$A$3:$A$1993,'Tổng 24-25'!B121)</f>
        <v>0</v>
      </c>
      <c r="J121" s="91"/>
    </row>
    <row r="122" spans="1:10" ht="18.75" customHeight="1" x14ac:dyDescent="0.3">
      <c r="A122" s="31">
        <v>116</v>
      </c>
      <c r="B122" s="32">
        <v>2022224553</v>
      </c>
      <c r="C122" s="33" t="s">
        <v>520</v>
      </c>
      <c r="D122" s="34" t="s">
        <v>117</v>
      </c>
      <c r="E122" s="32" t="s">
        <v>984</v>
      </c>
      <c r="F122" s="35" t="s">
        <v>468</v>
      </c>
      <c r="G122" s="36" t="s">
        <v>469</v>
      </c>
      <c r="H122" s="30">
        <f>VLOOKUP(B122,'Dữ liệu TQNM'!$B$7:$F$769,5,0)</f>
        <v>0</v>
      </c>
      <c r="I122" s="30">
        <f>COUNTIF('Nộp báo cáo'!$A$3:$A$1993,'Tổng 24-25'!B122)</f>
        <v>0</v>
      </c>
      <c r="J122" s="91"/>
    </row>
    <row r="123" spans="1:10" s="18" customFormat="1" ht="18.75" customHeight="1" x14ac:dyDescent="0.3">
      <c r="A123" s="19">
        <v>117</v>
      </c>
      <c r="B123" s="20">
        <v>2022224592</v>
      </c>
      <c r="C123" s="21" t="s">
        <v>521</v>
      </c>
      <c r="D123" s="22" t="s">
        <v>306</v>
      </c>
      <c r="E123" s="20" t="s">
        <v>522</v>
      </c>
      <c r="F123" s="23" t="s">
        <v>468</v>
      </c>
      <c r="G123" s="30" t="s">
        <v>469</v>
      </c>
      <c r="H123" s="30">
        <f>VLOOKUP(B123,'Dữ liệu TQNM'!$B$7:$F$769,5,0)</f>
        <v>3</v>
      </c>
      <c r="I123" s="30">
        <f>COUNTIF('Nộp báo cáo'!$A$3:$A$1993,'Tổng 24-25'!B123)</f>
        <v>3</v>
      </c>
      <c r="J123" s="91"/>
    </row>
    <row r="124" spans="1:10" s="18" customFormat="1" ht="18.75" customHeight="1" x14ac:dyDescent="0.3">
      <c r="A124" s="19">
        <v>118</v>
      </c>
      <c r="B124" s="20">
        <v>2022224623</v>
      </c>
      <c r="C124" s="21" t="s">
        <v>364</v>
      </c>
      <c r="D124" s="22" t="s">
        <v>355</v>
      </c>
      <c r="E124" s="20" t="s">
        <v>985</v>
      </c>
      <c r="F124" s="23" t="s">
        <v>468</v>
      </c>
      <c r="G124" s="30" t="s">
        <v>469</v>
      </c>
      <c r="H124" s="30">
        <f>VLOOKUP(B124,'Dữ liệu TQNM'!$B$7:$F$769,5,0)</f>
        <v>2</v>
      </c>
      <c r="I124" s="30">
        <f>COUNTIF('Nộp báo cáo'!$A$3:$A$1993,'Tổng 24-25'!B124)</f>
        <v>2</v>
      </c>
      <c r="J124" s="91"/>
    </row>
    <row r="125" spans="1:10" s="18" customFormat="1" ht="18.75" customHeight="1" x14ac:dyDescent="0.3">
      <c r="A125" s="19">
        <v>119</v>
      </c>
      <c r="B125" s="20">
        <v>2022225751</v>
      </c>
      <c r="C125" s="21" t="s">
        <v>523</v>
      </c>
      <c r="D125" s="22" t="s">
        <v>280</v>
      </c>
      <c r="E125" s="20" t="s">
        <v>524</v>
      </c>
      <c r="F125" s="23" t="s">
        <v>468</v>
      </c>
      <c r="G125" s="30" t="s">
        <v>469</v>
      </c>
      <c r="H125" s="30">
        <f>VLOOKUP(B125,'Dữ liệu TQNM'!$B$7:$F$769,5,0)</f>
        <v>2</v>
      </c>
      <c r="I125" s="30">
        <f>COUNTIF('Nộp báo cáo'!$A$3:$A$1993,'Tổng 24-25'!B125)</f>
        <v>2</v>
      </c>
      <c r="J125" s="91"/>
    </row>
    <row r="126" spans="1:10" s="18" customFormat="1" ht="18.75" customHeight="1" x14ac:dyDescent="0.3">
      <c r="A126" s="19">
        <v>120</v>
      </c>
      <c r="B126" s="20">
        <v>2022225753</v>
      </c>
      <c r="C126" s="21" t="s">
        <v>525</v>
      </c>
      <c r="D126" s="22" t="s">
        <v>280</v>
      </c>
      <c r="E126" s="20" t="s">
        <v>526</v>
      </c>
      <c r="F126" s="23" t="s">
        <v>468</v>
      </c>
      <c r="G126" s="30" t="s">
        <v>469</v>
      </c>
      <c r="H126" s="30">
        <f>VLOOKUP(B126,'Dữ liệu TQNM'!$B$7:$F$769,5,0)</f>
        <v>2</v>
      </c>
      <c r="I126" s="30">
        <f>COUNTIF('Nộp báo cáo'!$A$3:$A$1993,'Tổng 24-25'!B126)</f>
        <v>2</v>
      </c>
      <c r="J126" s="91"/>
    </row>
    <row r="127" spans="1:10" s="18" customFormat="1" ht="18.75" customHeight="1" x14ac:dyDescent="0.3">
      <c r="A127" s="19">
        <v>121</v>
      </c>
      <c r="B127" s="20">
        <v>2022225771</v>
      </c>
      <c r="C127" s="21" t="s">
        <v>527</v>
      </c>
      <c r="D127" s="22" t="s">
        <v>528</v>
      </c>
      <c r="E127" s="20" t="s">
        <v>529</v>
      </c>
      <c r="F127" s="23" t="s">
        <v>468</v>
      </c>
      <c r="G127" s="30" t="s">
        <v>469</v>
      </c>
      <c r="H127" s="30">
        <f>VLOOKUP(B127,'Dữ liệu TQNM'!$B$7:$F$769,5,0)</f>
        <v>2</v>
      </c>
      <c r="I127" s="30">
        <f>COUNTIF('Nộp báo cáo'!$A$3:$A$1993,'Tổng 24-25'!B127)</f>
        <v>2</v>
      </c>
      <c r="J127" s="91"/>
    </row>
    <row r="128" spans="1:10" s="18" customFormat="1" ht="18.75" customHeight="1" x14ac:dyDescent="0.3">
      <c r="A128" s="19">
        <v>122</v>
      </c>
      <c r="B128" s="20">
        <v>2022225996</v>
      </c>
      <c r="C128" s="21" t="s">
        <v>530</v>
      </c>
      <c r="D128" s="22" t="s">
        <v>56</v>
      </c>
      <c r="E128" s="20" t="s">
        <v>206</v>
      </c>
      <c r="F128" s="23" t="s">
        <v>468</v>
      </c>
      <c r="G128" s="30" t="s">
        <v>469</v>
      </c>
      <c r="H128" s="30">
        <f>VLOOKUP(B128,'Dữ liệu TQNM'!$B$7:$F$769,5,0)</f>
        <v>2</v>
      </c>
      <c r="I128" s="30">
        <f>COUNTIF('Nộp báo cáo'!$A$3:$A$1993,'Tổng 24-25'!B128)</f>
        <v>3</v>
      </c>
      <c r="J128" s="91"/>
    </row>
    <row r="129" spans="1:10" ht="18.75" customHeight="1" x14ac:dyDescent="0.3">
      <c r="A129" s="31">
        <v>123</v>
      </c>
      <c r="B129" s="107">
        <v>2022226065</v>
      </c>
      <c r="C129" s="33" t="s">
        <v>986</v>
      </c>
      <c r="D129" s="34" t="s">
        <v>987</v>
      </c>
      <c r="E129" s="32" t="s">
        <v>988</v>
      </c>
      <c r="F129" s="35" t="s">
        <v>468</v>
      </c>
      <c r="G129" s="36" t="s">
        <v>469</v>
      </c>
      <c r="H129" s="30">
        <f>VLOOKUP(B129,'Dữ liệu TQNM'!$B$7:$F$769,5,0)</f>
        <v>0</v>
      </c>
      <c r="I129" s="30">
        <f>COUNTIF('Nộp báo cáo'!$A$3:$A$1993,'Tổng 24-25'!B129)</f>
        <v>0</v>
      </c>
      <c r="J129" s="91"/>
    </row>
    <row r="130" spans="1:10" s="18" customFormat="1" ht="18.75" customHeight="1" x14ac:dyDescent="0.3">
      <c r="A130" s="19">
        <v>124</v>
      </c>
      <c r="B130" s="20">
        <v>2022226142</v>
      </c>
      <c r="C130" s="21" t="s">
        <v>531</v>
      </c>
      <c r="D130" s="22" t="s">
        <v>135</v>
      </c>
      <c r="E130" s="20" t="s">
        <v>532</v>
      </c>
      <c r="F130" s="23" t="s">
        <v>468</v>
      </c>
      <c r="G130" s="30" t="s">
        <v>469</v>
      </c>
      <c r="H130" s="30">
        <f>VLOOKUP(B130,'Dữ liệu TQNM'!$B$7:$F$769,5,0)</f>
        <v>3</v>
      </c>
      <c r="I130" s="30">
        <f>COUNTIF('Nộp báo cáo'!$A$3:$A$1993,'Tổng 24-25'!B130)</f>
        <v>4</v>
      </c>
      <c r="J130" s="91"/>
    </row>
    <row r="131" spans="1:10" ht="18.75" customHeight="1" x14ac:dyDescent="0.3">
      <c r="A131" s="31">
        <v>125</v>
      </c>
      <c r="B131" s="107">
        <v>2022226131</v>
      </c>
      <c r="C131" s="33" t="s">
        <v>93</v>
      </c>
      <c r="D131" s="34" t="s">
        <v>135</v>
      </c>
      <c r="E131" s="32" t="s">
        <v>575</v>
      </c>
      <c r="F131" s="35" t="s">
        <v>468</v>
      </c>
      <c r="G131" s="36" t="s">
        <v>469</v>
      </c>
      <c r="H131" s="30">
        <f>VLOOKUP(B131,'Dữ liệu TQNM'!$B$7:$F$769,5,0)</f>
        <v>0</v>
      </c>
      <c r="I131" s="30">
        <f>COUNTIF('Nộp báo cáo'!$A$3:$A$1993,'Tổng 24-25'!B131)</f>
        <v>0</v>
      </c>
      <c r="J131" s="91"/>
    </row>
    <row r="132" spans="1:10" s="18" customFormat="1" ht="18.75" customHeight="1" x14ac:dyDescent="0.3">
      <c r="A132" s="19">
        <v>126</v>
      </c>
      <c r="B132" s="20">
        <v>2041220044</v>
      </c>
      <c r="C132" s="21" t="s">
        <v>293</v>
      </c>
      <c r="D132" s="22" t="s">
        <v>71</v>
      </c>
      <c r="E132" s="20" t="s">
        <v>974</v>
      </c>
      <c r="F132" s="23" t="s">
        <v>534</v>
      </c>
      <c r="G132" s="30" t="s">
        <v>469</v>
      </c>
      <c r="H132" s="30">
        <f>VLOOKUP(B132,'Dữ liệu TQNM'!$B$7:$F$769,5,0)</f>
        <v>2</v>
      </c>
      <c r="I132" s="30">
        <f>COUNTIF('Nộp báo cáo'!$A$3:$A$1993,'Tổng 24-25'!B132)</f>
        <v>3</v>
      </c>
      <c r="J132" s="91"/>
    </row>
    <row r="133" spans="1:10" ht="18.75" customHeight="1" x14ac:dyDescent="0.3">
      <c r="A133" s="31">
        <v>127</v>
      </c>
      <c r="B133" s="107">
        <v>2041220128</v>
      </c>
      <c r="C133" s="33" t="s">
        <v>989</v>
      </c>
      <c r="D133" s="34" t="s">
        <v>36</v>
      </c>
      <c r="E133" s="32" t="s">
        <v>970</v>
      </c>
      <c r="F133" s="35" t="s">
        <v>534</v>
      </c>
      <c r="G133" s="36" t="s">
        <v>469</v>
      </c>
      <c r="H133" s="30">
        <f>VLOOKUP(B133,'Dữ liệu TQNM'!$B$7:$F$769,5,0)</f>
        <v>2</v>
      </c>
      <c r="I133" s="30">
        <f>COUNTIF('Nộp báo cáo'!$A$3:$A$1993,'Tổng 24-25'!B133)</f>
        <v>2</v>
      </c>
      <c r="J133" s="91"/>
    </row>
    <row r="134" spans="1:10" s="18" customFormat="1" ht="18.75" customHeight="1" x14ac:dyDescent="0.3">
      <c r="A134" s="19">
        <v>128</v>
      </c>
      <c r="B134" s="20">
        <v>2041220257</v>
      </c>
      <c r="C134" s="21" t="s">
        <v>44</v>
      </c>
      <c r="D134" s="22" t="s">
        <v>170</v>
      </c>
      <c r="E134" s="20" t="s">
        <v>544</v>
      </c>
      <c r="F134" s="23" t="s">
        <v>534</v>
      </c>
      <c r="G134" s="30" t="s">
        <v>469</v>
      </c>
      <c r="H134" s="30">
        <f>VLOOKUP(B134,'Dữ liệu TQNM'!$B$7:$F$769,5,0)</f>
        <v>2</v>
      </c>
      <c r="I134" s="30">
        <f>COUNTIF('Nộp báo cáo'!$A$3:$A$1993,'Tổng 24-25'!B134)</f>
        <v>3</v>
      </c>
      <c r="J134" s="91"/>
    </row>
    <row r="135" spans="1:10" ht="18.75" customHeight="1" x14ac:dyDescent="0.3">
      <c r="A135" s="31">
        <v>129</v>
      </c>
      <c r="B135" s="107">
        <v>2041220378</v>
      </c>
      <c r="C135" s="33" t="s">
        <v>44</v>
      </c>
      <c r="D135" s="34" t="s">
        <v>570</v>
      </c>
      <c r="E135" s="32" t="s">
        <v>978</v>
      </c>
      <c r="F135" s="35" t="s">
        <v>534</v>
      </c>
      <c r="G135" s="36" t="s">
        <v>469</v>
      </c>
      <c r="H135" s="30">
        <f>VLOOKUP(B135,'Dữ liệu TQNM'!$B$7:$F$769,5,0)</f>
        <v>0</v>
      </c>
      <c r="I135" s="30">
        <f>COUNTIF('Nộp báo cáo'!$A$3:$A$1993,'Tổng 24-25'!B135)</f>
        <v>0</v>
      </c>
      <c r="J135" s="91"/>
    </row>
    <row r="136" spans="1:10" s="18" customFormat="1" ht="18.75" customHeight="1" x14ac:dyDescent="0.3">
      <c r="A136" s="19">
        <v>130</v>
      </c>
      <c r="B136" s="20">
        <v>2041220509</v>
      </c>
      <c r="C136" s="21" t="s">
        <v>538</v>
      </c>
      <c r="D136" s="22" t="s">
        <v>539</v>
      </c>
      <c r="E136" s="20" t="s">
        <v>540</v>
      </c>
      <c r="F136" s="23" t="s">
        <v>534</v>
      </c>
      <c r="G136" s="30" t="s">
        <v>469</v>
      </c>
      <c r="H136" s="30">
        <f>VLOOKUP(B136,'Dữ liệu TQNM'!$B$7:$F$769,5,0)</f>
        <v>3</v>
      </c>
      <c r="I136" s="30">
        <f>COUNTIF('Nộp báo cáo'!$A$3:$A$1993,'Tổng 24-25'!B136)</f>
        <v>3</v>
      </c>
      <c r="J136" s="91"/>
    </row>
    <row r="137" spans="1:10" s="18" customFormat="1" ht="18.75" customHeight="1" x14ac:dyDescent="0.3">
      <c r="A137" s="19">
        <v>131</v>
      </c>
      <c r="B137" s="20">
        <v>2041220532</v>
      </c>
      <c r="C137" s="21" t="s">
        <v>417</v>
      </c>
      <c r="D137" s="22" t="s">
        <v>533</v>
      </c>
      <c r="E137" s="20" t="s">
        <v>145</v>
      </c>
      <c r="F137" s="23" t="s">
        <v>534</v>
      </c>
      <c r="G137" s="30" t="s">
        <v>469</v>
      </c>
      <c r="H137" s="30">
        <f>VLOOKUP(B137,'Dữ liệu TQNM'!$B$7:$F$769,5,0)</f>
        <v>3</v>
      </c>
      <c r="I137" s="30">
        <f>COUNTIF('Nộp báo cáo'!$A$3:$A$1993,'Tổng 24-25'!B137)</f>
        <v>3</v>
      </c>
      <c r="J137" s="91"/>
    </row>
    <row r="138" spans="1:10" s="18" customFormat="1" ht="18.75" customHeight="1" x14ac:dyDescent="0.3">
      <c r="A138" s="19">
        <v>132</v>
      </c>
      <c r="B138" s="20">
        <v>2041220584</v>
      </c>
      <c r="C138" s="21" t="s">
        <v>293</v>
      </c>
      <c r="D138" s="22" t="s">
        <v>542</v>
      </c>
      <c r="E138" s="20" t="s">
        <v>990</v>
      </c>
      <c r="F138" s="23" t="s">
        <v>534</v>
      </c>
      <c r="G138" s="30" t="s">
        <v>469</v>
      </c>
      <c r="H138" s="30">
        <f>VLOOKUP(B138,'Dữ liệu TQNM'!$B$7:$F$769,5,0)</f>
        <v>4</v>
      </c>
      <c r="I138" s="30">
        <f>COUNTIF('Nộp báo cáo'!$A$3:$A$1993,'Tổng 24-25'!B138)</f>
        <v>3</v>
      </c>
      <c r="J138" s="91"/>
    </row>
    <row r="139" spans="1:10" ht="18.75" customHeight="1" x14ac:dyDescent="0.3">
      <c r="A139" s="31">
        <v>133</v>
      </c>
      <c r="B139" s="107">
        <v>2041220583</v>
      </c>
      <c r="C139" s="33" t="s">
        <v>991</v>
      </c>
      <c r="D139" s="34" t="s">
        <v>542</v>
      </c>
      <c r="E139" s="32" t="s">
        <v>861</v>
      </c>
      <c r="F139" s="35" t="s">
        <v>534</v>
      </c>
      <c r="G139" s="36" t="s">
        <v>469</v>
      </c>
      <c r="H139" s="30">
        <f>VLOOKUP(B139,'Dữ liệu TQNM'!$B$7:$F$769,5,0)</f>
        <v>0</v>
      </c>
      <c r="I139" s="30">
        <f>COUNTIF('Nộp báo cáo'!$A$3:$A$1993,'Tổng 24-25'!B139)</f>
        <v>0</v>
      </c>
      <c r="J139" s="91"/>
    </row>
    <row r="140" spans="1:10" s="18" customFormat="1" ht="18.75" customHeight="1" x14ac:dyDescent="0.3">
      <c r="A140" s="19">
        <v>134</v>
      </c>
      <c r="B140" s="20">
        <v>2041220587</v>
      </c>
      <c r="C140" s="21" t="s">
        <v>541</v>
      </c>
      <c r="D140" s="22" t="s">
        <v>542</v>
      </c>
      <c r="E140" s="20" t="s">
        <v>543</v>
      </c>
      <c r="F140" s="23" t="s">
        <v>534</v>
      </c>
      <c r="G140" s="30" t="s">
        <v>469</v>
      </c>
      <c r="H140" s="30">
        <f>VLOOKUP(B140,'Dữ liệu TQNM'!$B$7:$F$769,5,0)</f>
        <v>2</v>
      </c>
      <c r="I140" s="30">
        <f>COUNTIF('Nộp báo cáo'!$A$3:$A$1993,'Tổng 24-25'!B140)</f>
        <v>3</v>
      </c>
      <c r="J140" s="91"/>
    </row>
    <row r="141" spans="1:10" ht="18.75" customHeight="1" x14ac:dyDescent="0.3">
      <c r="A141" s="31">
        <v>135</v>
      </c>
      <c r="B141" s="107">
        <v>2041220625</v>
      </c>
      <c r="C141" s="33" t="s">
        <v>992</v>
      </c>
      <c r="D141" s="34" t="s">
        <v>993</v>
      </c>
      <c r="E141" s="32" t="s">
        <v>994</v>
      </c>
      <c r="F141" s="35" t="s">
        <v>534</v>
      </c>
      <c r="G141" s="36" t="s">
        <v>469</v>
      </c>
      <c r="H141" s="30">
        <f>VLOOKUP(B141,'Dữ liệu TQNM'!$B$7:$F$769,5,0)</f>
        <v>0</v>
      </c>
      <c r="I141" s="30">
        <f>COUNTIF('Nộp báo cáo'!$A$3:$A$1993,'Tổng 24-25'!B141)</f>
        <v>0</v>
      </c>
      <c r="J141" s="91"/>
    </row>
    <row r="142" spans="1:10" ht="18.75" customHeight="1" x14ac:dyDescent="0.3">
      <c r="A142" s="31">
        <v>136</v>
      </c>
      <c r="B142" s="107">
        <v>2041220738</v>
      </c>
      <c r="C142" s="33" t="s">
        <v>995</v>
      </c>
      <c r="D142" s="34" t="s">
        <v>73</v>
      </c>
      <c r="E142" s="32" t="s">
        <v>235</v>
      </c>
      <c r="F142" s="35" t="s">
        <v>534</v>
      </c>
      <c r="G142" s="36" t="s">
        <v>469</v>
      </c>
      <c r="H142" s="30">
        <f>VLOOKUP(B142,'Dữ liệu TQNM'!$B$7:$F$769,5,0)</f>
        <v>0</v>
      </c>
      <c r="I142" s="30">
        <f>COUNTIF('Nộp báo cáo'!$A$3:$A$1993,'Tổng 24-25'!B142)</f>
        <v>0</v>
      </c>
      <c r="J142" s="91"/>
    </row>
    <row r="143" spans="1:10" ht="18.75" customHeight="1" x14ac:dyDescent="0.3">
      <c r="A143" s="31">
        <v>137</v>
      </c>
      <c r="B143" s="107">
        <v>2041221258</v>
      </c>
      <c r="C143" s="33" t="s">
        <v>996</v>
      </c>
      <c r="D143" s="34" t="s">
        <v>172</v>
      </c>
      <c r="E143" s="32" t="s">
        <v>997</v>
      </c>
      <c r="F143" s="35" t="s">
        <v>534</v>
      </c>
      <c r="G143" s="36" t="s">
        <v>469</v>
      </c>
      <c r="H143" s="30">
        <f>VLOOKUP(B143,'Dữ liệu TQNM'!$B$7:$F$769,5,0)</f>
        <v>3</v>
      </c>
      <c r="I143" s="30">
        <f>COUNTIF('Nộp báo cáo'!$A$3:$A$1993,'Tổng 24-25'!B143)</f>
        <v>4</v>
      </c>
      <c r="J143" s="91"/>
    </row>
    <row r="144" spans="1:10" ht="18.75" customHeight="1" x14ac:dyDescent="0.3">
      <c r="A144" s="31">
        <v>138</v>
      </c>
      <c r="B144" s="107">
        <v>2041221282</v>
      </c>
      <c r="C144" s="33" t="s">
        <v>386</v>
      </c>
      <c r="D144" s="34" t="s">
        <v>172</v>
      </c>
      <c r="E144" s="32" t="s">
        <v>998</v>
      </c>
      <c r="F144" s="35" t="s">
        <v>534</v>
      </c>
      <c r="G144" s="36" t="s">
        <v>469</v>
      </c>
      <c r="H144" s="30">
        <f>VLOOKUP(B144,'Dữ liệu TQNM'!$B$7:$F$769,5,0)</f>
        <v>3</v>
      </c>
      <c r="I144" s="30">
        <f>COUNTIF('Nộp báo cáo'!$A$3:$A$1993,'Tổng 24-25'!B144)</f>
        <v>3</v>
      </c>
      <c r="J144" s="91"/>
    </row>
    <row r="145" spans="1:10" s="18" customFormat="1" ht="18.75" customHeight="1" x14ac:dyDescent="0.3">
      <c r="A145" s="19">
        <v>139</v>
      </c>
      <c r="B145" s="20">
        <v>2041221252</v>
      </c>
      <c r="C145" s="21" t="s">
        <v>535</v>
      </c>
      <c r="D145" s="22" t="s">
        <v>172</v>
      </c>
      <c r="E145" s="20" t="s">
        <v>939</v>
      </c>
      <c r="F145" s="23" t="s">
        <v>534</v>
      </c>
      <c r="G145" s="30" t="s">
        <v>469</v>
      </c>
      <c r="H145" s="30">
        <f>VLOOKUP(B145,'Dữ liệu TQNM'!$B$7:$F$769,5,0)</f>
        <v>4</v>
      </c>
      <c r="I145" s="30">
        <f>COUNTIF('Nộp báo cáo'!$A$3:$A$1993,'Tổng 24-25'!B145)</f>
        <v>2</v>
      </c>
      <c r="J145" s="91"/>
    </row>
    <row r="146" spans="1:10" s="18" customFormat="1" ht="18.75" customHeight="1" x14ac:dyDescent="0.3">
      <c r="A146" s="19">
        <v>140</v>
      </c>
      <c r="B146" s="20">
        <v>2041221162</v>
      </c>
      <c r="C146" s="21" t="s">
        <v>386</v>
      </c>
      <c r="D146" s="22" t="s">
        <v>536</v>
      </c>
      <c r="E146" s="20" t="s">
        <v>537</v>
      </c>
      <c r="F146" s="23" t="s">
        <v>534</v>
      </c>
      <c r="G146" s="30" t="s">
        <v>469</v>
      </c>
      <c r="H146" s="30">
        <f>VLOOKUP(B146,'Dữ liệu TQNM'!$B$7:$F$769,5,0)</f>
        <v>2</v>
      </c>
      <c r="I146" s="30">
        <f>COUNTIF('Nộp báo cáo'!$A$3:$A$1993,'Tổng 24-25'!B146)</f>
        <v>3</v>
      </c>
      <c r="J146" s="91"/>
    </row>
    <row r="147" spans="1:10" ht="18.75" customHeight="1" x14ac:dyDescent="0.3">
      <c r="A147" s="31">
        <v>141</v>
      </c>
      <c r="B147" s="107">
        <v>2041221530</v>
      </c>
      <c r="C147" s="33" t="s">
        <v>44</v>
      </c>
      <c r="D147" s="34" t="s">
        <v>902</v>
      </c>
      <c r="E147" s="32" t="s">
        <v>999</v>
      </c>
      <c r="F147" s="35" t="s">
        <v>534</v>
      </c>
      <c r="G147" s="36" t="s">
        <v>469</v>
      </c>
      <c r="H147" s="30">
        <f>VLOOKUP(B147,'Dữ liệu TQNM'!$B$7:$F$769,5,0)</f>
        <v>3</v>
      </c>
      <c r="I147" s="30">
        <f>COUNTIF('Nộp báo cáo'!$A$3:$A$1993,'Tổng 24-25'!B147)</f>
        <v>4</v>
      </c>
      <c r="J147" s="91"/>
    </row>
    <row r="148" spans="1:10" ht="18.75" customHeight="1" x14ac:dyDescent="0.3">
      <c r="A148" s="31">
        <v>142</v>
      </c>
      <c r="B148" s="107">
        <v>2041221732</v>
      </c>
      <c r="C148" s="33" t="s">
        <v>219</v>
      </c>
      <c r="D148" s="34" t="s">
        <v>43</v>
      </c>
      <c r="E148" s="32" t="s">
        <v>879</v>
      </c>
      <c r="F148" s="35" t="s">
        <v>534</v>
      </c>
      <c r="G148" s="36" t="s">
        <v>469</v>
      </c>
      <c r="H148" s="30">
        <f>VLOOKUP(B148,'Dữ liệu TQNM'!$B$7:$F$769,5,0)</f>
        <v>2</v>
      </c>
      <c r="I148" s="30">
        <f>COUNTIF('Nộp báo cáo'!$A$3:$A$1993,'Tổng 24-25'!B148)</f>
        <v>3</v>
      </c>
      <c r="J148" s="91"/>
    </row>
    <row r="149" spans="1:10" ht="18.75" customHeight="1" x14ac:dyDescent="0.3">
      <c r="A149" s="31">
        <v>143</v>
      </c>
      <c r="B149" s="107">
        <v>2041222032</v>
      </c>
      <c r="C149" s="33" t="s">
        <v>1000</v>
      </c>
      <c r="D149" s="34" t="s">
        <v>1001</v>
      </c>
      <c r="E149" s="32" t="s">
        <v>187</v>
      </c>
      <c r="F149" s="35" t="s">
        <v>534</v>
      </c>
      <c r="G149" s="36" t="s">
        <v>469</v>
      </c>
      <c r="H149" s="30">
        <f>VLOOKUP(B149,'Dữ liệu TQNM'!$B$7:$F$769,5,0)</f>
        <v>1</v>
      </c>
      <c r="I149" s="30">
        <f>COUNTIF('Nộp báo cáo'!$A$3:$A$1993,'Tổng 24-25'!B149)</f>
        <v>0</v>
      </c>
      <c r="J149" s="91"/>
    </row>
    <row r="150" spans="1:10" ht="18.75" customHeight="1" x14ac:dyDescent="0.3">
      <c r="A150" s="31">
        <v>144</v>
      </c>
      <c r="B150" s="107">
        <v>2041221930</v>
      </c>
      <c r="C150" s="33" t="s">
        <v>1002</v>
      </c>
      <c r="D150" s="34" t="s">
        <v>49</v>
      </c>
      <c r="E150" s="32" t="s">
        <v>1003</v>
      </c>
      <c r="F150" s="35" t="s">
        <v>534</v>
      </c>
      <c r="G150" s="36" t="s">
        <v>469</v>
      </c>
      <c r="H150" s="30">
        <f>VLOOKUP(B150,'Dữ liệu TQNM'!$B$7:$F$769,5,0)</f>
        <v>3</v>
      </c>
      <c r="I150" s="30">
        <f>COUNTIF('Nộp báo cáo'!$A$3:$A$1993,'Tổng 24-25'!B150)</f>
        <v>3</v>
      </c>
      <c r="J150" s="91"/>
    </row>
    <row r="151" spans="1:10" s="18" customFormat="1" ht="18.75" customHeight="1" x14ac:dyDescent="0.3">
      <c r="A151" s="19">
        <v>145</v>
      </c>
      <c r="B151" s="20">
        <v>2041222374</v>
      </c>
      <c r="C151" s="21" t="s">
        <v>722</v>
      </c>
      <c r="D151" s="22" t="s">
        <v>29</v>
      </c>
      <c r="E151" s="20" t="s">
        <v>723</v>
      </c>
      <c r="F151" s="23" t="s">
        <v>534</v>
      </c>
      <c r="G151" s="30" t="s">
        <v>710</v>
      </c>
      <c r="H151" s="30">
        <f>VLOOKUP(B151,'Dữ liệu TQNM'!$B$7:$F$769,5,0)</f>
        <v>3</v>
      </c>
      <c r="I151" s="30">
        <f>COUNTIF('Nộp báo cáo'!$A$3:$A$1993,'Tổng 24-25'!B151)</f>
        <v>3</v>
      </c>
      <c r="J151" s="91"/>
    </row>
    <row r="152" spans="1:10" s="18" customFormat="1" ht="18.75" customHeight="1" x14ac:dyDescent="0.3">
      <c r="A152" s="19">
        <v>146</v>
      </c>
      <c r="B152" s="20">
        <v>2041222707</v>
      </c>
      <c r="C152" s="21" t="s">
        <v>724</v>
      </c>
      <c r="D152" s="22" t="s">
        <v>91</v>
      </c>
      <c r="E152" s="20" t="s">
        <v>434</v>
      </c>
      <c r="F152" s="23" t="s">
        <v>534</v>
      </c>
      <c r="G152" s="30" t="s">
        <v>710</v>
      </c>
      <c r="H152" s="30">
        <f>VLOOKUP(B152,'Dữ liệu TQNM'!$B$7:$F$769,5,0)</f>
        <v>4</v>
      </c>
      <c r="I152" s="30">
        <f>COUNTIF('Nộp báo cáo'!$A$3:$A$1993,'Tổng 24-25'!B152)</f>
        <v>3</v>
      </c>
      <c r="J152" s="91"/>
    </row>
    <row r="153" spans="1:10" ht="18.75" customHeight="1" x14ac:dyDescent="0.3">
      <c r="A153" s="31">
        <v>147</v>
      </c>
      <c r="B153" s="107">
        <v>2041222822</v>
      </c>
      <c r="C153" s="33" t="s">
        <v>1004</v>
      </c>
      <c r="D153" s="34" t="s">
        <v>362</v>
      </c>
      <c r="E153" s="32" t="s">
        <v>936</v>
      </c>
      <c r="F153" s="35" t="s">
        <v>534</v>
      </c>
      <c r="G153" s="36" t="s">
        <v>710</v>
      </c>
      <c r="H153" s="30">
        <f>VLOOKUP(B153,'Dữ liệu TQNM'!$B$7:$F$769,5,0)</f>
        <v>0</v>
      </c>
      <c r="I153" s="30">
        <f>COUNTIF('Nộp báo cáo'!$A$3:$A$1993,'Tổng 24-25'!B153)</f>
        <v>0</v>
      </c>
      <c r="J153" s="91"/>
    </row>
    <row r="154" spans="1:10" s="18" customFormat="1" ht="18.75" customHeight="1" x14ac:dyDescent="0.3">
      <c r="A154" s="19">
        <v>148</v>
      </c>
      <c r="B154" s="20">
        <v>2041222935</v>
      </c>
      <c r="C154" s="21" t="s">
        <v>735</v>
      </c>
      <c r="D154" s="22" t="s">
        <v>92</v>
      </c>
      <c r="E154" s="20" t="s">
        <v>1005</v>
      </c>
      <c r="F154" s="23" t="s">
        <v>534</v>
      </c>
      <c r="G154" s="30" t="s">
        <v>710</v>
      </c>
      <c r="H154" s="30">
        <f>VLOOKUP(B154,'Dữ liệu TQNM'!$B$7:$F$769,5,0)</f>
        <v>2</v>
      </c>
      <c r="I154" s="30">
        <f>COUNTIF('Nộp báo cáo'!$A$3:$A$1993,'Tổng 24-25'!B154)</f>
        <v>3</v>
      </c>
      <c r="J154" s="91"/>
    </row>
    <row r="155" spans="1:10" ht="18.75" customHeight="1" x14ac:dyDescent="0.3">
      <c r="A155" s="31">
        <v>149</v>
      </c>
      <c r="B155" s="107">
        <v>2041222940</v>
      </c>
      <c r="C155" s="33" t="s">
        <v>717</v>
      </c>
      <c r="D155" s="34" t="s">
        <v>92</v>
      </c>
      <c r="E155" s="32" t="s">
        <v>961</v>
      </c>
      <c r="F155" s="35" t="s">
        <v>534</v>
      </c>
      <c r="G155" s="36" t="s">
        <v>710</v>
      </c>
      <c r="H155" s="30">
        <f>VLOOKUP(B155,'Dữ liệu TQNM'!$B$7:$F$769,5,0)</f>
        <v>2</v>
      </c>
      <c r="I155" s="30">
        <f>COUNTIF('Nộp báo cáo'!$A$3:$A$1993,'Tổng 24-25'!B155)</f>
        <v>3</v>
      </c>
      <c r="J155" s="91"/>
    </row>
    <row r="156" spans="1:10" s="18" customFormat="1" ht="18.75" customHeight="1" x14ac:dyDescent="0.3">
      <c r="A156" s="19">
        <v>150</v>
      </c>
      <c r="B156" s="20">
        <v>2041222894</v>
      </c>
      <c r="C156" s="21" t="s">
        <v>519</v>
      </c>
      <c r="D156" s="22" t="s">
        <v>92</v>
      </c>
      <c r="E156" s="20" t="s">
        <v>725</v>
      </c>
      <c r="F156" s="23" t="s">
        <v>534</v>
      </c>
      <c r="G156" s="30" t="s">
        <v>710</v>
      </c>
      <c r="H156" s="30">
        <f>VLOOKUP(B156,'Dữ liệu TQNM'!$B$7:$F$769,5,0)</f>
        <v>4</v>
      </c>
      <c r="I156" s="30">
        <f>COUNTIF('Nộp báo cáo'!$A$3:$A$1993,'Tổng 24-25'!B156)</f>
        <v>3</v>
      </c>
      <c r="J156" s="91"/>
    </row>
    <row r="157" spans="1:10" ht="18.75" customHeight="1" x14ac:dyDescent="0.3">
      <c r="A157" s="31">
        <v>151</v>
      </c>
      <c r="B157" s="107">
        <v>2041223114</v>
      </c>
      <c r="C157" s="33" t="s">
        <v>1006</v>
      </c>
      <c r="D157" s="34" t="s">
        <v>51</v>
      </c>
      <c r="E157" s="32" t="s">
        <v>971</v>
      </c>
      <c r="F157" s="35" t="s">
        <v>534</v>
      </c>
      <c r="G157" s="36" t="s">
        <v>710</v>
      </c>
      <c r="H157" s="30">
        <f>VLOOKUP(B157,'Dữ liệu TQNM'!$B$7:$F$769,5,0)</f>
        <v>2</v>
      </c>
      <c r="I157" s="30">
        <f>COUNTIF('Nộp báo cáo'!$A$3:$A$1993,'Tổng 24-25'!B157)</f>
        <v>2</v>
      </c>
      <c r="J157" s="91"/>
    </row>
    <row r="158" spans="1:10" ht="18.75" customHeight="1" x14ac:dyDescent="0.3">
      <c r="A158" s="31">
        <v>152</v>
      </c>
      <c r="B158" s="107">
        <v>2041223216</v>
      </c>
      <c r="C158" s="33" t="s">
        <v>341</v>
      </c>
      <c r="D158" s="34" t="s">
        <v>1007</v>
      </c>
      <c r="E158" s="32" t="s">
        <v>1008</v>
      </c>
      <c r="F158" s="35" t="s">
        <v>534</v>
      </c>
      <c r="G158" s="36" t="s">
        <v>710</v>
      </c>
      <c r="H158" s="30">
        <f>VLOOKUP(B158,'Dữ liệu TQNM'!$B$7:$F$769,5,0)</f>
        <v>2</v>
      </c>
      <c r="I158" s="30">
        <f>COUNTIF('Nộp báo cáo'!$A$3:$A$1993,'Tổng 24-25'!B158)</f>
        <v>3</v>
      </c>
      <c r="J158" s="91"/>
    </row>
    <row r="159" spans="1:10" ht="18.75" customHeight="1" x14ac:dyDescent="0.3">
      <c r="A159" s="31">
        <v>153</v>
      </c>
      <c r="B159" s="107">
        <v>2041223360</v>
      </c>
      <c r="C159" s="33" t="s">
        <v>1009</v>
      </c>
      <c r="D159" s="34" t="s">
        <v>76</v>
      </c>
      <c r="E159" s="32" t="s">
        <v>1010</v>
      </c>
      <c r="F159" s="35" t="s">
        <v>534</v>
      </c>
      <c r="G159" s="36" t="s">
        <v>710</v>
      </c>
      <c r="H159" s="30">
        <f>VLOOKUP(B159,'Dữ liệu TQNM'!$B$7:$F$769,5,0)</f>
        <v>0</v>
      </c>
      <c r="I159" s="30">
        <f>COUNTIF('Nộp báo cáo'!$A$3:$A$1993,'Tổng 24-25'!B159)</f>
        <v>0</v>
      </c>
      <c r="J159" s="91"/>
    </row>
    <row r="160" spans="1:10" ht="18.75" customHeight="1" x14ac:dyDescent="0.3">
      <c r="A160" s="31">
        <v>154</v>
      </c>
      <c r="B160" s="107">
        <v>2041223368</v>
      </c>
      <c r="C160" s="33" t="s">
        <v>1011</v>
      </c>
      <c r="D160" s="34" t="s">
        <v>76</v>
      </c>
      <c r="E160" s="32" t="s">
        <v>1012</v>
      </c>
      <c r="F160" s="35" t="s">
        <v>534</v>
      </c>
      <c r="G160" s="36" t="s">
        <v>710</v>
      </c>
      <c r="H160" s="30">
        <f>VLOOKUP(B160,'Dữ liệu TQNM'!$B$7:$F$769,5,0)</f>
        <v>3</v>
      </c>
      <c r="I160" s="30">
        <f>COUNTIF('Nộp báo cáo'!$A$3:$A$1993,'Tổng 24-25'!B160)</f>
        <v>3</v>
      </c>
      <c r="J160" s="91"/>
    </row>
    <row r="161" spans="1:10" ht="18.75" customHeight="1" x14ac:dyDescent="0.3">
      <c r="A161" s="31">
        <v>155</v>
      </c>
      <c r="B161" s="107">
        <v>2041223473</v>
      </c>
      <c r="C161" s="33" t="s">
        <v>1013</v>
      </c>
      <c r="D161" s="34" t="s">
        <v>318</v>
      </c>
      <c r="E161" s="32" t="s">
        <v>382</v>
      </c>
      <c r="F161" s="35" t="s">
        <v>534</v>
      </c>
      <c r="G161" s="36" t="s">
        <v>710</v>
      </c>
      <c r="H161" s="30">
        <f>VLOOKUP(B161,'Dữ liệu TQNM'!$B$7:$F$769,5,0)</f>
        <v>2</v>
      </c>
      <c r="I161" s="30">
        <f>COUNTIF('Nộp báo cáo'!$A$3:$A$1993,'Tổng 24-25'!B161)</f>
        <v>1</v>
      </c>
      <c r="J161" s="91"/>
    </row>
    <row r="162" spans="1:10" s="18" customFormat="1" ht="18.75" customHeight="1" x14ac:dyDescent="0.3">
      <c r="A162" s="19">
        <v>156</v>
      </c>
      <c r="B162" s="20">
        <v>2041223620</v>
      </c>
      <c r="C162" s="21" t="s">
        <v>267</v>
      </c>
      <c r="D162" s="22" t="s">
        <v>303</v>
      </c>
      <c r="E162" s="20" t="s">
        <v>716</v>
      </c>
      <c r="F162" s="23" t="s">
        <v>534</v>
      </c>
      <c r="G162" s="30" t="s">
        <v>710</v>
      </c>
      <c r="H162" s="30">
        <f>VLOOKUP(B162,'Dữ liệu TQNM'!$B$7:$F$769,5,0)</f>
        <v>4</v>
      </c>
      <c r="I162" s="30">
        <f>COUNTIF('Nộp báo cáo'!$A$3:$A$1993,'Tổng 24-25'!B162)</f>
        <v>3</v>
      </c>
      <c r="J162" s="91"/>
    </row>
    <row r="163" spans="1:10" s="18" customFormat="1" ht="18.75" customHeight="1" x14ac:dyDescent="0.3">
      <c r="A163" s="19">
        <v>157</v>
      </c>
      <c r="B163" s="20">
        <v>2041223729</v>
      </c>
      <c r="C163" s="21" t="s">
        <v>726</v>
      </c>
      <c r="D163" s="22" t="s">
        <v>154</v>
      </c>
      <c r="E163" s="20" t="s">
        <v>1014</v>
      </c>
      <c r="F163" s="23" t="s">
        <v>534</v>
      </c>
      <c r="G163" s="30" t="s">
        <v>710</v>
      </c>
      <c r="H163" s="30">
        <f>VLOOKUP(B163,'Dữ liệu TQNM'!$B$7:$F$769,5,0)</f>
        <v>3</v>
      </c>
      <c r="I163" s="30">
        <f>COUNTIF('Nộp báo cáo'!$A$3:$A$1993,'Tổng 24-25'!B163)</f>
        <v>3</v>
      </c>
      <c r="J163" s="91"/>
    </row>
    <row r="164" spans="1:10" ht="18.75" customHeight="1" x14ac:dyDescent="0.3">
      <c r="A164" s="31">
        <v>158</v>
      </c>
      <c r="B164" s="107">
        <v>2041223884</v>
      </c>
      <c r="C164" s="33" t="s">
        <v>1015</v>
      </c>
      <c r="D164" s="34" t="s">
        <v>31</v>
      </c>
      <c r="E164" s="32" t="s">
        <v>1016</v>
      </c>
      <c r="F164" s="35" t="s">
        <v>534</v>
      </c>
      <c r="G164" s="36" t="s">
        <v>710</v>
      </c>
      <c r="H164" s="30">
        <f>VLOOKUP(B164,'Dữ liệu TQNM'!$B$7:$F$769,5,0)</f>
        <v>0</v>
      </c>
      <c r="I164" s="30">
        <f>COUNTIF('Nộp báo cáo'!$A$3:$A$1993,'Tổng 24-25'!B164)</f>
        <v>0</v>
      </c>
      <c r="J164" s="91"/>
    </row>
    <row r="165" spans="1:10" ht="18.75" customHeight="1" x14ac:dyDescent="0.3">
      <c r="A165" s="31">
        <v>159</v>
      </c>
      <c r="B165" s="107">
        <v>2041223879</v>
      </c>
      <c r="C165" s="33" t="s">
        <v>1017</v>
      </c>
      <c r="D165" s="34" t="s">
        <v>31</v>
      </c>
      <c r="E165" s="32" t="s">
        <v>1018</v>
      </c>
      <c r="F165" s="35" t="s">
        <v>534</v>
      </c>
      <c r="G165" s="36" t="s">
        <v>710</v>
      </c>
      <c r="H165" s="30">
        <f>VLOOKUP(B165,'Dữ liệu TQNM'!$B$7:$F$769,5,0)</f>
        <v>2</v>
      </c>
      <c r="I165" s="30">
        <f>COUNTIF('Nộp báo cáo'!$A$3:$A$1993,'Tổng 24-25'!B165)</f>
        <v>4</v>
      </c>
      <c r="J165" s="91"/>
    </row>
    <row r="166" spans="1:10" ht="18.75" customHeight="1" x14ac:dyDescent="0.3">
      <c r="A166" s="31">
        <v>160</v>
      </c>
      <c r="B166" s="107">
        <v>2041223898</v>
      </c>
      <c r="C166" s="33" t="s">
        <v>1019</v>
      </c>
      <c r="D166" s="34" t="s">
        <v>99</v>
      </c>
      <c r="E166" s="32" t="s">
        <v>1020</v>
      </c>
      <c r="F166" s="35" t="s">
        <v>534</v>
      </c>
      <c r="G166" s="36" t="s">
        <v>710</v>
      </c>
      <c r="H166" s="30">
        <f>VLOOKUP(B166,'Dữ liệu TQNM'!$B$7:$F$769,5,0)</f>
        <v>2</v>
      </c>
      <c r="I166" s="30">
        <f>COUNTIF('Nộp báo cáo'!$A$3:$A$1993,'Tổng 24-25'!B166)</f>
        <v>0</v>
      </c>
      <c r="J166" s="91"/>
    </row>
    <row r="167" spans="1:10" ht="18.75" customHeight="1" x14ac:dyDescent="0.3">
      <c r="A167" s="31">
        <v>161</v>
      </c>
      <c r="B167" s="107">
        <v>2041224000</v>
      </c>
      <c r="C167" s="33" t="s">
        <v>1021</v>
      </c>
      <c r="D167" s="34" t="s">
        <v>147</v>
      </c>
      <c r="E167" s="32" t="s">
        <v>1022</v>
      </c>
      <c r="F167" s="35" t="s">
        <v>534</v>
      </c>
      <c r="G167" s="36" t="s">
        <v>710</v>
      </c>
      <c r="H167" s="30">
        <f>VLOOKUP(B167,'Dữ liệu TQNM'!$B$7:$F$769,5,0)</f>
        <v>1</v>
      </c>
      <c r="I167" s="30">
        <f>COUNTIF('Nộp báo cáo'!$A$3:$A$1993,'Tổng 24-25'!B167)</f>
        <v>0</v>
      </c>
      <c r="J167" s="91"/>
    </row>
    <row r="168" spans="1:10" s="18" customFormat="1" ht="18.75" customHeight="1" x14ac:dyDescent="0.3">
      <c r="A168" s="19">
        <v>162</v>
      </c>
      <c r="B168" s="20">
        <v>2041224072</v>
      </c>
      <c r="C168" s="21" t="s">
        <v>709</v>
      </c>
      <c r="D168" s="22" t="s">
        <v>65</v>
      </c>
      <c r="E168" s="20" t="s">
        <v>365</v>
      </c>
      <c r="F168" s="23" t="s">
        <v>534</v>
      </c>
      <c r="G168" s="30" t="s">
        <v>710</v>
      </c>
      <c r="H168" s="30">
        <f>VLOOKUP(B168,'Dữ liệu TQNM'!$B$7:$F$769,5,0)</f>
        <v>3</v>
      </c>
      <c r="I168" s="30">
        <f>COUNTIF('Nộp báo cáo'!$A$3:$A$1993,'Tổng 24-25'!B168)</f>
        <v>3</v>
      </c>
      <c r="J168" s="91"/>
    </row>
    <row r="169" spans="1:10" s="18" customFormat="1" ht="18.75" customHeight="1" x14ac:dyDescent="0.3">
      <c r="A169" s="19">
        <v>163</v>
      </c>
      <c r="B169" s="20">
        <v>2041224288</v>
      </c>
      <c r="C169" s="21" t="s">
        <v>727</v>
      </c>
      <c r="D169" s="22" t="s">
        <v>142</v>
      </c>
      <c r="E169" s="20" t="s">
        <v>409</v>
      </c>
      <c r="F169" s="23" t="s">
        <v>534</v>
      </c>
      <c r="G169" s="30" t="s">
        <v>710</v>
      </c>
      <c r="H169" s="30">
        <f>VLOOKUP(B169,'Dữ liệu TQNM'!$B$7:$F$769,5,0)</f>
        <v>4</v>
      </c>
      <c r="I169" s="30">
        <f>COUNTIF('Nộp báo cáo'!$A$3:$A$1993,'Tổng 24-25'!B169)</f>
        <v>3</v>
      </c>
      <c r="J169" s="91"/>
    </row>
    <row r="170" spans="1:10" s="18" customFormat="1" ht="18.75" customHeight="1" x14ac:dyDescent="0.3">
      <c r="A170" s="19">
        <v>164</v>
      </c>
      <c r="B170" s="20">
        <v>2041224285</v>
      </c>
      <c r="C170" s="21" t="s">
        <v>717</v>
      </c>
      <c r="D170" s="22" t="s">
        <v>142</v>
      </c>
      <c r="E170" s="20" t="s">
        <v>365</v>
      </c>
      <c r="F170" s="23" t="s">
        <v>534</v>
      </c>
      <c r="G170" s="30" t="s">
        <v>710</v>
      </c>
      <c r="H170" s="30">
        <f>VLOOKUP(B170,'Dữ liệu TQNM'!$B$7:$F$769,5,0)</f>
        <v>3</v>
      </c>
      <c r="I170" s="30">
        <f>COUNTIF('Nộp báo cáo'!$A$3:$A$1993,'Tổng 24-25'!B170)</f>
        <v>2</v>
      </c>
      <c r="J170" s="91"/>
    </row>
    <row r="171" spans="1:10" s="18" customFormat="1" ht="18.75" customHeight="1" x14ac:dyDescent="0.3">
      <c r="A171" s="19">
        <v>165</v>
      </c>
      <c r="B171" s="20">
        <v>2041224874</v>
      </c>
      <c r="C171" s="21" t="s">
        <v>728</v>
      </c>
      <c r="D171" s="22" t="s">
        <v>729</v>
      </c>
      <c r="E171" s="20" t="s">
        <v>1023</v>
      </c>
      <c r="F171" s="23" t="s">
        <v>534</v>
      </c>
      <c r="G171" s="30" t="s">
        <v>710</v>
      </c>
      <c r="H171" s="30">
        <f>VLOOKUP(B171,'Dữ liệu TQNM'!$B$7:$F$769,5,0)</f>
        <v>1</v>
      </c>
      <c r="I171" s="30">
        <f>COUNTIF('Nộp báo cáo'!$A$3:$A$1993,'Tổng 24-25'!B171)</f>
        <v>0</v>
      </c>
      <c r="J171" s="91"/>
    </row>
    <row r="172" spans="1:10" s="18" customFormat="1" ht="18.75" customHeight="1" x14ac:dyDescent="0.3">
      <c r="A172" s="19">
        <v>166</v>
      </c>
      <c r="B172" s="20">
        <v>2041224807</v>
      </c>
      <c r="C172" s="21" t="s">
        <v>732</v>
      </c>
      <c r="D172" s="22" t="s">
        <v>102</v>
      </c>
      <c r="E172" s="20" t="s">
        <v>1024</v>
      </c>
      <c r="F172" s="23" t="s">
        <v>534</v>
      </c>
      <c r="G172" s="30" t="s">
        <v>710</v>
      </c>
      <c r="H172" s="30">
        <f>VLOOKUP(B172,'Dữ liệu TQNM'!$B$7:$F$769,5,0)</f>
        <v>3</v>
      </c>
      <c r="I172" s="30">
        <f>COUNTIF('Nộp báo cáo'!$A$3:$A$1993,'Tổng 24-25'!B172)</f>
        <v>3</v>
      </c>
      <c r="J172" s="91"/>
    </row>
    <row r="173" spans="1:10" s="18" customFormat="1" ht="18.75" customHeight="1" x14ac:dyDescent="0.3">
      <c r="A173" s="19">
        <v>167</v>
      </c>
      <c r="B173" s="20">
        <v>2041224757</v>
      </c>
      <c r="C173" s="21" t="s">
        <v>711</v>
      </c>
      <c r="D173" s="22" t="s">
        <v>712</v>
      </c>
      <c r="E173" s="20" t="s">
        <v>150</v>
      </c>
      <c r="F173" s="23" t="s">
        <v>534</v>
      </c>
      <c r="G173" s="30" t="s">
        <v>710</v>
      </c>
      <c r="H173" s="30">
        <f>VLOOKUP(B173,'Dữ liệu TQNM'!$B$7:$F$769,5,0)</f>
        <v>4</v>
      </c>
      <c r="I173" s="30">
        <f>COUNTIF('Nộp báo cáo'!$A$3:$A$1993,'Tổng 24-25'!B173)</f>
        <v>2</v>
      </c>
      <c r="J173" s="91"/>
    </row>
    <row r="174" spans="1:10" s="18" customFormat="1" ht="18.75" customHeight="1" x14ac:dyDescent="0.3">
      <c r="A174" s="19">
        <v>168</v>
      </c>
      <c r="B174" s="20">
        <v>2041224915</v>
      </c>
      <c r="C174" s="21" t="s">
        <v>718</v>
      </c>
      <c r="D174" s="22" t="s">
        <v>103</v>
      </c>
      <c r="E174" s="20" t="s">
        <v>719</v>
      </c>
      <c r="F174" s="23" t="s">
        <v>534</v>
      </c>
      <c r="G174" s="30" t="s">
        <v>710</v>
      </c>
      <c r="H174" s="30">
        <f>VLOOKUP(B174,'Dữ liệu TQNM'!$B$7:$F$769,5,0)</f>
        <v>4</v>
      </c>
      <c r="I174" s="30">
        <f>COUNTIF('Nộp báo cáo'!$A$3:$A$1993,'Tổng 24-25'!B174)</f>
        <v>3</v>
      </c>
      <c r="J174" s="91"/>
    </row>
    <row r="175" spans="1:10" s="18" customFormat="1" ht="18.75" customHeight="1" x14ac:dyDescent="0.3">
      <c r="A175" s="19">
        <v>169</v>
      </c>
      <c r="B175" s="20">
        <v>2041224976</v>
      </c>
      <c r="C175" s="21" t="s">
        <v>95</v>
      </c>
      <c r="D175" s="22" t="s">
        <v>118</v>
      </c>
      <c r="E175" s="20" t="s">
        <v>705</v>
      </c>
      <c r="F175" s="23" t="s">
        <v>534</v>
      </c>
      <c r="G175" s="30" t="s">
        <v>710</v>
      </c>
      <c r="H175" s="30">
        <f>VLOOKUP(B175,'Dữ liệu TQNM'!$B$7:$F$769,5,0)</f>
        <v>4</v>
      </c>
      <c r="I175" s="30">
        <f>COUNTIF('Nộp báo cáo'!$A$3:$A$1993,'Tổng 24-25'!B175)</f>
        <v>3</v>
      </c>
      <c r="J175" s="91"/>
    </row>
    <row r="176" spans="1:10" ht="18.75" customHeight="1" x14ac:dyDescent="0.3">
      <c r="A176" s="31">
        <v>170</v>
      </c>
      <c r="B176" s="107">
        <v>2041225012</v>
      </c>
      <c r="C176" s="33" t="s">
        <v>1025</v>
      </c>
      <c r="D176" s="34" t="s">
        <v>1026</v>
      </c>
      <c r="E176" s="32" t="s">
        <v>1012</v>
      </c>
      <c r="F176" s="35" t="s">
        <v>534</v>
      </c>
      <c r="G176" s="36" t="s">
        <v>710</v>
      </c>
      <c r="H176" s="30">
        <f>VLOOKUP(B176,'Dữ liệu TQNM'!$B$7:$F$769,5,0)</f>
        <v>3</v>
      </c>
      <c r="I176" s="30">
        <f>COUNTIF('Nộp báo cáo'!$A$3:$A$1993,'Tổng 24-25'!B176)</f>
        <v>3</v>
      </c>
      <c r="J176" s="91"/>
    </row>
    <row r="177" spans="1:10" s="18" customFormat="1" ht="18.75" customHeight="1" x14ac:dyDescent="0.3">
      <c r="A177" s="19">
        <v>171</v>
      </c>
      <c r="B177" s="20">
        <v>2041225021</v>
      </c>
      <c r="C177" s="21" t="s">
        <v>668</v>
      </c>
      <c r="D177" s="22" t="s">
        <v>730</v>
      </c>
      <c r="E177" s="20" t="s">
        <v>1027</v>
      </c>
      <c r="F177" s="23" t="s">
        <v>534</v>
      </c>
      <c r="G177" s="30" t="s">
        <v>710</v>
      </c>
      <c r="H177" s="30">
        <f>VLOOKUP(B177,'Dữ liệu TQNM'!$B$7:$F$769,5,0)</f>
        <v>3</v>
      </c>
      <c r="I177" s="30">
        <f>COUNTIF('Nộp báo cáo'!$A$3:$A$1993,'Tổng 24-25'!B177)</f>
        <v>4</v>
      </c>
      <c r="J177" s="91"/>
    </row>
    <row r="178" spans="1:10" s="18" customFormat="1" ht="18.75" customHeight="1" x14ac:dyDescent="0.3">
      <c r="A178" s="19">
        <v>172</v>
      </c>
      <c r="B178" s="20">
        <v>2041225180</v>
      </c>
      <c r="C178" s="21" t="s">
        <v>721</v>
      </c>
      <c r="D178" s="22" t="s">
        <v>123</v>
      </c>
      <c r="E178" s="20" t="s">
        <v>979</v>
      </c>
      <c r="F178" s="23" t="s">
        <v>534</v>
      </c>
      <c r="G178" s="30" t="s">
        <v>710</v>
      </c>
      <c r="H178" s="30">
        <f>VLOOKUP(B178,'Dữ liệu TQNM'!$B$7:$F$769,5,0)</f>
        <v>4</v>
      </c>
      <c r="I178" s="30">
        <f>COUNTIF('Nộp báo cáo'!$A$3:$A$1993,'Tổng 24-25'!B178)</f>
        <v>3</v>
      </c>
      <c r="J178" s="91"/>
    </row>
    <row r="179" spans="1:10" s="18" customFormat="1" ht="18.75" customHeight="1" x14ac:dyDescent="0.3">
      <c r="A179" s="19">
        <v>173</v>
      </c>
      <c r="B179" s="20">
        <v>2041225178</v>
      </c>
      <c r="C179" s="21" t="s">
        <v>720</v>
      </c>
      <c r="D179" s="22" t="s">
        <v>123</v>
      </c>
      <c r="E179" s="20" t="s">
        <v>954</v>
      </c>
      <c r="F179" s="23" t="s">
        <v>534</v>
      </c>
      <c r="G179" s="30" t="s">
        <v>710</v>
      </c>
      <c r="H179" s="30">
        <f>VLOOKUP(B179,'Dữ liệu TQNM'!$B$7:$F$769,5,0)</f>
        <v>4</v>
      </c>
      <c r="I179" s="30">
        <f>COUNTIF('Nộp báo cáo'!$A$3:$A$1993,'Tổng 24-25'!B179)</f>
        <v>3</v>
      </c>
      <c r="J179" s="91"/>
    </row>
    <row r="180" spans="1:10" ht="18.75" customHeight="1" x14ac:dyDescent="0.3">
      <c r="A180" s="31">
        <v>174</v>
      </c>
      <c r="B180" s="107">
        <v>2041225288</v>
      </c>
      <c r="C180" s="33" t="s">
        <v>1028</v>
      </c>
      <c r="D180" s="34" t="s">
        <v>514</v>
      </c>
      <c r="E180" s="32" t="s">
        <v>1029</v>
      </c>
      <c r="F180" s="35" t="s">
        <v>534</v>
      </c>
      <c r="G180" s="36" t="s">
        <v>710</v>
      </c>
      <c r="H180" s="30">
        <f>VLOOKUP(B180,'Dữ liệu TQNM'!$B$7:$F$769,5,0)</f>
        <v>3</v>
      </c>
      <c r="I180" s="30">
        <f>COUNTIF('Nộp báo cáo'!$A$3:$A$1993,'Tổng 24-25'!B180)</f>
        <v>4</v>
      </c>
      <c r="J180" s="91"/>
    </row>
    <row r="181" spans="1:10" ht="18.75" customHeight="1" x14ac:dyDescent="0.3">
      <c r="A181" s="31">
        <v>175</v>
      </c>
      <c r="B181" s="107">
        <v>2041224357</v>
      </c>
      <c r="C181" s="33" t="s">
        <v>1030</v>
      </c>
      <c r="D181" s="34" t="s">
        <v>54</v>
      </c>
      <c r="E181" s="32" t="s">
        <v>1031</v>
      </c>
      <c r="F181" s="35" t="s">
        <v>534</v>
      </c>
      <c r="G181" s="36" t="s">
        <v>710</v>
      </c>
      <c r="H181" s="30">
        <f>VLOOKUP(B181,'Dữ liệu TQNM'!$B$7:$F$769,5,0)</f>
        <v>2</v>
      </c>
      <c r="I181" s="30">
        <f>COUNTIF('Nộp báo cáo'!$A$3:$A$1993,'Tổng 24-25'!B181)</f>
        <v>1</v>
      </c>
      <c r="J181" s="91"/>
    </row>
    <row r="182" spans="1:10" ht="18.75" customHeight="1" x14ac:dyDescent="0.3">
      <c r="A182" s="31">
        <v>176</v>
      </c>
      <c r="B182" s="107">
        <v>2041224353</v>
      </c>
      <c r="C182" s="33" t="s">
        <v>1032</v>
      </c>
      <c r="D182" s="34" t="s">
        <v>54</v>
      </c>
      <c r="E182" s="32" t="s">
        <v>1033</v>
      </c>
      <c r="F182" s="35" t="s">
        <v>534</v>
      </c>
      <c r="G182" s="36" t="s">
        <v>710</v>
      </c>
      <c r="H182" s="30">
        <f>VLOOKUP(B182,'Dữ liệu TQNM'!$B$7:$F$769,5,0)</f>
        <v>2</v>
      </c>
      <c r="I182" s="30">
        <f>COUNTIF('Nộp báo cáo'!$A$3:$A$1993,'Tổng 24-25'!B182)</f>
        <v>3</v>
      </c>
      <c r="J182" s="91"/>
    </row>
    <row r="183" spans="1:10" ht="18.75" customHeight="1" x14ac:dyDescent="0.3">
      <c r="A183" s="31">
        <v>177</v>
      </c>
      <c r="B183" s="107">
        <v>2041224364</v>
      </c>
      <c r="C183" s="33" t="s">
        <v>1034</v>
      </c>
      <c r="D183" s="34" t="s">
        <v>54</v>
      </c>
      <c r="E183" s="32" t="s">
        <v>1035</v>
      </c>
      <c r="F183" s="35" t="s">
        <v>534</v>
      </c>
      <c r="G183" s="36" t="s">
        <v>710</v>
      </c>
      <c r="H183" s="30">
        <f>VLOOKUP(B183,'Dữ liệu TQNM'!$B$7:$F$769,5,0)</f>
        <v>2</v>
      </c>
      <c r="I183" s="30">
        <f>COUNTIF('Nộp báo cáo'!$A$3:$A$1993,'Tổng 24-25'!B183)</f>
        <v>3</v>
      </c>
      <c r="J183" s="91"/>
    </row>
    <row r="184" spans="1:10" s="18" customFormat="1" ht="18.75" customHeight="1" x14ac:dyDescent="0.3">
      <c r="A184" s="19">
        <v>178</v>
      </c>
      <c r="B184" s="20">
        <v>2041225331</v>
      </c>
      <c r="C184" s="21" t="s">
        <v>490</v>
      </c>
      <c r="D184" s="22" t="s">
        <v>736</v>
      </c>
      <c r="E184" s="20" t="s">
        <v>611</v>
      </c>
      <c r="F184" s="23" t="s">
        <v>534</v>
      </c>
      <c r="G184" s="30" t="s">
        <v>710</v>
      </c>
      <c r="H184" s="30">
        <f>VLOOKUP(B184,'Dữ liệu TQNM'!$B$7:$F$769,5,0)</f>
        <v>2</v>
      </c>
      <c r="I184" s="30">
        <f>COUNTIF('Nộp báo cáo'!$A$3:$A$1993,'Tổng 24-25'!B184)</f>
        <v>3</v>
      </c>
      <c r="J184" s="91"/>
    </row>
    <row r="185" spans="1:10" ht="18.75" customHeight="1" x14ac:dyDescent="0.3">
      <c r="A185" s="31">
        <v>179</v>
      </c>
      <c r="B185" s="107">
        <v>2041225482</v>
      </c>
      <c r="C185" s="33" t="s">
        <v>48</v>
      </c>
      <c r="D185" s="34" t="s">
        <v>168</v>
      </c>
      <c r="E185" s="32" t="s">
        <v>359</v>
      </c>
      <c r="F185" s="35" t="s">
        <v>534</v>
      </c>
      <c r="G185" s="36" t="s">
        <v>710</v>
      </c>
      <c r="H185" s="30">
        <f>VLOOKUP(B185,'Dữ liệu TQNM'!$B$7:$F$769,5,0)</f>
        <v>3</v>
      </c>
      <c r="I185" s="30">
        <f>COUNTIF('Nộp báo cáo'!$A$3:$A$1993,'Tổng 24-25'!B185)</f>
        <v>3</v>
      </c>
      <c r="J185" s="91"/>
    </row>
    <row r="186" spans="1:10" ht="18.75" customHeight="1" x14ac:dyDescent="0.3">
      <c r="A186" s="31">
        <v>180</v>
      </c>
      <c r="B186" s="107">
        <v>2041225486</v>
      </c>
      <c r="C186" s="33" t="s">
        <v>370</v>
      </c>
      <c r="D186" s="34" t="s">
        <v>168</v>
      </c>
      <c r="E186" s="32" t="s">
        <v>1036</v>
      </c>
      <c r="F186" s="35" t="s">
        <v>534</v>
      </c>
      <c r="G186" s="36" t="s">
        <v>710</v>
      </c>
      <c r="H186" s="30">
        <f>VLOOKUP(B186,'Dữ liệu TQNM'!$B$7:$F$769,5,0)</f>
        <v>0</v>
      </c>
      <c r="I186" s="30">
        <f>COUNTIF('Nộp báo cáo'!$A$3:$A$1993,'Tổng 24-25'!B186)</f>
        <v>0</v>
      </c>
      <c r="J186" s="91"/>
    </row>
    <row r="187" spans="1:10" ht="18.75" customHeight="1" x14ac:dyDescent="0.3">
      <c r="A187" s="31">
        <v>181</v>
      </c>
      <c r="B187" s="107">
        <v>2041225588</v>
      </c>
      <c r="C187" s="33" t="s">
        <v>1037</v>
      </c>
      <c r="D187" s="34" t="s">
        <v>115</v>
      </c>
      <c r="E187" s="32" t="s">
        <v>1038</v>
      </c>
      <c r="F187" s="35" t="s">
        <v>534</v>
      </c>
      <c r="G187" s="36" t="s">
        <v>710</v>
      </c>
      <c r="H187" s="30">
        <f>VLOOKUP(B187,'Dữ liệu TQNM'!$B$7:$F$769,5,0)</f>
        <v>2</v>
      </c>
      <c r="I187" s="30">
        <f>COUNTIF('Nộp báo cáo'!$A$3:$A$1993,'Tổng 24-25'!B187)</f>
        <v>3</v>
      </c>
      <c r="J187" s="91"/>
    </row>
    <row r="188" spans="1:10" s="18" customFormat="1" ht="18.75" customHeight="1" x14ac:dyDescent="0.3">
      <c r="A188" s="19">
        <v>182</v>
      </c>
      <c r="B188" s="20">
        <v>2041225645</v>
      </c>
      <c r="C188" s="21" t="s">
        <v>713</v>
      </c>
      <c r="D188" s="22" t="s">
        <v>714</v>
      </c>
      <c r="E188" s="20" t="s">
        <v>715</v>
      </c>
      <c r="F188" s="23" t="s">
        <v>534</v>
      </c>
      <c r="G188" s="30" t="s">
        <v>710</v>
      </c>
      <c r="H188" s="30">
        <f>VLOOKUP(B188,'Dữ liệu TQNM'!$B$7:$F$769,5,0)</f>
        <v>3</v>
      </c>
      <c r="I188" s="30">
        <f>COUNTIF('Nộp báo cáo'!$A$3:$A$1993,'Tổng 24-25'!B188)</f>
        <v>3</v>
      </c>
      <c r="J188" s="91"/>
    </row>
    <row r="189" spans="1:10" ht="18.75" customHeight="1" x14ac:dyDescent="0.3">
      <c r="A189" s="31">
        <v>183</v>
      </c>
      <c r="B189" s="107">
        <v>2041225654</v>
      </c>
      <c r="C189" s="33" t="s">
        <v>836</v>
      </c>
      <c r="D189" s="34" t="s">
        <v>714</v>
      </c>
      <c r="E189" s="32" t="s">
        <v>508</v>
      </c>
      <c r="F189" s="35" t="s">
        <v>534</v>
      </c>
      <c r="G189" s="36" t="s">
        <v>710</v>
      </c>
      <c r="H189" s="30">
        <f>VLOOKUP(B189,'Dữ liệu TQNM'!$B$7:$F$769,5,0)</f>
        <v>2</v>
      </c>
      <c r="I189" s="30">
        <f>COUNTIF('Nộp báo cáo'!$A$3:$A$1993,'Tổng 24-25'!B189)</f>
        <v>4</v>
      </c>
      <c r="J189" s="91"/>
    </row>
    <row r="190" spans="1:10" s="18" customFormat="1" ht="18.75" customHeight="1" x14ac:dyDescent="0.3">
      <c r="A190" s="19">
        <v>184</v>
      </c>
      <c r="B190" s="20">
        <v>2041225705</v>
      </c>
      <c r="C190" s="21" t="s">
        <v>436</v>
      </c>
      <c r="D190" s="22" t="s">
        <v>305</v>
      </c>
      <c r="E190" s="20" t="s">
        <v>603</v>
      </c>
      <c r="F190" s="23" t="s">
        <v>534</v>
      </c>
      <c r="G190" s="30" t="s">
        <v>710</v>
      </c>
      <c r="H190" s="30">
        <f>VLOOKUP(B190,'Dữ liệu TQNM'!$B$7:$F$769,5,0)</f>
        <v>4</v>
      </c>
      <c r="I190" s="30">
        <f>COUNTIF('Nộp báo cáo'!$A$3:$A$1993,'Tổng 24-25'!B190)</f>
        <v>2</v>
      </c>
      <c r="J190" s="91"/>
    </row>
    <row r="191" spans="1:10" s="18" customFormat="1" ht="18.75" customHeight="1" x14ac:dyDescent="0.3">
      <c r="A191" s="19">
        <v>185</v>
      </c>
      <c r="B191" s="20">
        <v>2041225946</v>
      </c>
      <c r="C191" s="21" t="s">
        <v>733</v>
      </c>
      <c r="D191" s="22" t="s">
        <v>56</v>
      </c>
      <c r="E191" s="20" t="s">
        <v>734</v>
      </c>
      <c r="F191" s="23" t="s">
        <v>534</v>
      </c>
      <c r="G191" s="30" t="s">
        <v>710</v>
      </c>
      <c r="H191" s="30">
        <f>VLOOKUP(B191,'Dữ liệu TQNM'!$B$7:$F$769,5,0)</f>
        <v>3</v>
      </c>
      <c r="I191" s="30">
        <f>COUNTIF('Nộp báo cáo'!$A$3:$A$1993,'Tổng 24-25'!B191)</f>
        <v>3</v>
      </c>
      <c r="J191" s="91"/>
    </row>
    <row r="192" spans="1:10" s="18" customFormat="1" ht="18.75" customHeight="1" x14ac:dyDescent="0.3">
      <c r="A192" s="19">
        <v>186</v>
      </c>
      <c r="B192" s="20">
        <v>2041226029</v>
      </c>
      <c r="C192" s="21" t="s">
        <v>731</v>
      </c>
      <c r="D192" s="22" t="s">
        <v>56</v>
      </c>
      <c r="E192" s="20" t="s">
        <v>651</v>
      </c>
      <c r="F192" s="23" t="s">
        <v>534</v>
      </c>
      <c r="G192" s="30" t="s">
        <v>710</v>
      </c>
      <c r="H192" s="30">
        <f>VLOOKUP(B192,'Dữ liệu TQNM'!$B$7:$F$769,5,0)</f>
        <v>2</v>
      </c>
      <c r="I192" s="30">
        <f>COUNTIF('Nộp báo cáo'!$A$3:$A$1993,'Tổng 24-25'!B192)</f>
        <v>2</v>
      </c>
      <c r="J192" s="91"/>
    </row>
    <row r="193" spans="1:10" ht="18.75" customHeight="1" x14ac:dyDescent="0.3">
      <c r="A193" s="31">
        <v>187</v>
      </c>
      <c r="B193" s="107">
        <v>2041226097</v>
      </c>
      <c r="C193" s="33" t="s">
        <v>1039</v>
      </c>
      <c r="D193" s="34" t="s">
        <v>552</v>
      </c>
      <c r="E193" s="32" t="s">
        <v>1040</v>
      </c>
      <c r="F193" s="35" t="s">
        <v>534</v>
      </c>
      <c r="G193" s="36" t="s">
        <v>710</v>
      </c>
      <c r="H193" s="30">
        <f>VLOOKUP(B193,'Dữ liệu TQNM'!$B$7:$F$769,5,0)</f>
        <v>3</v>
      </c>
      <c r="I193" s="30">
        <f>COUNTIF('Nộp báo cáo'!$A$3:$A$1993,'Tổng 24-25'!B193)</f>
        <v>4</v>
      </c>
      <c r="J193" s="91"/>
    </row>
    <row r="194" spans="1:10" ht="18.75" customHeight="1" x14ac:dyDescent="0.3">
      <c r="A194" s="31">
        <v>188</v>
      </c>
      <c r="B194" s="107">
        <v>2041220564</v>
      </c>
      <c r="C194" s="33" t="s">
        <v>1041</v>
      </c>
      <c r="D194" s="34" t="s">
        <v>1042</v>
      </c>
      <c r="E194" s="32" t="s">
        <v>532</v>
      </c>
      <c r="F194" s="35" t="s">
        <v>132</v>
      </c>
      <c r="G194" s="36" t="s">
        <v>710</v>
      </c>
      <c r="H194" s="30">
        <f>VLOOKUP(B194,'Dữ liệu TQNM'!$B$7:$F$769,5,0)</f>
        <v>2</v>
      </c>
      <c r="I194" s="30">
        <f>COUNTIF('Nộp báo cáo'!$A$3:$A$1993,'Tổng 24-25'!B194)</f>
        <v>3</v>
      </c>
      <c r="J194" s="91"/>
    </row>
    <row r="195" spans="1:10" ht="18.75" customHeight="1" x14ac:dyDescent="0.3">
      <c r="A195" s="31">
        <v>189</v>
      </c>
      <c r="B195" s="107">
        <v>2041220439</v>
      </c>
      <c r="C195" s="33" t="s">
        <v>1043</v>
      </c>
      <c r="D195" s="34" t="s">
        <v>38</v>
      </c>
      <c r="E195" s="32" t="s">
        <v>950</v>
      </c>
      <c r="F195" s="35" t="s">
        <v>132</v>
      </c>
      <c r="G195" s="36" t="s">
        <v>710</v>
      </c>
      <c r="H195" s="30">
        <f>VLOOKUP(B195,'Dữ liệu TQNM'!$B$7:$F$769,5,0)</f>
        <v>4</v>
      </c>
      <c r="I195" s="30">
        <f>COUNTIF('Nộp báo cáo'!$A$3:$A$1993,'Tổng 24-25'!B195)</f>
        <v>3</v>
      </c>
      <c r="J195" s="91"/>
    </row>
    <row r="196" spans="1:10" s="18" customFormat="1" ht="18.75" customHeight="1" x14ac:dyDescent="0.3">
      <c r="A196" s="19">
        <v>190</v>
      </c>
      <c r="B196" s="20">
        <v>2041220710</v>
      </c>
      <c r="C196" s="21" t="s">
        <v>745</v>
      </c>
      <c r="D196" s="22" t="s">
        <v>73</v>
      </c>
      <c r="E196" s="20" t="s">
        <v>1044</v>
      </c>
      <c r="F196" s="23" t="s">
        <v>132</v>
      </c>
      <c r="G196" s="30" t="s">
        <v>710</v>
      </c>
      <c r="H196" s="30">
        <f>VLOOKUP(B196,'Dữ liệu TQNM'!$B$7:$F$769,5,0)</f>
        <v>2</v>
      </c>
      <c r="I196" s="30">
        <f>COUNTIF('Nộp báo cáo'!$A$3:$A$1993,'Tổng 24-25'!B196)</f>
        <v>2</v>
      </c>
      <c r="J196" s="91"/>
    </row>
    <row r="197" spans="1:10" ht="18.75" customHeight="1" x14ac:dyDescent="0.3">
      <c r="A197" s="31">
        <v>191</v>
      </c>
      <c r="B197" s="107">
        <v>2041220767</v>
      </c>
      <c r="C197" s="33" t="s">
        <v>1045</v>
      </c>
      <c r="D197" s="34" t="s">
        <v>84</v>
      </c>
      <c r="E197" s="32" t="s">
        <v>1046</v>
      </c>
      <c r="F197" s="35" t="s">
        <v>132</v>
      </c>
      <c r="G197" s="36" t="s">
        <v>710</v>
      </c>
      <c r="H197" s="30">
        <f>VLOOKUP(B197,'Dữ liệu TQNM'!$B$7:$F$769,5,0)</f>
        <v>2</v>
      </c>
      <c r="I197" s="30">
        <f>COUNTIF('Nộp báo cáo'!$A$3:$A$1993,'Tổng 24-25'!B197)</f>
        <v>0</v>
      </c>
      <c r="J197" s="91"/>
    </row>
    <row r="198" spans="1:10" ht="18.75" customHeight="1" x14ac:dyDescent="0.3">
      <c r="A198" s="31">
        <v>192</v>
      </c>
      <c r="B198" s="107">
        <v>2041221131</v>
      </c>
      <c r="C198" s="33" t="s">
        <v>1047</v>
      </c>
      <c r="D198" s="34" t="s">
        <v>85</v>
      </c>
      <c r="E198" s="32" t="s">
        <v>950</v>
      </c>
      <c r="F198" s="35" t="s">
        <v>132</v>
      </c>
      <c r="G198" s="36" t="s">
        <v>710</v>
      </c>
      <c r="H198" s="30">
        <f>VLOOKUP(B198,'Dữ liệu TQNM'!$B$7:$F$769,5,0)</f>
        <v>0</v>
      </c>
      <c r="I198" s="30">
        <f>COUNTIF('Nộp báo cáo'!$A$3:$A$1993,'Tổng 24-25'!B198)</f>
        <v>0</v>
      </c>
      <c r="J198" s="91"/>
    </row>
    <row r="199" spans="1:10" s="18" customFormat="1" ht="18.75" customHeight="1" x14ac:dyDescent="0.3">
      <c r="A199" s="19">
        <v>193</v>
      </c>
      <c r="B199" s="20">
        <v>2041221251</v>
      </c>
      <c r="C199" s="21" t="s">
        <v>89</v>
      </c>
      <c r="D199" s="22" t="s">
        <v>172</v>
      </c>
      <c r="E199" s="20" t="s">
        <v>464</v>
      </c>
      <c r="F199" s="23" t="s">
        <v>132</v>
      </c>
      <c r="G199" s="30" t="s">
        <v>710</v>
      </c>
      <c r="H199" s="30">
        <f>VLOOKUP(B199,'Dữ liệu TQNM'!$B$7:$F$769,5,0)</f>
        <v>4</v>
      </c>
      <c r="I199" s="30">
        <f>COUNTIF('Nộp báo cáo'!$A$3:$A$1993,'Tổng 24-25'!B199)</f>
        <v>2</v>
      </c>
      <c r="J199" s="91"/>
    </row>
    <row r="200" spans="1:10" ht="18.75" customHeight="1" x14ac:dyDescent="0.3">
      <c r="A200" s="31">
        <v>194</v>
      </c>
      <c r="B200" s="107">
        <v>2041221426</v>
      </c>
      <c r="C200" s="33" t="s">
        <v>366</v>
      </c>
      <c r="D200" s="34" t="s">
        <v>88</v>
      </c>
      <c r="E200" s="32" t="s">
        <v>396</v>
      </c>
      <c r="F200" s="35" t="s">
        <v>132</v>
      </c>
      <c r="G200" s="36" t="s">
        <v>710</v>
      </c>
      <c r="H200" s="30">
        <f>VLOOKUP(B200,'Dữ liệu TQNM'!$B$7:$F$769,5,0)</f>
        <v>3</v>
      </c>
      <c r="I200" s="30">
        <f>COUNTIF('Nộp báo cáo'!$A$3:$A$1993,'Tổng 24-25'!B200)</f>
        <v>3</v>
      </c>
      <c r="J200" s="91"/>
    </row>
    <row r="201" spans="1:10" ht="18.75" customHeight="1" x14ac:dyDescent="0.3">
      <c r="A201" s="31">
        <v>195</v>
      </c>
      <c r="B201" s="107">
        <v>2041221416</v>
      </c>
      <c r="C201" s="33" t="s">
        <v>721</v>
      </c>
      <c r="D201" s="34" t="s">
        <v>88</v>
      </c>
      <c r="E201" s="32" t="s">
        <v>1048</v>
      </c>
      <c r="F201" s="35" t="s">
        <v>132</v>
      </c>
      <c r="G201" s="36" t="s">
        <v>710</v>
      </c>
      <c r="H201" s="30">
        <f>VLOOKUP(B201,'Dữ liệu TQNM'!$B$7:$F$769,5,0)</f>
        <v>2</v>
      </c>
      <c r="I201" s="30">
        <f>COUNTIF('Nộp báo cáo'!$A$3:$A$1993,'Tổng 24-25'!B201)</f>
        <v>3</v>
      </c>
      <c r="J201" s="91"/>
    </row>
    <row r="202" spans="1:10" s="18" customFormat="1" ht="18.75" customHeight="1" x14ac:dyDescent="0.3">
      <c r="A202" s="19">
        <v>196</v>
      </c>
      <c r="B202" s="20">
        <v>2041226153</v>
      </c>
      <c r="C202" s="21" t="s">
        <v>751</v>
      </c>
      <c r="D202" s="22" t="s">
        <v>81</v>
      </c>
      <c r="E202" s="20" t="s">
        <v>382</v>
      </c>
      <c r="F202" s="23" t="s">
        <v>132</v>
      </c>
      <c r="G202" s="30" t="s">
        <v>710</v>
      </c>
      <c r="H202" s="30">
        <f>VLOOKUP(B202,'Dữ liệu TQNM'!$B$7:$F$769,5,0)</f>
        <v>2</v>
      </c>
      <c r="I202" s="30">
        <f>COUNTIF('Nộp báo cáo'!$A$3:$A$1993,'Tổng 24-25'!B202)</f>
        <v>1</v>
      </c>
      <c r="J202" s="91"/>
    </row>
    <row r="203" spans="1:10" ht="18.75" customHeight="1" x14ac:dyDescent="0.3">
      <c r="A203" s="31">
        <v>197</v>
      </c>
      <c r="B203" s="107">
        <v>2041221818</v>
      </c>
      <c r="C203" s="33" t="s">
        <v>1049</v>
      </c>
      <c r="D203" s="34" t="s">
        <v>173</v>
      </c>
      <c r="E203" s="32" t="s">
        <v>215</v>
      </c>
      <c r="F203" s="35" t="s">
        <v>132</v>
      </c>
      <c r="G203" s="36" t="s">
        <v>710</v>
      </c>
      <c r="H203" s="30">
        <f>VLOOKUP(B203,'Dữ liệu TQNM'!$B$7:$F$769,5,0)</f>
        <v>2</v>
      </c>
      <c r="I203" s="30">
        <f>COUNTIF('Nộp báo cáo'!$A$3:$A$1993,'Tổng 24-25'!B203)</f>
        <v>3</v>
      </c>
      <c r="J203" s="91"/>
    </row>
    <row r="204" spans="1:10" s="18" customFormat="1" ht="18.75" customHeight="1" x14ac:dyDescent="0.3">
      <c r="A204" s="19">
        <v>198</v>
      </c>
      <c r="B204" s="20">
        <v>2041221756</v>
      </c>
      <c r="C204" s="21" t="s">
        <v>746</v>
      </c>
      <c r="D204" s="22" t="s">
        <v>43</v>
      </c>
      <c r="E204" s="20" t="s">
        <v>488</v>
      </c>
      <c r="F204" s="23" t="s">
        <v>132</v>
      </c>
      <c r="G204" s="30" t="s">
        <v>710</v>
      </c>
      <c r="H204" s="30">
        <f>VLOOKUP(B204,'Dữ liệu TQNM'!$B$7:$F$769,5,0)</f>
        <v>3</v>
      </c>
      <c r="I204" s="30">
        <f>COUNTIF('Nộp báo cáo'!$A$3:$A$1993,'Tổng 24-25'!B204)</f>
        <v>3</v>
      </c>
      <c r="J204" s="91"/>
    </row>
    <row r="205" spans="1:10" ht="18.75" customHeight="1" x14ac:dyDescent="0.3">
      <c r="A205" s="31">
        <v>199</v>
      </c>
      <c r="B205" s="107">
        <v>2041221993</v>
      </c>
      <c r="C205" s="33" t="s">
        <v>1050</v>
      </c>
      <c r="D205" s="34" t="s">
        <v>47</v>
      </c>
      <c r="E205" s="32" t="s">
        <v>983</v>
      </c>
      <c r="F205" s="35" t="s">
        <v>132</v>
      </c>
      <c r="G205" s="36" t="s">
        <v>710</v>
      </c>
      <c r="H205" s="30">
        <f>VLOOKUP(B205,'Dữ liệu TQNM'!$B$7:$F$769,5,0)</f>
        <v>2</v>
      </c>
      <c r="I205" s="30">
        <f>COUNTIF('Nộp báo cáo'!$A$3:$A$1993,'Tổng 24-25'!B205)</f>
        <v>3</v>
      </c>
      <c r="J205" s="91"/>
    </row>
    <row r="206" spans="1:10" s="18" customFormat="1" ht="18.75" customHeight="1" x14ac:dyDescent="0.3">
      <c r="A206" s="19">
        <v>200</v>
      </c>
      <c r="B206" s="20">
        <v>2041222131</v>
      </c>
      <c r="C206" s="21" t="s">
        <v>87</v>
      </c>
      <c r="D206" s="22" t="s">
        <v>747</v>
      </c>
      <c r="E206" s="20" t="s">
        <v>748</v>
      </c>
      <c r="F206" s="23" t="s">
        <v>132</v>
      </c>
      <c r="G206" s="30" t="s">
        <v>710</v>
      </c>
      <c r="H206" s="30">
        <f>VLOOKUP(B206,'Dữ liệu TQNM'!$B$7:$F$769,5,0)</f>
        <v>2</v>
      </c>
      <c r="I206" s="30">
        <f>COUNTIF('Nộp báo cáo'!$A$3:$A$1993,'Tổng 24-25'!B206)</f>
        <v>3</v>
      </c>
      <c r="J206" s="91"/>
    </row>
    <row r="207" spans="1:10" s="18" customFormat="1" ht="18.75" customHeight="1" x14ac:dyDescent="0.3">
      <c r="A207" s="19">
        <v>201</v>
      </c>
      <c r="B207" s="20">
        <v>2041222093</v>
      </c>
      <c r="C207" s="21" t="s">
        <v>752</v>
      </c>
      <c r="D207" s="22" t="s">
        <v>747</v>
      </c>
      <c r="E207" s="20" t="s">
        <v>753</v>
      </c>
      <c r="F207" s="23" t="s">
        <v>132</v>
      </c>
      <c r="G207" s="30" t="s">
        <v>710</v>
      </c>
      <c r="H207" s="30">
        <f>VLOOKUP(B207,'Dữ liệu TQNM'!$B$7:$F$769,5,0)</f>
        <v>3</v>
      </c>
      <c r="I207" s="30">
        <f>COUNTIF('Nộp báo cáo'!$A$3:$A$1993,'Tổng 24-25'!B207)</f>
        <v>3</v>
      </c>
      <c r="J207" s="91"/>
    </row>
    <row r="208" spans="1:10" s="18" customFormat="1" ht="18.75" customHeight="1" x14ac:dyDescent="0.3">
      <c r="A208" s="19">
        <v>202</v>
      </c>
      <c r="B208" s="20">
        <v>2041222174</v>
      </c>
      <c r="C208" s="21" t="s">
        <v>519</v>
      </c>
      <c r="D208" s="22" t="s">
        <v>687</v>
      </c>
      <c r="E208" s="20" t="s">
        <v>391</v>
      </c>
      <c r="F208" s="23" t="s">
        <v>132</v>
      </c>
      <c r="G208" s="30" t="s">
        <v>710</v>
      </c>
      <c r="H208" s="30">
        <f>VLOOKUP(B208,'Dữ liệu TQNM'!$B$7:$F$769,5,0)</f>
        <v>3</v>
      </c>
      <c r="I208" s="30">
        <f>COUNTIF('Nộp báo cáo'!$A$3:$A$1993,'Tổng 24-25'!B208)</f>
        <v>3</v>
      </c>
      <c r="J208" s="91"/>
    </row>
    <row r="209" spans="1:10" ht="18.75" customHeight="1" x14ac:dyDescent="0.3">
      <c r="A209" s="31">
        <v>203</v>
      </c>
      <c r="B209" s="107">
        <v>2041222189</v>
      </c>
      <c r="C209" s="33" t="s">
        <v>1051</v>
      </c>
      <c r="D209" s="34" t="s">
        <v>400</v>
      </c>
      <c r="E209" s="32" t="s">
        <v>1052</v>
      </c>
      <c r="F209" s="35" t="s">
        <v>132</v>
      </c>
      <c r="G209" s="36" t="s">
        <v>710</v>
      </c>
      <c r="H209" s="30">
        <f>VLOOKUP(B209,'Dữ liệu TQNM'!$B$7:$F$769,5,0)</f>
        <v>1</v>
      </c>
      <c r="I209" s="30">
        <f>COUNTIF('Nộp báo cáo'!$A$3:$A$1993,'Tổng 24-25'!B209)</f>
        <v>1</v>
      </c>
      <c r="J209" s="91"/>
    </row>
    <row r="210" spans="1:10" s="18" customFormat="1" ht="18.75" customHeight="1" x14ac:dyDescent="0.3">
      <c r="A210" s="19">
        <v>204</v>
      </c>
      <c r="B210" s="20">
        <v>2041222385</v>
      </c>
      <c r="C210" s="21" t="s">
        <v>737</v>
      </c>
      <c r="D210" s="22" t="s">
        <v>29</v>
      </c>
      <c r="E210" s="20" t="s">
        <v>692</v>
      </c>
      <c r="F210" s="23" t="s">
        <v>132</v>
      </c>
      <c r="G210" s="30" t="s">
        <v>710</v>
      </c>
      <c r="H210" s="30">
        <f>VLOOKUP(B210,'Dữ liệu TQNM'!$B$7:$F$769,5,0)</f>
        <v>3</v>
      </c>
      <c r="I210" s="30">
        <f>COUNTIF('Nộp báo cáo'!$A$3:$A$1993,'Tổng 24-25'!B210)</f>
        <v>4</v>
      </c>
      <c r="J210" s="91"/>
    </row>
    <row r="211" spans="1:10" s="18" customFormat="1" ht="18.75" customHeight="1" x14ac:dyDescent="0.3">
      <c r="A211" s="19">
        <v>205</v>
      </c>
      <c r="B211" s="20">
        <v>2041222462</v>
      </c>
      <c r="C211" s="21" t="s">
        <v>755</v>
      </c>
      <c r="D211" s="22" t="s">
        <v>58</v>
      </c>
      <c r="E211" s="20" t="s">
        <v>756</v>
      </c>
      <c r="F211" s="23" t="s">
        <v>132</v>
      </c>
      <c r="G211" s="30" t="s">
        <v>710</v>
      </c>
      <c r="H211" s="30">
        <f>VLOOKUP(B211,'Dữ liệu TQNM'!$B$7:$F$769,5,0)</f>
        <v>2</v>
      </c>
      <c r="I211" s="30">
        <f>COUNTIF('Nộp báo cáo'!$A$3:$A$1993,'Tổng 24-25'!B211)</f>
        <v>3</v>
      </c>
      <c r="J211" s="91"/>
    </row>
    <row r="212" spans="1:10" s="18" customFormat="1" ht="18.75" customHeight="1" x14ac:dyDescent="0.3">
      <c r="A212" s="19">
        <v>206</v>
      </c>
      <c r="B212" s="20">
        <v>2041222645</v>
      </c>
      <c r="C212" s="21" t="s">
        <v>738</v>
      </c>
      <c r="D212" s="22" t="s">
        <v>239</v>
      </c>
      <c r="E212" s="20" t="s">
        <v>285</v>
      </c>
      <c r="F212" s="23" t="s">
        <v>132</v>
      </c>
      <c r="G212" s="30" t="s">
        <v>710</v>
      </c>
      <c r="H212" s="30">
        <f>VLOOKUP(B212,'Dữ liệu TQNM'!$B$7:$F$769,5,0)</f>
        <v>3</v>
      </c>
      <c r="I212" s="30">
        <f>COUNTIF('Nộp báo cáo'!$A$3:$A$1993,'Tổng 24-25'!B212)</f>
        <v>3</v>
      </c>
      <c r="J212" s="91"/>
    </row>
    <row r="213" spans="1:10" s="18" customFormat="1" ht="18.75" customHeight="1" x14ac:dyDescent="0.3">
      <c r="A213" s="19">
        <v>207</v>
      </c>
      <c r="B213" s="20">
        <v>2041222717</v>
      </c>
      <c r="C213" s="21" t="s">
        <v>739</v>
      </c>
      <c r="D213" s="22" t="s">
        <v>91</v>
      </c>
      <c r="E213" s="20" t="s">
        <v>740</v>
      </c>
      <c r="F213" s="23" t="s">
        <v>132</v>
      </c>
      <c r="G213" s="30" t="s">
        <v>710</v>
      </c>
      <c r="H213" s="30">
        <f>VLOOKUP(B213,'Dữ liệu TQNM'!$B$7:$F$769,5,0)</f>
        <v>2</v>
      </c>
      <c r="I213" s="30">
        <f>COUNTIF('Nộp báo cáo'!$A$3:$A$1993,'Tổng 24-25'!B213)</f>
        <v>3</v>
      </c>
      <c r="J213" s="91"/>
    </row>
    <row r="214" spans="1:10" s="18" customFormat="1" ht="18.75" customHeight="1" x14ac:dyDescent="0.3">
      <c r="A214" s="19">
        <v>208</v>
      </c>
      <c r="B214" s="20">
        <v>2041222691</v>
      </c>
      <c r="C214" s="21" t="s">
        <v>754</v>
      </c>
      <c r="D214" s="22" t="s">
        <v>91</v>
      </c>
      <c r="E214" s="20" t="s">
        <v>978</v>
      </c>
      <c r="F214" s="23" t="s">
        <v>132</v>
      </c>
      <c r="G214" s="30" t="s">
        <v>710</v>
      </c>
      <c r="H214" s="30">
        <f>VLOOKUP(B214,'Dữ liệu TQNM'!$B$7:$F$769,5,0)</f>
        <v>2</v>
      </c>
      <c r="I214" s="30">
        <f>COUNTIF('Nộp báo cáo'!$A$3:$A$1993,'Tổng 24-25'!B214)</f>
        <v>3</v>
      </c>
      <c r="J214" s="91"/>
    </row>
    <row r="215" spans="1:10" s="18" customFormat="1" ht="18.75" customHeight="1" x14ac:dyDescent="0.3">
      <c r="A215" s="19">
        <v>209</v>
      </c>
      <c r="B215" s="20">
        <v>2041222747</v>
      </c>
      <c r="C215" s="21" t="s">
        <v>741</v>
      </c>
      <c r="D215" s="22" t="s">
        <v>742</v>
      </c>
      <c r="E215" s="20" t="s">
        <v>282</v>
      </c>
      <c r="F215" s="23" t="s">
        <v>132</v>
      </c>
      <c r="G215" s="30" t="s">
        <v>710</v>
      </c>
      <c r="H215" s="30">
        <f>VLOOKUP(B215,'Dữ liệu TQNM'!$B$7:$F$769,5,0)</f>
        <v>2</v>
      </c>
      <c r="I215" s="30">
        <f>COUNTIF('Nộp báo cáo'!$A$3:$A$1993,'Tổng 24-25'!B215)</f>
        <v>3</v>
      </c>
      <c r="J215" s="91"/>
    </row>
    <row r="216" spans="1:10" ht="18.75" customHeight="1" x14ac:dyDescent="0.3">
      <c r="A216" s="31">
        <v>210</v>
      </c>
      <c r="B216" s="107">
        <v>2041222925</v>
      </c>
      <c r="C216" s="33" t="s">
        <v>1053</v>
      </c>
      <c r="D216" s="34" t="s">
        <v>92</v>
      </c>
      <c r="E216" s="32" t="s">
        <v>858</v>
      </c>
      <c r="F216" s="35" t="s">
        <v>132</v>
      </c>
      <c r="G216" s="36" t="s">
        <v>710</v>
      </c>
      <c r="H216" s="30">
        <f>VLOOKUP(B216,'Dữ liệu TQNM'!$B$7:$F$769,5,0)</f>
        <v>1</v>
      </c>
      <c r="I216" s="30">
        <f>COUNTIF('Nộp báo cáo'!$A$3:$A$1993,'Tổng 24-25'!B216)</f>
        <v>0</v>
      </c>
      <c r="J216" s="91"/>
    </row>
    <row r="217" spans="1:10" s="18" customFormat="1" ht="18.75" customHeight="1" x14ac:dyDescent="0.3">
      <c r="A217" s="19">
        <v>211</v>
      </c>
      <c r="B217" s="20">
        <v>2041223007</v>
      </c>
      <c r="C217" s="21" t="s">
        <v>744</v>
      </c>
      <c r="D217" s="22" t="s">
        <v>241</v>
      </c>
      <c r="E217" s="20" t="s">
        <v>526</v>
      </c>
      <c r="F217" s="23" t="s">
        <v>132</v>
      </c>
      <c r="G217" s="30" t="s">
        <v>710</v>
      </c>
      <c r="H217" s="30">
        <f>VLOOKUP(B217,'Dữ liệu TQNM'!$B$7:$F$769,5,0)</f>
        <v>3</v>
      </c>
      <c r="I217" s="30">
        <f>COUNTIF('Nộp báo cáo'!$A$3:$A$1993,'Tổng 24-25'!B217)</f>
        <v>1</v>
      </c>
      <c r="J217" s="91"/>
    </row>
    <row r="218" spans="1:10" s="18" customFormat="1" ht="18.75" customHeight="1" x14ac:dyDescent="0.3">
      <c r="A218" s="19">
        <v>212</v>
      </c>
      <c r="B218" s="20">
        <v>2041222986</v>
      </c>
      <c r="C218" s="21" t="s">
        <v>743</v>
      </c>
      <c r="D218" s="22" t="s">
        <v>241</v>
      </c>
      <c r="E218" s="20" t="s">
        <v>1054</v>
      </c>
      <c r="F218" s="23" t="s">
        <v>132</v>
      </c>
      <c r="G218" s="30" t="s">
        <v>710</v>
      </c>
      <c r="H218" s="30">
        <f>VLOOKUP(B218,'Dữ liệu TQNM'!$B$7:$F$769,5,0)</f>
        <v>2</v>
      </c>
      <c r="I218" s="30">
        <f>COUNTIF('Nộp báo cáo'!$A$3:$A$1993,'Tổng 24-25'!B218)</f>
        <v>4</v>
      </c>
      <c r="J218" s="91"/>
    </row>
    <row r="219" spans="1:10" ht="18.75" customHeight="1" x14ac:dyDescent="0.3">
      <c r="A219" s="31">
        <v>213</v>
      </c>
      <c r="B219" s="107">
        <v>2041223058</v>
      </c>
      <c r="C219" s="33" t="s">
        <v>1055</v>
      </c>
      <c r="D219" s="34" t="s">
        <v>51</v>
      </c>
      <c r="E219" s="32" t="s">
        <v>454</v>
      </c>
      <c r="F219" s="35" t="s">
        <v>132</v>
      </c>
      <c r="G219" s="36" t="s">
        <v>710</v>
      </c>
      <c r="H219" s="30">
        <f>VLOOKUP(B219,'Dữ liệu TQNM'!$B$7:$F$769,5,0)</f>
        <v>1</v>
      </c>
      <c r="I219" s="30">
        <f>COUNTIF('Nộp báo cáo'!$A$3:$A$1993,'Tổng 24-25'!B219)</f>
        <v>0</v>
      </c>
      <c r="J219" s="91"/>
    </row>
    <row r="220" spans="1:10" ht="18.75" customHeight="1" x14ac:dyDescent="0.3">
      <c r="A220" s="31">
        <v>214</v>
      </c>
      <c r="B220" s="107">
        <v>2041223153</v>
      </c>
      <c r="C220" s="33" t="s">
        <v>1056</v>
      </c>
      <c r="D220" s="34" t="s">
        <v>205</v>
      </c>
      <c r="E220" s="32" t="s">
        <v>347</v>
      </c>
      <c r="F220" s="35" t="s">
        <v>132</v>
      </c>
      <c r="G220" s="36" t="s">
        <v>710</v>
      </c>
      <c r="H220" s="30">
        <f>VLOOKUP(B220,'Dữ liệu TQNM'!$B$7:$F$769,5,0)</f>
        <v>2</v>
      </c>
      <c r="I220" s="30">
        <f>COUNTIF('Nộp báo cáo'!$A$3:$A$1993,'Tổng 24-25'!B220)</f>
        <v>2</v>
      </c>
      <c r="J220" s="91"/>
    </row>
    <row r="221" spans="1:10" s="18" customFormat="1" ht="18.75" customHeight="1" x14ac:dyDescent="0.3">
      <c r="A221" s="19">
        <v>215</v>
      </c>
      <c r="B221" s="20">
        <v>2041223868</v>
      </c>
      <c r="C221" s="21" t="s">
        <v>95</v>
      </c>
      <c r="D221" s="22" t="s">
        <v>31</v>
      </c>
      <c r="E221" s="20" t="s">
        <v>564</v>
      </c>
      <c r="F221" s="23" t="s">
        <v>132</v>
      </c>
      <c r="G221" s="30" t="s">
        <v>710</v>
      </c>
      <c r="H221" s="30">
        <f>VLOOKUP(B221,'Dữ liệu TQNM'!$B$7:$F$769,5,0)</f>
        <v>2</v>
      </c>
      <c r="I221" s="30">
        <f>COUNTIF('Nộp báo cáo'!$A$3:$A$1993,'Tổng 24-25'!B221)</f>
        <v>2</v>
      </c>
      <c r="J221" s="91"/>
    </row>
    <row r="222" spans="1:10" s="18" customFormat="1" ht="18.75" customHeight="1" x14ac:dyDescent="0.3">
      <c r="A222" s="19">
        <v>216</v>
      </c>
      <c r="B222" s="20">
        <v>2041223935</v>
      </c>
      <c r="C222" s="21" t="s">
        <v>749</v>
      </c>
      <c r="D222" s="22" t="s">
        <v>750</v>
      </c>
      <c r="E222" s="20" t="s">
        <v>549</v>
      </c>
      <c r="F222" s="23" t="s">
        <v>132</v>
      </c>
      <c r="G222" s="30" t="s">
        <v>710</v>
      </c>
      <c r="H222" s="30">
        <f>VLOOKUP(B222,'Dữ liệu TQNM'!$B$7:$F$769,5,0)</f>
        <v>2</v>
      </c>
      <c r="I222" s="30">
        <f>COUNTIF('Nộp báo cáo'!$A$3:$A$1993,'Tổng 24-25'!B222)</f>
        <v>3</v>
      </c>
      <c r="J222" s="91"/>
    </row>
    <row r="223" spans="1:10" ht="18.75" customHeight="1" x14ac:dyDescent="0.3">
      <c r="A223" s="31">
        <v>217</v>
      </c>
      <c r="B223" s="107">
        <v>2041224029</v>
      </c>
      <c r="C223" s="33" t="s">
        <v>1057</v>
      </c>
      <c r="D223" s="34" t="s">
        <v>181</v>
      </c>
      <c r="E223" s="32" t="s">
        <v>1058</v>
      </c>
      <c r="F223" s="35" t="s">
        <v>132</v>
      </c>
      <c r="G223" s="36" t="s">
        <v>133</v>
      </c>
      <c r="H223" s="30">
        <f>VLOOKUP(B223,'Dữ liệu TQNM'!$B$7:$F$769,5,0)</f>
        <v>0</v>
      </c>
      <c r="I223" s="30">
        <f>COUNTIF('Nộp báo cáo'!$A$3:$A$1993,'Tổng 24-25'!B223)</f>
        <v>0</v>
      </c>
      <c r="J223" s="91"/>
    </row>
    <row r="224" spans="1:10" ht="18.75" customHeight="1" x14ac:dyDescent="0.3">
      <c r="A224" s="31">
        <v>218</v>
      </c>
      <c r="B224" s="107">
        <v>2041224117</v>
      </c>
      <c r="C224" s="33" t="s">
        <v>1059</v>
      </c>
      <c r="D224" s="34" t="s">
        <v>65</v>
      </c>
      <c r="E224" s="32" t="s">
        <v>1060</v>
      </c>
      <c r="F224" s="35" t="s">
        <v>132</v>
      </c>
      <c r="G224" s="36" t="s">
        <v>133</v>
      </c>
      <c r="H224" s="30">
        <f>VLOOKUP(B224,'Dữ liệu TQNM'!$B$7:$F$769,5,0)</f>
        <v>2</v>
      </c>
      <c r="I224" s="30">
        <f>COUNTIF('Nộp báo cáo'!$A$3:$A$1993,'Tổng 24-25'!B224)</f>
        <v>3</v>
      </c>
      <c r="J224" s="91"/>
    </row>
    <row r="225" spans="1:10" s="18" customFormat="1" ht="18.75" customHeight="1" x14ac:dyDescent="0.3">
      <c r="A225" s="19">
        <v>219</v>
      </c>
      <c r="B225" s="20">
        <v>2041224201</v>
      </c>
      <c r="C225" s="21" t="s">
        <v>143</v>
      </c>
      <c r="D225" s="22" t="s">
        <v>144</v>
      </c>
      <c r="E225" s="20" t="s">
        <v>983</v>
      </c>
      <c r="F225" s="23" t="s">
        <v>132</v>
      </c>
      <c r="G225" s="30" t="s">
        <v>133</v>
      </c>
      <c r="H225" s="30">
        <f>VLOOKUP(B225,'Dữ liệu TQNM'!$B$7:$F$769,5,0)</f>
        <v>2</v>
      </c>
      <c r="I225" s="30">
        <f>COUNTIF('Nộp báo cáo'!$A$3:$A$1993,'Tổng 24-25'!B225)</f>
        <v>4</v>
      </c>
      <c r="J225" s="91"/>
    </row>
    <row r="226" spans="1:10" s="18" customFormat="1" ht="18.75" customHeight="1" x14ac:dyDescent="0.3">
      <c r="A226" s="19">
        <v>220</v>
      </c>
      <c r="B226" s="20">
        <v>2041224257</v>
      </c>
      <c r="C226" s="21" t="s">
        <v>141</v>
      </c>
      <c r="D226" s="22" t="s">
        <v>142</v>
      </c>
      <c r="E226" s="20" t="s">
        <v>1027</v>
      </c>
      <c r="F226" s="23" t="s">
        <v>132</v>
      </c>
      <c r="G226" s="30" t="s">
        <v>133</v>
      </c>
      <c r="H226" s="30">
        <f>VLOOKUP(B226,'Dữ liệu TQNM'!$B$7:$F$769,5,0)</f>
        <v>2</v>
      </c>
      <c r="I226" s="30">
        <f>COUNTIF('Nộp báo cáo'!$A$3:$A$1993,'Tổng 24-25'!B226)</f>
        <v>3</v>
      </c>
      <c r="J226" s="91"/>
    </row>
    <row r="227" spans="1:10" ht="18.75" customHeight="1" x14ac:dyDescent="0.3">
      <c r="A227" s="31">
        <v>221</v>
      </c>
      <c r="B227" s="107">
        <v>2041224842</v>
      </c>
      <c r="C227" s="33" t="s">
        <v>1061</v>
      </c>
      <c r="D227" s="34" t="s">
        <v>254</v>
      </c>
      <c r="E227" s="32" t="s">
        <v>1062</v>
      </c>
      <c r="F227" s="35" t="s">
        <v>132</v>
      </c>
      <c r="G227" s="36" t="s">
        <v>133</v>
      </c>
      <c r="H227" s="30">
        <f>VLOOKUP(B227,'Dữ liệu TQNM'!$B$7:$F$769,5,0)</f>
        <v>3</v>
      </c>
      <c r="I227" s="30">
        <f>COUNTIF('Nộp báo cáo'!$A$3:$A$1993,'Tổng 24-25'!B227)</f>
        <v>3</v>
      </c>
      <c r="J227" s="91"/>
    </row>
    <row r="228" spans="1:10" ht="18.75" customHeight="1" x14ac:dyDescent="0.3">
      <c r="A228" s="31">
        <v>222</v>
      </c>
      <c r="B228" s="107">
        <v>2041224820</v>
      </c>
      <c r="C228" s="33" t="s">
        <v>1063</v>
      </c>
      <c r="D228" s="34" t="s">
        <v>102</v>
      </c>
      <c r="E228" s="32" t="s">
        <v>1064</v>
      </c>
      <c r="F228" s="35" t="s">
        <v>132</v>
      </c>
      <c r="G228" s="36" t="s">
        <v>133</v>
      </c>
      <c r="H228" s="30">
        <f>VLOOKUP(B228,'Dữ liệu TQNM'!$B$7:$F$769,5,0)</f>
        <v>3</v>
      </c>
      <c r="I228" s="30">
        <f>COUNTIF('Nộp báo cáo'!$A$3:$A$1993,'Tổng 24-25'!B228)</f>
        <v>3</v>
      </c>
      <c r="J228" s="91"/>
    </row>
    <row r="229" spans="1:10" ht="18.75" customHeight="1" x14ac:dyDescent="0.3">
      <c r="A229" s="31">
        <v>223</v>
      </c>
      <c r="B229" s="107">
        <v>2041225005</v>
      </c>
      <c r="C229" s="33" t="s">
        <v>1065</v>
      </c>
      <c r="D229" s="34" t="s">
        <v>610</v>
      </c>
      <c r="E229" s="32" t="s">
        <v>971</v>
      </c>
      <c r="F229" s="35" t="s">
        <v>132</v>
      </c>
      <c r="G229" s="36" t="s">
        <v>133</v>
      </c>
      <c r="H229" s="30">
        <f>VLOOKUP(B229,'Dữ liệu TQNM'!$B$7:$F$769,5,0)</f>
        <v>2</v>
      </c>
      <c r="I229" s="30">
        <f>COUNTIF('Nộp báo cáo'!$A$3:$A$1993,'Tổng 24-25'!B229)</f>
        <v>3</v>
      </c>
      <c r="J229" s="91"/>
    </row>
    <row r="230" spans="1:10" ht="18.75" customHeight="1" x14ac:dyDescent="0.3">
      <c r="A230" s="31">
        <v>224</v>
      </c>
      <c r="B230" s="107">
        <v>2041225236</v>
      </c>
      <c r="C230" s="33" t="s">
        <v>1066</v>
      </c>
      <c r="D230" s="34" t="s">
        <v>123</v>
      </c>
      <c r="E230" s="32" t="s">
        <v>692</v>
      </c>
      <c r="F230" s="35" t="s">
        <v>132</v>
      </c>
      <c r="G230" s="36" t="s">
        <v>133</v>
      </c>
      <c r="H230" s="30">
        <f>VLOOKUP(B230,'Dữ liệu TQNM'!$B$7:$F$769,5,0)</f>
        <v>2</v>
      </c>
      <c r="I230" s="30">
        <f>COUNTIF('Nộp báo cáo'!$A$3:$A$1993,'Tổng 24-25'!B230)</f>
        <v>3</v>
      </c>
      <c r="J230" s="91"/>
    </row>
    <row r="231" spans="1:10" s="18" customFormat="1" ht="18.75" customHeight="1" x14ac:dyDescent="0.3">
      <c r="A231" s="19">
        <v>225</v>
      </c>
      <c r="B231" s="20">
        <v>2041225260</v>
      </c>
      <c r="C231" s="21" t="s">
        <v>130</v>
      </c>
      <c r="D231" s="22" t="s">
        <v>123</v>
      </c>
      <c r="E231" s="20" t="s">
        <v>131</v>
      </c>
      <c r="F231" s="23" t="s">
        <v>132</v>
      </c>
      <c r="G231" s="30" t="s">
        <v>133</v>
      </c>
      <c r="H231" s="30">
        <f>VLOOKUP(B231,'Dữ liệu TQNM'!$B$7:$F$769,5,0)</f>
        <v>3</v>
      </c>
      <c r="I231" s="30">
        <f>COUNTIF('Nộp báo cáo'!$A$3:$A$1993,'Tổng 24-25'!B231)</f>
        <v>3</v>
      </c>
      <c r="J231" s="91"/>
    </row>
    <row r="232" spans="1:10" ht="18.75" customHeight="1" x14ac:dyDescent="0.3">
      <c r="A232" s="31">
        <v>226</v>
      </c>
      <c r="B232" s="107">
        <v>2041225181</v>
      </c>
      <c r="C232" s="33" t="s">
        <v>565</v>
      </c>
      <c r="D232" s="34" t="s">
        <v>123</v>
      </c>
      <c r="E232" s="32" t="s">
        <v>908</v>
      </c>
      <c r="F232" s="35" t="s">
        <v>132</v>
      </c>
      <c r="G232" s="36" t="s">
        <v>133</v>
      </c>
      <c r="H232" s="30">
        <f>VLOOKUP(B232,'Dữ liệu TQNM'!$B$7:$F$769,5,0)</f>
        <v>0</v>
      </c>
      <c r="I232" s="30">
        <f>COUNTIF('Nộp báo cáo'!$A$3:$A$1993,'Tổng 24-25'!B232)</f>
        <v>0</v>
      </c>
      <c r="J232" s="91"/>
    </row>
    <row r="233" spans="1:10" ht="18.75" customHeight="1" x14ac:dyDescent="0.3">
      <c r="A233" s="31">
        <v>227</v>
      </c>
      <c r="B233" s="107">
        <v>2041225290</v>
      </c>
      <c r="C233" s="33" t="s">
        <v>1067</v>
      </c>
      <c r="D233" s="34" t="s">
        <v>514</v>
      </c>
      <c r="E233" s="32" t="s">
        <v>695</v>
      </c>
      <c r="F233" s="35" t="s">
        <v>132</v>
      </c>
      <c r="G233" s="36" t="s">
        <v>133</v>
      </c>
      <c r="H233" s="30">
        <f>VLOOKUP(B233,'Dữ liệu TQNM'!$B$7:$F$769,5,0)</f>
        <v>2</v>
      </c>
      <c r="I233" s="30">
        <f>COUNTIF('Nộp báo cáo'!$A$3:$A$1993,'Tổng 24-25'!B233)</f>
        <v>3</v>
      </c>
      <c r="J233" s="91"/>
    </row>
    <row r="234" spans="1:10" ht="18.75" customHeight="1" x14ac:dyDescent="0.3">
      <c r="A234" s="31">
        <v>228</v>
      </c>
      <c r="B234" s="107">
        <v>2041225321</v>
      </c>
      <c r="C234" s="33" t="s">
        <v>50</v>
      </c>
      <c r="D234" s="34" t="s">
        <v>432</v>
      </c>
      <c r="E234" s="32" t="s">
        <v>1068</v>
      </c>
      <c r="F234" s="35" t="s">
        <v>132</v>
      </c>
      <c r="G234" s="36" t="s">
        <v>133</v>
      </c>
      <c r="H234" s="30">
        <f>VLOOKUP(B234,'Dữ liệu TQNM'!$B$7:$F$769,5,0)</f>
        <v>3</v>
      </c>
      <c r="I234" s="30">
        <f>COUNTIF('Nộp báo cáo'!$A$3:$A$1993,'Tổng 24-25'!B234)</f>
        <v>3</v>
      </c>
      <c r="J234" s="91"/>
    </row>
    <row r="235" spans="1:10" ht="18.75" customHeight="1" x14ac:dyDescent="0.3">
      <c r="A235" s="31">
        <v>229</v>
      </c>
      <c r="B235" s="107">
        <v>2041225318</v>
      </c>
      <c r="C235" s="33" t="s">
        <v>1069</v>
      </c>
      <c r="D235" s="34" t="s">
        <v>432</v>
      </c>
      <c r="E235" s="32" t="s">
        <v>734</v>
      </c>
      <c r="F235" s="35" t="s">
        <v>132</v>
      </c>
      <c r="G235" s="36" t="s">
        <v>133</v>
      </c>
      <c r="H235" s="30">
        <f>VLOOKUP(B235,'Dữ liệu TQNM'!$B$7:$F$769,5,0)</f>
        <v>3</v>
      </c>
      <c r="I235" s="30">
        <f>COUNTIF('Nộp báo cáo'!$A$3:$A$1993,'Tổng 24-25'!B235)</f>
        <v>3</v>
      </c>
      <c r="J235" s="91"/>
    </row>
    <row r="236" spans="1:10" ht="18.75" customHeight="1" x14ac:dyDescent="0.3">
      <c r="A236" s="31">
        <v>230</v>
      </c>
      <c r="B236" s="107">
        <v>2041224348</v>
      </c>
      <c r="C236" s="33" t="s">
        <v>1070</v>
      </c>
      <c r="D236" s="34" t="s">
        <v>54</v>
      </c>
      <c r="E236" s="32" t="s">
        <v>1071</v>
      </c>
      <c r="F236" s="35" t="s">
        <v>132</v>
      </c>
      <c r="G236" s="36" t="s">
        <v>133</v>
      </c>
      <c r="H236" s="30">
        <f>VLOOKUP(B236,'Dữ liệu TQNM'!$B$7:$F$769,5,0)</f>
        <v>1</v>
      </c>
      <c r="I236" s="30">
        <f>COUNTIF('Nộp báo cáo'!$A$3:$A$1993,'Tổng 24-25'!B236)</f>
        <v>1</v>
      </c>
      <c r="J236" s="91"/>
    </row>
    <row r="237" spans="1:10" ht="18.75" customHeight="1" x14ac:dyDescent="0.3">
      <c r="A237" s="31">
        <v>231</v>
      </c>
      <c r="B237" s="107">
        <v>2041224381</v>
      </c>
      <c r="C237" s="33" t="s">
        <v>221</v>
      </c>
      <c r="D237" s="34" t="s">
        <v>1072</v>
      </c>
      <c r="E237" s="32" t="s">
        <v>1027</v>
      </c>
      <c r="F237" s="35" t="s">
        <v>132</v>
      </c>
      <c r="G237" s="36" t="s">
        <v>133</v>
      </c>
      <c r="H237" s="30">
        <f>VLOOKUP(B237,'Dữ liệu TQNM'!$B$7:$F$769,5,0)</f>
        <v>2</v>
      </c>
      <c r="I237" s="30">
        <f>COUNTIF('Nộp báo cáo'!$A$3:$A$1993,'Tổng 24-25'!B237)</f>
        <v>3</v>
      </c>
      <c r="J237" s="91"/>
    </row>
    <row r="238" spans="1:10" s="18" customFormat="1" ht="18.75" customHeight="1" x14ac:dyDescent="0.3">
      <c r="A238" s="19">
        <v>232</v>
      </c>
      <c r="B238" s="20">
        <v>2041225451</v>
      </c>
      <c r="C238" s="21" t="s">
        <v>137</v>
      </c>
      <c r="D238" s="22" t="s">
        <v>138</v>
      </c>
      <c r="E238" s="20" t="s">
        <v>139</v>
      </c>
      <c r="F238" s="23" t="s">
        <v>132</v>
      </c>
      <c r="G238" s="30" t="s">
        <v>133</v>
      </c>
      <c r="H238" s="30">
        <f>VLOOKUP(B238,'Dữ liệu TQNM'!$B$7:$F$769,5,0)</f>
        <v>3</v>
      </c>
      <c r="I238" s="30">
        <f>COUNTIF('Nộp báo cáo'!$A$3:$A$1993,'Tổng 24-25'!B238)</f>
        <v>3</v>
      </c>
      <c r="J238" s="91"/>
    </row>
    <row r="239" spans="1:10" ht="18.75" customHeight="1" x14ac:dyDescent="0.3">
      <c r="A239" s="31">
        <v>233</v>
      </c>
      <c r="B239" s="107">
        <v>2041225352</v>
      </c>
      <c r="C239" s="33" t="s">
        <v>507</v>
      </c>
      <c r="D239" s="34" t="s">
        <v>258</v>
      </c>
      <c r="E239" s="32" t="s">
        <v>359</v>
      </c>
      <c r="F239" s="35" t="s">
        <v>132</v>
      </c>
      <c r="G239" s="36" t="s">
        <v>133</v>
      </c>
      <c r="H239" s="30">
        <f>VLOOKUP(B239,'Dữ liệu TQNM'!$B$7:$F$769,5,0)</f>
        <v>3</v>
      </c>
      <c r="I239" s="30">
        <f>COUNTIF('Nộp báo cáo'!$A$3:$A$1993,'Tổng 24-25'!B239)</f>
        <v>3</v>
      </c>
      <c r="J239" s="91"/>
    </row>
    <row r="240" spans="1:10" ht="18.75" customHeight="1" x14ac:dyDescent="0.3">
      <c r="A240" s="31">
        <v>234</v>
      </c>
      <c r="B240" s="107">
        <v>2041224545</v>
      </c>
      <c r="C240" s="33" t="s">
        <v>1073</v>
      </c>
      <c r="D240" s="34" t="s">
        <v>117</v>
      </c>
      <c r="E240" s="32" t="s">
        <v>1074</v>
      </c>
      <c r="F240" s="35" t="s">
        <v>132</v>
      </c>
      <c r="G240" s="36" t="s">
        <v>133</v>
      </c>
      <c r="H240" s="30">
        <f>VLOOKUP(B240,'Dữ liệu TQNM'!$B$7:$F$769,5,0)</f>
        <v>2</v>
      </c>
      <c r="I240" s="30">
        <f>COUNTIF('Nộp báo cáo'!$A$3:$A$1993,'Tổng 24-25'!B240)</f>
        <v>3</v>
      </c>
      <c r="J240" s="91"/>
    </row>
    <row r="241" spans="1:10" s="18" customFormat="1" ht="18.75" customHeight="1" x14ac:dyDescent="0.3">
      <c r="A241" s="19">
        <v>235</v>
      </c>
      <c r="B241" s="20">
        <v>2041225827</v>
      </c>
      <c r="C241" s="21" t="s">
        <v>140</v>
      </c>
      <c r="D241" s="22" t="s">
        <v>66</v>
      </c>
      <c r="E241" s="20" t="s">
        <v>1075</v>
      </c>
      <c r="F241" s="23" t="s">
        <v>132</v>
      </c>
      <c r="G241" s="30" t="s">
        <v>133</v>
      </c>
      <c r="H241" s="30">
        <f>VLOOKUP(B241,'Dữ liệu TQNM'!$B$7:$F$769,5,0)</f>
        <v>5</v>
      </c>
      <c r="I241" s="30">
        <f>COUNTIF('Nộp báo cáo'!$A$3:$A$1993,'Tổng 24-25'!B241)</f>
        <v>4</v>
      </c>
      <c r="J241" s="91"/>
    </row>
    <row r="242" spans="1:10" ht="18.75" customHeight="1" x14ac:dyDescent="0.3">
      <c r="A242" s="31">
        <v>236</v>
      </c>
      <c r="B242" s="107">
        <v>2041225846</v>
      </c>
      <c r="C242" s="33" t="s">
        <v>1076</v>
      </c>
      <c r="D242" s="34" t="s">
        <v>1077</v>
      </c>
      <c r="E242" s="32" t="s">
        <v>428</v>
      </c>
      <c r="F242" s="35" t="s">
        <v>132</v>
      </c>
      <c r="G242" s="36" t="s">
        <v>133</v>
      </c>
      <c r="H242" s="30">
        <f>VLOOKUP(B242,'Dữ liệu TQNM'!$B$7:$F$769,5,0)</f>
        <v>4</v>
      </c>
      <c r="I242" s="30">
        <f>COUNTIF('Nộp báo cáo'!$A$3:$A$1993,'Tổng 24-25'!B242)</f>
        <v>3</v>
      </c>
      <c r="J242" s="91"/>
    </row>
    <row r="243" spans="1:10" ht="18.75" customHeight="1" x14ac:dyDescent="0.3">
      <c r="A243" s="31">
        <v>237</v>
      </c>
      <c r="B243" s="107">
        <v>2041226084</v>
      </c>
      <c r="C243" s="33" t="s">
        <v>1078</v>
      </c>
      <c r="D243" s="34" t="s">
        <v>24</v>
      </c>
      <c r="E243" s="32" t="s">
        <v>954</v>
      </c>
      <c r="F243" s="35" t="s">
        <v>132</v>
      </c>
      <c r="G243" s="36" t="s">
        <v>133</v>
      </c>
      <c r="H243" s="30">
        <f>VLOOKUP(B243,'Dữ liệu TQNM'!$B$7:$F$769,5,0)</f>
        <v>2</v>
      </c>
      <c r="I243" s="30">
        <f>COUNTIF('Nộp báo cáo'!$A$3:$A$1993,'Tổng 24-25'!B243)</f>
        <v>3</v>
      </c>
      <c r="J243" s="91"/>
    </row>
    <row r="244" spans="1:10" ht="18.75" customHeight="1" x14ac:dyDescent="0.3">
      <c r="A244" s="31">
        <v>238</v>
      </c>
      <c r="B244" s="107">
        <v>2041226099</v>
      </c>
      <c r="C244" s="33" t="s">
        <v>1079</v>
      </c>
      <c r="D244" s="34" t="s">
        <v>552</v>
      </c>
      <c r="E244" s="32" t="s">
        <v>964</v>
      </c>
      <c r="F244" s="35" t="s">
        <v>132</v>
      </c>
      <c r="G244" s="36" t="s">
        <v>133</v>
      </c>
      <c r="H244" s="30">
        <f>VLOOKUP(B244,'Dữ liệu TQNM'!$B$7:$F$769,5,0)</f>
        <v>1</v>
      </c>
      <c r="I244" s="30">
        <f>COUNTIF('Nộp báo cáo'!$A$3:$A$1993,'Tổng 24-25'!B244)</f>
        <v>1</v>
      </c>
      <c r="J244" s="91"/>
    </row>
    <row r="245" spans="1:10" s="18" customFormat="1" ht="18.75" customHeight="1" x14ac:dyDescent="0.3">
      <c r="A245" s="19">
        <v>239</v>
      </c>
      <c r="B245" s="20">
        <v>2041226133</v>
      </c>
      <c r="C245" s="21" t="s">
        <v>134</v>
      </c>
      <c r="D245" s="22" t="s">
        <v>135</v>
      </c>
      <c r="E245" s="20" t="s">
        <v>136</v>
      </c>
      <c r="F245" s="23" t="s">
        <v>132</v>
      </c>
      <c r="G245" s="30" t="s">
        <v>133</v>
      </c>
      <c r="H245" s="30">
        <f>VLOOKUP(B245,'Dữ liệu TQNM'!$B$7:$F$769,5,0)</f>
        <v>2</v>
      </c>
      <c r="I245" s="30">
        <f>COUNTIF('Nộp báo cáo'!$A$3:$A$1993,'Tổng 24-25'!B245)</f>
        <v>3</v>
      </c>
      <c r="J245" s="91"/>
    </row>
    <row r="246" spans="1:10" s="18" customFormat="1" ht="18.75" customHeight="1" x14ac:dyDescent="0.3">
      <c r="A246" s="19">
        <v>240</v>
      </c>
      <c r="B246" s="20">
        <v>2041226111</v>
      </c>
      <c r="C246" s="21" t="s">
        <v>95</v>
      </c>
      <c r="D246" s="22" t="s">
        <v>135</v>
      </c>
      <c r="E246" s="20" t="s">
        <v>145</v>
      </c>
      <c r="F246" s="23" t="s">
        <v>132</v>
      </c>
      <c r="G246" s="30" t="s">
        <v>133</v>
      </c>
      <c r="H246" s="30">
        <f>VLOOKUP(B246,'Dữ liệu TQNM'!$B$7:$F$769,5,0)</f>
        <v>2</v>
      </c>
      <c r="I246" s="30">
        <f>COUNTIF('Nộp báo cáo'!$A$3:$A$1993,'Tổng 24-25'!B246)</f>
        <v>3</v>
      </c>
      <c r="J246" s="91"/>
    </row>
    <row r="247" spans="1:10" ht="18.75" customHeight="1" x14ac:dyDescent="0.3">
      <c r="A247" s="31">
        <v>241</v>
      </c>
      <c r="B247" s="107">
        <v>2041226123</v>
      </c>
      <c r="C247" s="33" t="s">
        <v>1080</v>
      </c>
      <c r="D247" s="34" t="s">
        <v>135</v>
      </c>
      <c r="E247" s="32" t="s">
        <v>620</v>
      </c>
      <c r="F247" s="35" t="s">
        <v>132</v>
      </c>
      <c r="G247" s="36" t="s">
        <v>133</v>
      </c>
      <c r="H247" s="30">
        <f>VLOOKUP(B247,'Dữ liệu TQNM'!$B$7:$F$769,5,0)</f>
        <v>2</v>
      </c>
      <c r="I247" s="30">
        <f>COUNTIF('Nộp báo cáo'!$A$3:$A$1993,'Tổng 24-25'!B247)</f>
        <v>3</v>
      </c>
      <c r="J247" s="91"/>
    </row>
    <row r="248" spans="1:10" s="18" customFormat="1" ht="18.75" customHeight="1" x14ac:dyDescent="0.3">
      <c r="A248" s="19">
        <v>242</v>
      </c>
      <c r="B248" s="20">
        <v>2041220248</v>
      </c>
      <c r="C248" s="21" t="s">
        <v>95</v>
      </c>
      <c r="D248" s="22" t="s">
        <v>170</v>
      </c>
      <c r="E248" s="20" t="s">
        <v>1081</v>
      </c>
      <c r="F248" s="23" t="s">
        <v>148</v>
      </c>
      <c r="G248" s="30" t="s">
        <v>133</v>
      </c>
      <c r="H248" s="30">
        <f>VLOOKUP(B248,'Dữ liệu TQNM'!$B$7:$F$769,5,0)</f>
        <v>3</v>
      </c>
      <c r="I248" s="30">
        <f>COUNTIF('Nộp báo cáo'!$A$3:$A$1993,'Tổng 24-25'!B248)</f>
        <v>4</v>
      </c>
      <c r="J248" s="91"/>
    </row>
    <row r="249" spans="1:10" s="18" customFormat="1" ht="18.75" customHeight="1" x14ac:dyDescent="0.3">
      <c r="A249" s="19">
        <v>243</v>
      </c>
      <c r="B249" s="20">
        <v>2041220290</v>
      </c>
      <c r="C249" s="21" t="s">
        <v>157</v>
      </c>
      <c r="D249" s="22" t="s">
        <v>158</v>
      </c>
      <c r="E249" s="20" t="s">
        <v>159</v>
      </c>
      <c r="F249" s="23" t="s">
        <v>148</v>
      </c>
      <c r="G249" s="30" t="s">
        <v>133</v>
      </c>
      <c r="H249" s="30">
        <f>VLOOKUP(B249,'Dữ liệu TQNM'!$B$7:$F$769,5,0)</f>
        <v>2</v>
      </c>
      <c r="I249" s="30">
        <f>COUNTIF('Nộp báo cáo'!$A$3:$A$1993,'Tổng 24-25'!B249)</f>
        <v>2</v>
      </c>
      <c r="J249" s="91"/>
    </row>
    <row r="250" spans="1:10" ht="18.75" customHeight="1" x14ac:dyDescent="0.3">
      <c r="A250" s="31">
        <v>244</v>
      </c>
      <c r="B250" s="107">
        <v>2041220954</v>
      </c>
      <c r="C250" s="33" t="s">
        <v>1082</v>
      </c>
      <c r="D250" s="34" t="s">
        <v>446</v>
      </c>
      <c r="E250" s="32" t="s">
        <v>1083</v>
      </c>
      <c r="F250" s="35" t="s">
        <v>148</v>
      </c>
      <c r="G250" s="36" t="s">
        <v>133</v>
      </c>
      <c r="H250" s="30">
        <f>VLOOKUP(B250,'Dữ liệu TQNM'!$B$7:$F$769,5,0)</f>
        <v>0</v>
      </c>
      <c r="I250" s="30">
        <f>COUNTIF('Nộp báo cáo'!$A$3:$A$1993,'Tổng 24-25'!B250)</f>
        <v>0</v>
      </c>
      <c r="J250" s="91"/>
    </row>
    <row r="251" spans="1:10" s="18" customFormat="1" ht="18.75" customHeight="1" x14ac:dyDescent="0.3">
      <c r="A251" s="19">
        <v>245</v>
      </c>
      <c r="B251" s="20">
        <v>2041220863</v>
      </c>
      <c r="C251" s="21" t="s">
        <v>176</v>
      </c>
      <c r="D251" s="22" t="s">
        <v>34</v>
      </c>
      <c r="E251" s="20" t="s">
        <v>177</v>
      </c>
      <c r="F251" s="23" t="s">
        <v>148</v>
      </c>
      <c r="G251" s="30" t="s">
        <v>133</v>
      </c>
      <c r="H251" s="30">
        <f>VLOOKUP(B251,'Dữ liệu TQNM'!$B$7:$F$769,5,0)</f>
        <v>3</v>
      </c>
      <c r="I251" s="30">
        <f>COUNTIF('Nộp báo cáo'!$A$3:$A$1993,'Tổng 24-25'!B251)</f>
        <v>3</v>
      </c>
      <c r="J251" s="91"/>
    </row>
    <row r="252" spans="1:10" ht="18.75" customHeight="1" x14ac:dyDescent="0.3">
      <c r="A252" s="31">
        <v>246</v>
      </c>
      <c r="B252" s="107">
        <v>2041220593</v>
      </c>
      <c r="C252" s="33" t="s">
        <v>1084</v>
      </c>
      <c r="D252" s="34" t="s">
        <v>542</v>
      </c>
      <c r="E252" s="32" t="s">
        <v>349</v>
      </c>
      <c r="F252" s="35" t="s">
        <v>148</v>
      </c>
      <c r="G252" s="36" t="s">
        <v>133</v>
      </c>
      <c r="H252" s="30">
        <f>VLOOKUP(B252,'Dữ liệu TQNM'!$B$7:$F$769,5,0)</f>
        <v>0</v>
      </c>
      <c r="I252" s="30">
        <f>COUNTIF('Nộp báo cáo'!$A$3:$A$1993,'Tổng 24-25'!B252)</f>
        <v>0</v>
      </c>
      <c r="J252" s="91"/>
    </row>
    <row r="253" spans="1:10" ht="18.75" customHeight="1" x14ac:dyDescent="0.3">
      <c r="A253" s="31">
        <v>247</v>
      </c>
      <c r="B253" s="107">
        <v>2041220592</v>
      </c>
      <c r="C253" s="33" t="s">
        <v>1085</v>
      </c>
      <c r="D253" s="34" t="s">
        <v>542</v>
      </c>
      <c r="E253" s="32" t="s">
        <v>975</v>
      </c>
      <c r="F253" s="35" t="s">
        <v>148</v>
      </c>
      <c r="G253" s="36" t="s">
        <v>133</v>
      </c>
      <c r="H253" s="30">
        <f>VLOOKUP(B253,'Dữ liệu TQNM'!$B$7:$F$769,5,0)</f>
        <v>2</v>
      </c>
      <c r="I253" s="30">
        <f>COUNTIF('Nộp báo cáo'!$A$3:$A$1993,'Tổng 24-25'!B253)</f>
        <v>0</v>
      </c>
      <c r="J253" s="91"/>
    </row>
    <row r="254" spans="1:10" ht="18.75" customHeight="1" x14ac:dyDescent="0.3">
      <c r="A254" s="31">
        <v>248</v>
      </c>
      <c r="B254" s="107">
        <v>2041220829</v>
      </c>
      <c r="C254" s="33" t="s">
        <v>1086</v>
      </c>
      <c r="D254" s="34" t="s">
        <v>271</v>
      </c>
      <c r="E254" s="32" t="s">
        <v>481</v>
      </c>
      <c r="F254" s="35" t="s">
        <v>148</v>
      </c>
      <c r="G254" s="36" t="s">
        <v>133</v>
      </c>
      <c r="H254" s="30">
        <f>VLOOKUP(B254,'Dữ liệu TQNM'!$B$7:$F$769,5,0)</f>
        <v>2</v>
      </c>
      <c r="I254" s="30">
        <f>COUNTIF('Nộp báo cáo'!$A$3:$A$1993,'Tổng 24-25'!B254)</f>
        <v>3</v>
      </c>
      <c r="J254" s="91"/>
    </row>
    <row r="255" spans="1:10" ht="18.75" customHeight="1" x14ac:dyDescent="0.3">
      <c r="A255" s="31">
        <v>249</v>
      </c>
      <c r="B255" s="107">
        <v>2041220760</v>
      </c>
      <c r="C255" s="33" t="s">
        <v>1087</v>
      </c>
      <c r="D255" s="34" t="s">
        <v>84</v>
      </c>
      <c r="E255" s="32" t="s">
        <v>235</v>
      </c>
      <c r="F255" s="35" t="s">
        <v>148</v>
      </c>
      <c r="G255" s="36" t="s">
        <v>133</v>
      </c>
      <c r="H255" s="30">
        <f>VLOOKUP(B255,'Dữ liệu TQNM'!$B$7:$F$769,5,0)</f>
        <v>2</v>
      </c>
      <c r="I255" s="30">
        <f>COUNTIF('Nộp báo cáo'!$A$3:$A$1993,'Tổng 24-25'!B255)</f>
        <v>3</v>
      </c>
      <c r="J255" s="91"/>
    </row>
    <row r="256" spans="1:10" s="18" customFormat="1" ht="18.75" customHeight="1" x14ac:dyDescent="0.3">
      <c r="A256" s="19">
        <v>250</v>
      </c>
      <c r="B256" s="20">
        <v>2041221287</v>
      </c>
      <c r="C256" s="21" t="s">
        <v>171</v>
      </c>
      <c r="D256" s="22" t="s">
        <v>172</v>
      </c>
      <c r="E256" s="20" t="s">
        <v>1088</v>
      </c>
      <c r="F256" s="23" t="s">
        <v>148</v>
      </c>
      <c r="G256" s="30" t="s">
        <v>133</v>
      </c>
      <c r="H256" s="30">
        <f>VLOOKUP(B256,'Dữ liệu TQNM'!$B$7:$F$769,5,0)</f>
        <v>2</v>
      </c>
      <c r="I256" s="30">
        <f>COUNTIF('Nộp báo cáo'!$A$3:$A$1993,'Tổng 24-25'!B256)</f>
        <v>2</v>
      </c>
      <c r="J256" s="91"/>
    </row>
    <row r="257" spans="1:10" ht="18.75" customHeight="1" x14ac:dyDescent="0.3">
      <c r="A257" s="31">
        <v>251</v>
      </c>
      <c r="B257" s="107">
        <v>2041221401</v>
      </c>
      <c r="C257" s="33" t="s">
        <v>1089</v>
      </c>
      <c r="D257" s="34" t="s">
        <v>88</v>
      </c>
      <c r="E257" s="32" t="s">
        <v>345</v>
      </c>
      <c r="F257" s="35" t="s">
        <v>148</v>
      </c>
      <c r="G257" s="36" t="s">
        <v>133</v>
      </c>
      <c r="H257" s="30">
        <f>VLOOKUP(B257,'Dữ liệu TQNM'!$B$7:$F$769,5,0)</f>
        <v>2</v>
      </c>
      <c r="I257" s="30">
        <f>COUNTIF('Nộp báo cáo'!$A$3:$A$1993,'Tổng 24-25'!B257)</f>
        <v>10</v>
      </c>
      <c r="J257" s="91"/>
    </row>
    <row r="258" spans="1:10" s="18" customFormat="1" ht="18.75" customHeight="1" x14ac:dyDescent="0.3">
      <c r="A258" s="19">
        <v>252</v>
      </c>
      <c r="B258" s="20">
        <v>2041221454</v>
      </c>
      <c r="C258" s="21" t="s">
        <v>149</v>
      </c>
      <c r="D258" s="22" t="s">
        <v>90</v>
      </c>
      <c r="E258" s="20" t="s">
        <v>150</v>
      </c>
      <c r="F258" s="23" t="s">
        <v>148</v>
      </c>
      <c r="G258" s="30" t="s">
        <v>133</v>
      </c>
      <c r="H258" s="30">
        <f>VLOOKUP(B258,'Dữ liệu TQNM'!$B$7:$F$769,5,0)</f>
        <v>3</v>
      </c>
      <c r="I258" s="30">
        <f>COUNTIF('Nộp báo cáo'!$A$3:$A$1993,'Tổng 24-25'!B258)</f>
        <v>2</v>
      </c>
      <c r="J258" s="91"/>
    </row>
    <row r="259" spans="1:10" s="18" customFormat="1" ht="18.75" customHeight="1" x14ac:dyDescent="0.3">
      <c r="A259" s="19">
        <v>253</v>
      </c>
      <c r="B259" s="20">
        <v>2041221464</v>
      </c>
      <c r="C259" s="21" t="s">
        <v>191</v>
      </c>
      <c r="D259" s="22" t="s">
        <v>192</v>
      </c>
      <c r="E259" s="20" t="s">
        <v>962</v>
      </c>
      <c r="F259" s="23" t="s">
        <v>148</v>
      </c>
      <c r="G259" s="30" t="s">
        <v>133</v>
      </c>
      <c r="H259" s="30">
        <f>VLOOKUP(B259,'Dữ liệu TQNM'!$B$7:$F$769,5,0)</f>
        <v>2</v>
      </c>
      <c r="I259" s="30">
        <f>COUNTIF('Nộp báo cáo'!$A$3:$A$1993,'Tổng 24-25'!B259)</f>
        <v>3</v>
      </c>
      <c r="J259" s="91"/>
    </row>
    <row r="260" spans="1:10" s="18" customFormat="1" ht="18.75" customHeight="1" x14ac:dyDescent="0.3">
      <c r="A260" s="19">
        <v>254</v>
      </c>
      <c r="B260" s="20">
        <v>2041221821</v>
      </c>
      <c r="C260" s="21" t="s">
        <v>137</v>
      </c>
      <c r="D260" s="22" t="s">
        <v>173</v>
      </c>
      <c r="E260" s="20" t="s">
        <v>1090</v>
      </c>
      <c r="F260" s="23" t="s">
        <v>148</v>
      </c>
      <c r="G260" s="30" t="s">
        <v>133</v>
      </c>
      <c r="H260" s="30">
        <f>VLOOKUP(B260,'Dữ liệu TQNM'!$B$7:$F$769,5,0)</f>
        <v>3</v>
      </c>
      <c r="I260" s="30">
        <f>COUNTIF('Nộp báo cáo'!$A$3:$A$1993,'Tổng 24-25'!B260)</f>
        <v>3</v>
      </c>
      <c r="J260" s="91"/>
    </row>
    <row r="261" spans="1:10" ht="18.75" customHeight="1" x14ac:dyDescent="0.3">
      <c r="A261" s="31">
        <v>255</v>
      </c>
      <c r="B261" s="107">
        <v>2041221845</v>
      </c>
      <c r="C261" s="33" t="s">
        <v>727</v>
      </c>
      <c r="D261" s="34" t="s">
        <v>173</v>
      </c>
      <c r="E261" s="32" t="s">
        <v>1091</v>
      </c>
      <c r="F261" s="35" t="s">
        <v>148</v>
      </c>
      <c r="G261" s="36" t="s">
        <v>133</v>
      </c>
      <c r="H261" s="30">
        <f>VLOOKUP(B261,'Dữ liệu TQNM'!$B$7:$F$769,5,0)</f>
        <v>2</v>
      </c>
      <c r="I261" s="30">
        <f>COUNTIF('Nộp báo cáo'!$A$3:$A$1993,'Tổng 24-25'!B261)</f>
        <v>3</v>
      </c>
      <c r="J261" s="91"/>
    </row>
    <row r="262" spans="1:10" s="18" customFormat="1" ht="18.75" customHeight="1" x14ac:dyDescent="0.3">
      <c r="A262" s="19">
        <v>256</v>
      </c>
      <c r="B262" s="20">
        <v>2041221593</v>
      </c>
      <c r="C262" s="21" t="s">
        <v>121</v>
      </c>
      <c r="D262" s="22" t="s">
        <v>120</v>
      </c>
      <c r="E262" s="20" t="s">
        <v>193</v>
      </c>
      <c r="F262" s="23" t="s">
        <v>148</v>
      </c>
      <c r="G262" s="30" t="s">
        <v>133</v>
      </c>
      <c r="H262" s="30">
        <f>VLOOKUP(B262,'Dữ liệu TQNM'!$B$7:$F$769,5,0)</f>
        <v>2</v>
      </c>
      <c r="I262" s="30">
        <f>COUNTIF('Nộp báo cáo'!$A$3:$A$1993,'Tổng 24-25'!B262)</f>
        <v>3</v>
      </c>
      <c r="J262" s="91"/>
    </row>
    <row r="263" spans="1:10" ht="18.75" customHeight="1" x14ac:dyDescent="0.3">
      <c r="A263" s="31">
        <v>257</v>
      </c>
      <c r="B263" s="107">
        <v>2041221730</v>
      </c>
      <c r="C263" s="33" t="s">
        <v>1092</v>
      </c>
      <c r="D263" s="34" t="s">
        <v>43</v>
      </c>
      <c r="E263" s="32" t="s">
        <v>419</v>
      </c>
      <c r="F263" s="35" t="s">
        <v>148</v>
      </c>
      <c r="G263" s="36" t="s">
        <v>133</v>
      </c>
      <c r="H263" s="30">
        <f>VLOOKUP(B263,'Dữ liệu TQNM'!$B$7:$F$769,5,0)</f>
        <v>3</v>
      </c>
      <c r="I263" s="30">
        <f>COUNTIF('Nộp báo cáo'!$A$3:$A$1993,'Tổng 24-25'!B263)</f>
        <v>3</v>
      </c>
      <c r="J263" s="91"/>
    </row>
    <row r="264" spans="1:10" ht="18.75" customHeight="1" x14ac:dyDescent="0.3">
      <c r="A264" s="31">
        <v>258</v>
      </c>
      <c r="B264" s="107">
        <v>2041222302</v>
      </c>
      <c r="C264" s="33" t="s">
        <v>513</v>
      </c>
      <c r="D264" s="34" t="s">
        <v>29</v>
      </c>
      <c r="E264" s="32" t="s">
        <v>740</v>
      </c>
      <c r="F264" s="35" t="s">
        <v>148</v>
      </c>
      <c r="G264" s="36" t="s">
        <v>133</v>
      </c>
      <c r="H264" s="30">
        <f>VLOOKUP(B264,'Dữ liệu TQNM'!$B$7:$F$769,5,0)</f>
        <v>2</v>
      </c>
      <c r="I264" s="30">
        <f>COUNTIF('Nộp báo cáo'!$A$3:$A$1993,'Tổng 24-25'!B264)</f>
        <v>3</v>
      </c>
      <c r="J264" s="91"/>
    </row>
    <row r="265" spans="1:10" s="18" customFormat="1" ht="18.75" customHeight="1" x14ac:dyDescent="0.3">
      <c r="A265" s="19">
        <v>259</v>
      </c>
      <c r="B265" s="20">
        <v>2041222309</v>
      </c>
      <c r="C265" s="21" t="s">
        <v>178</v>
      </c>
      <c r="D265" s="22" t="s">
        <v>29</v>
      </c>
      <c r="E265" s="20" t="s">
        <v>179</v>
      </c>
      <c r="F265" s="23" t="s">
        <v>148</v>
      </c>
      <c r="G265" s="30" t="s">
        <v>133</v>
      </c>
      <c r="H265" s="30">
        <f>VLOOKUP(B265,'Dữ liệu TQNM'!$B$7:$F$769,5,0)</f>
        <v>2</v>
      </c>
      <c r="I265" s="30">
        <f>COUNTIF('Nộp báo cáo'!$A$3:$A$1993,'Tổng 24-25'!B265)</f>
        <v>6</v>
      </c>
      <c r="J265" s="91"/>
    </row>
    <row r="266" spans="1:10" s="18" customFormat="1" ht="18.75" customHeight="1" x14ac:dyDescent="0.3">
      <c r="A266" s="19">
        <v>260</v>
      </c>
      <c r="B266" s="20">
        <v>2041222515</v>
      </c>
      <c r="C266" s="21" t="s">
        <v>174</v>
      </c>
      <c r="D266" s="22" t="s">
        <v>175</v>
      </c>
      <c r="E266" s="20" t="s">
        <v>1048</v>
      </c>
      <c r="F266" s="23" t="s">
        <v>148</v>
      </c>
      <c r="G266" s="30" t="s">
        <v>133</v>
      </c>
      <c r="H266" s="30">
        <f>VLOOKUP(B266,'Dữ liệu TQNM'!$B$7:$F$769,5,0)</f>
        <v>2</v>
      </c>
      <c r="I266" s="30">
        <f>COUNTIF('Nộp báo cáo'!$A$3:$A$1993,'Tổng 24-25'!B266)</f>
        <v>2</v>
      </c>
      <c r="J266" s="91"/>
    </row>
    <row r="267" spans="1:10" ht="18.75" customHeight="1" x14ac:dyDescent="0.3">
      <c r="A267" s="31">
        <v>261</v>
      </c>
      <c r="B267" s="107">
        <v>2041222688</v>
      </c>
      <c r="C267" s="33" t="s">
        <v>1093</v>
      </c>
      <c r="D267" s="34" t="s">
        <v>91</v>
      </c>
      <c r="E267" s="32" t="s">
        <v>375</v>
      </c>
      <c r="F267" s="35" t="s">
        <v>148</v>
      </c>
      <c r="G267" s="36" t="s">
        <v>133</v>
      </c>
      <c r="H267" s="30">
        <f>VLOOKUP(B267,'Dữ liệu TQNM'!$B$7:$F$769,5,0)</f>
        <v>3</v>
      </c>
      <c r="I267" s="30">
        <f>COUNTIF('Nộp báo cáo'!$A$3:$A$1993,'Tổng 24-25'!B267)</f>
        <v>3</v>
      </c>
      <c r="J267" s="91"/>
    </row>
    <row r="268" spans="1:10" ht="18.75" customHeight="1" x14ac:dyDescent="0.3">
      <c r="A268" s="31">
        <v>262</v>
      </c>
      <c r="B268" s="107">
        <v>2041222734</v>
      </c>
      <c r="C268" s="33" t="s">
        <v>1094</v>
      </c>
      <c r="D268" s="34" t="s">
        <v>905</v>
      </c>
      <c r="E268" s="32" t="s">
        <v>671</v>
      </c>
      <c r="F268" s="35" t="s">
        <v>148</v>
      </c>
      <c r="G268" s="36" t="s">
        <v>133</v>
      </c>
      <c r="H268" s="30">
        <f>VLOOKUP(B268,'Dữ liệu TQNM'!$B$7:$F$769,5,0)</f>
        <v>3</v>
      </c>
      <c r="I268" s="30">
        <f>COUNTIF('Nộp báo cáo'!$A$3:$A$1993,'Tổng 24-25'!B268)</f>
        <v>3</v>
      </c>
      <c r="J268" s="91"/>
    </row>
    <row r="269" spans="1:10" s="18" customFormat="1" ht="18.75" customHeight="1" x14ac:dyDescent="0.3">
      <c r="A269" s="19">
        <v>263</v>
      </c>
      <c r="B269" s="20">
        <v>2041222755</v>
      </c>
      <c r="C269" s="21" t="s">
        <v>151</v>
      </c>
      <c r="D269" s="22" t="s">
        <v>152</v>
      </c>
      <c r="E269" s="20" t="s">
        <v>153</v>
      </c>
      <c r="F269" s="23" t="s">
        <v>148</v>
      </c>
      <c r="G269" s="30" t="s">
        <v>133</v>
      </c>
      <c r="H269" s="30">
        <f>VLOOKUP(B269,'Dữ liệu TQNM'!$B$7:$F$769,5,0)</f>
        <v>4</v>
      </c>
      <c r="I269" s="30">
        <f>COUNTIF('Nộp báo cáo'!$A$3:$A$1993,'Tổng 24-25'!B269)</f>
        <v>3</v>
      </c>
      <c r="J269" s="91"/>
    </row>
    <row r="270" spans="1:10" ht="18.75" customHeight="1" x14ac:dyDescent="0.3">
      <c r="A270" s="31">
        <v>264</v>
      </c>
      <c r="B270" s="107">
        <v>2041222836</v>
      </c>
      <c r="C270" s="33" t="s">
        <v>1095</v>
      </c>
      <c r="D270" s="34" t="s">
        <v>362</v>
      </c>
      <c r="E270" s="32" t="s">
        <v>974</v>
      </c>
      <c r="F270" s="35" t="s">
        <v>148</v>
      </c>
      <c r="G270" s="36" t="s">
        <v>133</v>
      </c>
      <c r="H270" s="30">
        <f>VLOOKUP(B270,'Dữ liệu TQNM'!$B$7:$F$769,5,0)</f>
        <v>2</v>
      </c>
      <c r="I270" s="30">
        <f>COUNTIF('Nộp báo cáo'!$A$3:$A$1993,'Tổng 24-25'!B270)</f>
        <v>3</v>
      </c>
      <c r="J270" s="91"/>
    </row>
    <row r="271" spans="1:10" ht="18.75" customHeight="1" x14ac:dyDescent="0.3">
      <c r="A271" s="31">
        <v>265</v>
      </c>
      <c r="B271" s="107">
        <v>2041223376</v>
      </c>
      <c r="C271" s="33" t="s">
        <v>1096</v>
      </c>
      <c r="D271" s="34" t="s">
        <v>76</v>
      </c>
      <c r="E271" s="32" t="s">
        <v>529</v>
      </c>
      <c r="F271" s="35" t="s">
        <v>148</v>
      </c>
      <c r="G271" s="36" t="s">
        <v>133</v>
      </c>
      <c r="H271" s="30">
        <f>VLOOKUP(B271,'Dữ liệu TQNM'!$B$7:$F$769,5,0)</f>
        <v>2</v>
      </c>
      <c r="I271" s="30">
        <f>COUNTIF('Nộp báo cáo'!$A$3:$A$1993,'Tổng 24-25'!B271)</f>
        <v>3</v>
      </c>
      <c r="J271" s="91"/>
    </row>
    <row r="272" spans="1:10" s="18" customFormat="1" ht="18.75" customHeight="1" x14ac:dyDescent="0.3">
      <c r="A272" s="19">
        <v>266</v>
      </c>
      <c r="B272" s="20">
        <v>2041223428</v>
      </c>
      <c r="C272" s="21" t="s">
        <v>160</v>
      </c>
      <c r="D272" s="22" t="s">
        <v>161</v>
      </c>
      <c r="E272" s="20" t="s">
        <v>1097</v>
      </c>
      <c r="F272" s="23" t="s">
        <v>148</v>
      </c>
      <c r="G272" s="30" t="s">
        <v>133</v>
      </c>
      <c r="H272" s="30">
        <f>VLOOKUP(B272,'Dữ liệu TQNM'!$B$7:$F$769,5,0)</f>
        <v>2</v>
      </c>
      <c r="I272" s="30">
        <f>COUNTIF('Nộp báo cáo'!$A$3:$A$1993,'Tổng 24-25'!B272)</f>
        <v>1</v>
      </c>
      <c r="J272" s="91"/>
    </row>
    <row r="273" spans="1:10" ht="18.75" customHeight="1" x14ac:dyDescent="0.3">
      <c r="A273" s="31">
        <v>267</v>
      </c>
      <c r="B273" s="107">
        <v>2041223425</v>
      </c>
      <c r="C273" s="33" t="s">
        <v>126</v>
      </c>
      <c r="D273" s="34" t="s">
        <v>161</v>
      </c>
      <c r="E273" s="32" t="s">
        <v>805</v>
      </c>
      <c r="F273" s="35" t="s">
        <v>148</v>
      </c>
      <c r="G273" s="36" t="s">
        <v>133</v>
      </c>
      <c r="H273" s="30">
        <f>VLOOKUP(B273,'Dữ liệu TQNM'!$B$7:$F$769,5,0)</f>
        <v>3</v>
      </c>
      <c r="I273" s="30">
        <f>COUNTIF('Nộp báo cáo'!$A$3:$A$1993,'Tổng 24-25'!B273)</f>
        <v>3</v>
      </c>
      <c r="J273" s="91"/>
    </row>
    <row r="274" spans="1:10" ht="18.75" customHeight="1" x14ac:dyDescent="0.3">
      <c r="A274" s="31">
        <v>268</v>
      </c>
      <c r="B274" s="107">
        <v>2041222804</v>
      </c>
      <c r="C274" s="33" t="s">
        <v>1098</v>
      </c>
      <c r="D274" s="34" t="s">
        <v>1099</v>
      </c>
      <c r="E274" s="32" t="s">
        <v>1100</v>
      </c>
      <c r="F274" s="35" t="s">
        <v>148</v>
      </c>
      <c r="G274" s="36" t="s">
        <v>133</v>
      </c>
      <c r="H274" s="30">
        <f>VLOOKUP(B274,'Dữ liệu TQNM'!$B$7:$F$769,5,0)</f>
        <v>0</v>
      </c>
      <c r="I274" s="30">
        <f>COUNTIF('Nộp báo cáo'!$A$3:$A$1993,'Tổng 24-25'!B274)</f>
        <v>0</v>
      </c>
      <c r="J274" s="91"/>
    </row>
    <row r="275" spans="1:10" s="18" customFormat="1" ht="18.75" customHeight="1" x14ac:dyDescent="0.3">
      <c r="A275" s="19">
        <v>269</v>
      </c>
      <c r="B275" s="20">
        <v>2041222814</v>
      </c>
      <c r="C275" s="21" t="s">
        <v>162</v>
      </c>
      <c r="D275" s="22" t="s">
        <v>163</v>
      </c>
      <c r="E275" s="20" t="s">
        <v>164</v>
      </c>
      <c r="F275" s="23" t="s">
        <v>148</v>
      </c>
      <c r="G275" s="30" t="s">
        <v>133</v>
      </c>
      <c r="H275" s="30">
        <f>VLOOKUP(B275,'Dữ liệu TQNM'!$B$7:$F$769,5,0)</f>
        <v>2</v>
      </c>
      <c r="I275" s="30">
        <f>COUNTIF('Nộp báo cáo'!$A$3:$A$1993,'Tổng 24-25'!B275)</f>
        <v>2</v>
      </c>
      <c r="J275" s="91"/>
    </row>
    <row r="276" spans="1:10" s="18" customFormat="1" ht="18.75" customHeight="1" x14ac:dyDescent="0.3">
      <c r="A276" s="19">
        <v>270</v>
      </c>
      <c r="B276" s="20">
        <v>2041223767</v>
      </c>
      <c r="C276" s="21" t="s">
        <v>87</v>
      </c>
      <c r="D276" s="22" t="s">
        <v>154</v>
      </c>
      <c r="E276" s="20" t="s">
        <v>155</v>
      </c>
      <c r="F276" s="23" t="s">
        <v>148</v>
      </c>
      <c r="G276" s="30" t="s">
        <v>133</v>
      </c>
      <c r="H276" s="30">
        <f>VLOOKUP(B276,'Dữ liệu TQNM'!$B$7:$F$769,5,0)</f>
        <v>2</v>
      </c>
      <c r="I276" s="30">
        <f>COUNTIF('Nộp báo cáo'!$A$3:$A$1993,'Tổng 24-25'!B276)</f>
        <v>3</v>
      </c>
      <c r="J276" s="91"/>
    </row>
    <row r="277" spans="1:10" s="18" customFormat="1" ht="18.75" customHeight="1" x14ac:dyDescent="0.3">
      <c r="A277" s="19">
        <v>271</v>
      </c>
      <c r="B277" s="20">
        <v>2041223998</v>
      </c>
      <c r="C277" s="21" t="s">
        <v>146</v>
      </c>
      <c r="D277" s="22" t="s">
        <v>147</v>
      </c>
      <c r="E277" s="20" t="s">
        <v>1101</v>
      </c>
      <c r="F277" s="23" t="s">
        <v>148</v>
      </c>
      <c r="G277" s="30" t="s">
        <v>133</v>
      </c>
      <c r="H277" s="30">
        <f>VLOOKUP(B277,'Dữ liệu TQNM'!$B$7:$F$769,5,0)</f>
        <v>2</v>
      </c>
      <c r="I277" s="30">
        <f>COUNTIF('Nộp báo cáo'!$A$3:$A$1993,'Tổng 24-25'!B277)</f>
        <v>2</v>
      </c>
      <c r="J277" s="91"/>
    </row>
    <row r="278" spans="1:10" s="18" customFormat="1" ht="18.75" customHeight="1" x14ac:dyDescent="0.3">
      <c r="A278" s="19">
        <v>272</v>
      </c>
      <c r="B278" s="20">
        <v>2041224037</v>
      </c>
      <c r="C278" s="21" t="s">
        <v>180</v>
      </c>
      <c r="D278" s="22" t="s">
        <v>181</v>
      </c>
      <c r="E278" s="20" t="s">
        <v>1102</v>
      </c>
      <c r="F278" s="23" t="s">
        <v>148</v>
      </c>
      <c r="G278" s="30" t="s">
        <v>133</v>
      </c>
      <c r="H278" s="30">
        <f>VLOOKUP(B278,'Dữ liệu TQNM'!$B$7:$F$769,5,0)</f>
        <v>3</v>
      </c>
      <c r="I278" s="30">
        <f>COUNTIF('Nộp báo cáo'!$A$3:$A$1993,'Tổng 24-25'!B278)</f>
        <v>3</v>
      </c>
      <c r="J278" s="91"/>
    </row>
    <row r="279" spans="1:10" ht="18.75" customHeight="1" x14ac:dyDescent="0.3">
      <c r="A279" s="31">
        <v>273</v>
      </c>
      <c r="B279" s="107">
        <v>2041224112</v>
      </c>
      <c r="C279" s="33" t="s">
        <v>1103</v>
      </c>
      <c r="D279" s="34" t="s">
        <v>65</v>
      </c>
      <c r="E279" s="32" t="s">
        <v>1104</v>
      </c>
      <c r="F279" s="35" t="s">
        <v>148</v>
      </c>
      <c r="G279" s="36" t="s">
        <v>133</v>
      </c>
      <c r="H279" s="30">
        <f>VLOOKUP(B279,'Dữ liệu TQNM'!$B$7:$F$769,5,0)</f>
        <v>2</v>
      </c>
      <c r="I279" s="30">
        <f>COUNTIF('Nộp báo cáo'!$A$3:$A$1993,'Tổng 24-25'!B279)</f>
        <v>3</v>
      </c>
      <c r="J279" s="91"/>
    </row>
    <row r="280" spans="1:10" ht="18.75" customHeight="1" x14ac:dyDescent="0.3">
      <c r="A280" s="31">
        <v>274</v>
      </c>
      <c r="B280" s="107">
        <v>2041224065</v>
      </c>
      <c r="C280" s="33" t="s">
        <v>783</v>
      </c>
      <c r="D280" s="34" t="s">
        <v>65</v>
      </c>
      <c r="E280" s="32" t="s">
        <v>937</v>
      </c>
      <c r="F280" s="35" t="s">
        <v>148</v>
      </c>
      <c r="G280" s="36" t="s">
        <v>133</v>
      </c>
      <c r="H280" s="30">
        <f>VLOOKUP(B280,'Dữ liệu TQNM'!$B$7:$F$769,5,0)</f>
        <v>2</v>
      </c>
      <c r="I280" s="30">
        <f>COUNTIF('Nộp báo cáo'!$A$3:$A$1993,'Tổng 24-25'!B280)</f>
        <v>3</v>
      </c>
      <c r="J280" s="91" t="s">
        <v>1290</v>
      </c>
    </row>
    <row r="281" spans="1:10" s="18" customFormat="1" ht="18.75" customHeight="1" x14ac:dyDescent="0.3">
      <c r="A281" s="19">
        <v>275</v>
      </c>
      <c r="B281" s="20">
        <v>2041224166</v>
      </c>
      <c r="C281" s="21" t="s">
        <v>44</v>
      </c>
      <c r="D281" s="22" t="s">
        <v>194</v>
      </c>
      <c r="E281" s="20" t="s">
        <v>936</v>
      </c>
      <c r="F281" s="23" t="s">
        <v>148</v>
      </c>
      <c r="G281" s="30" t="s">
        <v>133</v>
      </c>
      <c r="H281" s="30">
        <f>VLOOKUP(B281,'Dữ liệu TQNM'!$B$7:$F$769,5,0)</f>
        <v>2</v>
      </c>
      <c r="I281" s="30">
        <f>COUNTIF('Nộp báo cáo'!$A$3:$A$1993,'Tổng 24-25'!B281)</f>
        <v>3</v>
      </c>
      <c r="J281" s="91"/>
    </row>
    <row r="282" spans="1:10" ht="18.75" customHeight="1" x14ac:dyDescent="0.3">
      <c r="A282" s="31">
        <v>276</v>
      </c>
      <c r="B282" s="107">
        <v>2041224260</v>
      </c>
      <c r="C282" s="33" t="s">
        <v>1105</v>
      </c>
      <c r="D282" s="34" t="s">
        <v>142</v>
      </c>
      <c r="E282" s="32" t="s">
        <v>799</v>
      </c>
      <c r="F282" s="35" t="s">
        <v>148</v>
      </c>
      <c r="G282" s="36" t="s">
        <v>133</v>
      </c>
      <c r="H282" s="30">
        <f>VLOOKUP(B282,'Dữ liệu TQNM'!$B$7:$F$769,5,0)</f>
        <v>0</v>
      </c>
      <c r="I282" s="30">
        <f>COUNTIF('Nộp báo cáo'!$A$3:$A$1993,'Tổng 24-25'!B282)</f>
        <v>0</v>
      </c>
      <c r="J282" s="91"/>
    </row>
    <row r="283" spans="1:10" s="18" customFormat="1" ht="18.75" customHeight="1" x14ac:dyDescent="0.3">
      <c r="A283" s="19">
        <v>277</v>
      </c>
      <c r="B283" s="20">
        <v>2041224656</v>
      </c>
      <c r="C283" s="21" t="s">
        <v>182</v>
      </c>
      <c r="D283" s="22" t="s">
        <v>183</v>
      </c>
      <c r="E283" s="20" t="s">
        <v>1012</v>
      </c>
      <c r="F283" s="23" t="s">
        <v>148</v>
      </c>
      <c r="G283" s="30" t="s">
        <v>133</v>
      </c>
      <c r="H283" s="30">
        <f>VLOOKUP(B283,'Dữ liệu TQNM'!$B$7:$F$769,5,0)</f>
        <v>2</v>
      </c>
      <c r="I283" s="30">
        <f>COUNTIF('Nộp báo cáo'!$A$3:$A$1993,'Tổng 24-25'!B283)</f>
        <v>4</v>
      </c>
      <c r="J283" s="91"/>
    </row>
    <row r="284" spans="1:10" ht="18.75" customHeight="1" x14ac:dyDescent="0.3">
      <c r="A284" s="31">
        <v>278</v>
      </c>
      <c r="B284" s="107">
        <v>2041224669</v>
      </c>
      <c r="C284" s="33" t="s">
        <v>1106</v>
      </c>
      <c r="D284" s="34" t="s">
        <v>100</v>
      </c>
      <c r="E284" s="32" t="s">
        <v>971</v>
      </c>
      <c r="F284" s="35" t="s">
        <v>148</v>
      </c>
      <c r="G284" s="36" t="s">
        <v>133</v>
      </c>
      <c r="H284" s="30">
        <f>VLOOKUP(B284,'Dữ liệu TQNM'!$B$7:$F$769,5,0)</f>
        <v>2</v>
      </c>
      <c r="I284" s="30">
        <f>COUNTIF('Nộp báo cáo'!$A$3:$A$1993,'Tổng 24-25'!B284)</f>
        <v>1</v>
      </c>
      <c r="J284" s="91"/>
    </row>
    <row r="285" spans="1:10" s="18" customFormat="1" ht="18.75" customHeight="1" x14ac:dyDescent="0.3">
      <c r="A285" s="19">
        <v>279</v>
      </c>
      <c r="B285" s="20">
        <v>2041224811</v>
      </c>
      <c r="C285" s="21" t="s">
        <v>165</v>
      </c>
      <c r="D285" s="22" t="s">
        <v>102</v>
      </c>
      <c r="E285" s="20" t="s">
        <v>166</v>
      </c>
      <c r="F285" s="23" t="s">
        <v>148</v>
      </c>
      <c r="G285" s="30" t="s">
        <v>133</v>
      </c>
      <c r="H285" s="30">
        <f>VLOOKUP(B285,'Dữ liệu TQNM'!$B$7:$F$769,5,0)</f>
        <v>4</v>
      </c>
      <c r="I285" s="30">
        <f>COUNTIF('Nộp báo cáo'!$A$3:$A$1993,'Tổng 24-25'!B285)</f>
        <v>1</v>
      </c>
      <c r="J285" s="91"/>
    </row>
    <row r="286" spans="1:10" s="18" customFormat="1" ht="18.75" customHeight="1" x14ac:dyDescent="0.3">
      <c r="A286" s="19">
        <v>280</v>
      </c>
      <c r="B286" s="20">
        <v>2041224787</v>
      </c>
      <c r="C286" s="21" t="s">
        <v>184</v>
      </c>
      <c r="D286" s="22" t="s">
        <v>102</v>
      </c>
      <c r="E286" s="20" t="s">
        <v>185</v>
      </c>
      <c r="F286" s="23" t="s">
        <v>148</v>
      </c>
      <c r="G286" s="30" t="s">
        <v>133</v>
      </c>
      <c r="H286" s="30">
        <f>VLOOKUP(B286,'Dữ liệu TQNM'!$B$7:$F$769,5,0)</f>
        <v>3</v>
      </c>
      <c r="I286" s="30">
        <f>COUNTIF('Nộp báo cáo'!$A$3:$A$1993,'Tổng 24-25'!B286)</f>
        <v>3</v>
      </c>
      <c r="J286" s="91"/>
    </row>
    <row r="287" spans="1:10" s="18" customFormat="1" ht="18.75" customHeight="1" x14ac:dyDescent="0.3">
      <c r="A287" s="19">
        <v>281</v>
      </c>
      <c r="B287" s="20">
        <v>2041225179</v>
      </c>
      <c r="C287" s="21" t="s">
        <v>186</v>
      </c>
      <c r="D287" s="22" t="s">
        <v>123</v>
      </c>
      <c r="E287" s="20" t="s">
        <v>187</v>
      </c>
      <c r="F287" s="23" t="s">
        <v>148</v>
      </c>
      <c r="G287" s="30" t="s">
        <v>133</v>
      </c>
      <c r="H287" s="30">
        <f>VLOOKUP(B287,'Dữ liệu TQNM'!$B$7:$F$769,5,0)</f>
        <v>3</v>
      </c>
      <c r="I287" s="30">
        <f>COUNTIF('Nộp báo cáo'!$A$3:$A$1993,'Tổng 24-25'!B287)</f>
        <v>3</v>
      </c>
      <c r="J287" s="91"/>
    </row>
    <row r="288" spans="1:10" ht="18.75" customHeight="1" x14ac:dyDescent="0.3">
      <c r="A288" s="31">
        <v>282</v>
      </c>
      <c r="B288" s="107">
        <v>2041225301</v>
      </c>
      <c r="C288" s="33" t="s">
        <v>1107</v>
      </c>
      <c r="D288" s="34" t="s">
        <v>514</v>
      </c>
      <c r="E288" s="32" t="s">
        <v>984</v>
      </c>
      <c r="F288" s="35" t="s">
        <v>148</v>
      </c>
      <c r="G288" s="36" t="s">
        <v>133</v>
      </c>
      <c r="H288" s="30">
        <f>VLOOKUP(B288,'Dữ liệu TQNM'!$B$7:$F$769,5,0)</f>
        <v>2</v>
      </c>
      <c r="I288" s="30">
        <f>COUNTIF('Nộp báo cáo'!$A$3:$A$1993,'Tổng 24-25'!B288)</f>
        <v>3</v>
      </c>
      <c r="J288" s="91"/>
    </row>
    <row r="289" spans="1:10" ht="18.75" customHeight="1" x14ac:dyDescent="0.3">
      <c r="A289" s="31">
        <v>283</v>
      </c>
      <c r="B289" s="107">
        <v>2041225296</v>
      </c>
      <c r="C289" s="33" t="s">
        <v>1108</v>
      </c>
      <c r="D289" s="34" t="s">
        <v>514</v>
      </c>
      <c r="E289" s="32" t="s">
        <v>954</v>
      </c>
      <c r="F289" s="35" t="s">
        <v>148</v>
      </c>
      <c r="G289" s="36" t="s">
        <v>133</v>
      </c>
      <c r="H289" s="30">
        <f>VLOOKUP(B289,'Dữ liệu TQNM'!$B$7:$F$769,5,0)</f>
        <v>3</v>
      </c>
      <c r="I289" s="30">
        <f>COUNTIF('Nộp báo cáo'!$A$3:$A$1993,'Tổng 24-25'!B289)</f>
        <v>3</v>
      </c>
      <c r="J289" s="91"/>
    </row>
    <row r="290" spans="1:10" ht="18.75" customHeight="1" x14ac:dyDescent="0.3">
      <c r="A290" s="31">
        <v>284</v>
      </c>
      <c r="B290" s="107">
        <v>2041225111</v>
      </c>
      <c r="C290" s="33" t="s">
        <v>1109</v>
      </c>
      <c r="D290" s="34" t="s">
        <v>125</v>
      </c>
      <c r="E290" s="32" t="s">
        <v>247</v>
      </c>
      <c r="F290" s="35" t="s">
        <v>148</v>
      </c>
      <c r="G290" s="36" t="s">
        <v>133</v>
      </c>
      <c r="H290" s="30">
        <f>VLOOKUP(B290,'Dữ liệu TQNM'!$B$7:$F$769,5,0)</f>
        <v>2</v>
      </c>
      <c r="I290" s="30">
        <f>COUNTIF('Nộp báo cáo'!$A$3:$A$1993,'Tổng 24-25'!B290)</f>
        <v>3</v>
      </c>
      <c r="J290" s="91"/>
    </row>
    <row r="291" spans="1:10" s="18" customFormat="1" ht="18.75" customHeight="1" x14ac:dyDescent="0.3">
      <c r="A291" s="19">
        <v>285</v>
      </c>
      <c r="B291" s="20">
        <v>2041224352</v>
      </c>
      <c r="C291" s="21" t="s">
        <v>156</v>
      </c>
      <c r="D291" s="22" t="s">
        <v>54</v>
      </c>
      <c r="E291" s="20" t="s">
        <v>1110</v>
      </c>
      <c r="F291" s="23" t="s">
        <v>148</v>
      </c>
      <c r="G291" s="30" t="s">
        <v>133</v>
      </c>
      <c r="H291" s="30">
        <f>VLOOKUP(B291,'Dữ liệu TQNM'!$B$7:$F$769,5,0)</f>
        <v>3</v>
      </c>
      <c r="I291" s="30">
        <f>COUNTIF('Nộp báo cáo'!$A$3:$A$1993,'Tổng 24-25'!B291)</f>
        <v>3</v>
      </c>
      <c r="J291" s="91"/>
    </row>
    <row r="292" spans="1:10" s="18" customFormat="1" ht="18.75" customHeight="1" x14ac:dyDescent="0.3">
      <c r="A292" s="19">
        <v>286</v>
      </c>
      <c r="B292" s="20">
        <v>2041224424</v>
      </c>
      <c r="C292" s="21" t="s">
        <v>188</v>
      </c>
      <c r="D292" s="22" t="s">
        <v>189</v>
      </c>
      <c r="E292" s="20" t="s">
        <v>1111</v>
      </c>
      <c r="F292" s="23" t="s">
        <v>148</v>
      </c>
      <c r="G292" s="30" t="s">
        <v>133</v>
      </c>
      <c r="H292" s="30">
        <f>VLOOKUP(B292,'Dữ liệu TQNM'!$B$7:$F$769,5,0)</f>
        <v>2</v>
      </c>
      <c r="I292" s="30">
        <f>COUNTIF('Nộp báo cáo'!$A$3:$A$1993,'Tổng 24-25'!B292)</f>
        <v>2</v>
      </c>
      <c r="J292" s="91"/>
    </row>
    <row r="293" spans="1:10" s="18" customFormat="1" ht="18.75" customHeight="1" x14ac:dyDescent="0.3">
      <c r="A293" s="19">
        <v>287</v>
      </c>
      <c r="B293" s="20">
        <v>2041225523</v>
      </c>
      <c r="C293" s="21" t="s">
        <v>190</v>
      </c>
      <c r="D293" s="22" t="s">
        <v>168</v>
      </c>
      <c r="E293" s="20" t="s">
        <v>1038</v>
      </c>
      <c r="F293" s="23" t="s">
        <v>148</v>
      </c>
      <c r="G293" s="30" t="s">
        <v>133</v>
      </c>
      <c r="H293" s="30">
        <f>VLOOKUP(B293,'Dữ liệu TQNM'!$B$7:$F$769,5,0)</f>
        <v>3</v>
      </c>
      <c r="I293" s="30">
        <f>COUNTIF('Nộp báo cáo'!$A$3:$A$1993,'Tổng 24-25'!B293)</f>
        <v>3</v>
      </c>
      <c r="J293" s="91"/>
    </row>
    <row r="294" spans="1:10" s="18" customFormat="1" ht="18.75" customHeight="1" x14ac:dyDescent="0.3">
      <c r="A294" s="19">
        <v>288</v>
      </c>
      <c r="B294" s="20">
        <v>2041225524</v>
      </c>
      <c r="C294" s="21" t="s">
        <v>167</v>
      </c>
      <c r="D294" s="22" t="s">
        <v>168</v>
      </c>
      <c r="E294" s="20" t="s">
        <v>169</v>
      </c>
      <c r="F294" s="23" t="s">
        <v>148</v>
      </c>
      <c r="G294" s="30" t="s">
        <v>133</v>
      </c>
      <c r="H294" s="30">
        <f>VLOOKUP(B294,'Dữ liệu TQNM'!$B$7:$F$769,5,0)</f>
        <v>2</v>
      </c>
      <c r="I294" s="30">
        <f>COUNTIF('Nộp báo cáo'!$A$3:$A$1993,'Tổng 24-25'!B294)</f>
        <v>3</v>
      </c>
      <c r="J294" s="91"/>
    </row>
    <row r="295" spans="1:10" ht="18.75" customHeight="1" x14ac:dyDescent="0.3">
      <c r="A295" s="31">
        <v>289</v>
      </c>
      <c r="B295" s="107">
        <v>2041225668</v>
      </c>
      <c r="C295" s="33" t="s">
        <v>1112</v>
      </c>
      <c r="D295" s="34" t="s">
        <v>714</v>
      </c>
      <c r="E295" s="32" t="s">
        <v>1113</v>
      </c>
      <c r="F295" s="35" t="s">
        <v>148</v>
      </c>
      <c r="G295" s="36" t="s">
        <v>441</v>
      </c>
      <c r="H295" s="30">
        <f>VLOOKUP(B295,'Dữ liệu TQNM'!$B$7:$F$769,5,0)</f>
        <v>4</v>
      </c>
      <c r="I295" s="30">
        <f>COUNTIF('Nộp báo cáo'!$A$3:$A$1993,'Tổng 24-25'!B295)</f>
        <v>3</v>
      </c>
      <c r="J295" s="91"/>
    </row>
    <row r="296" spans="1:10" ht="18.75" customHeight="1" x14ac:dyDescent="0.3">
      <c r="A296" s="31">
        <v>290</v>
      </c>
      <c r="B296" s="107">
        <v>2041224495</v>
      </c>
      <c r="C296" s="33" t="s">
        <v>519</v>
      </c>
      <c r="D296" s="34" t="s">
        <v>335</v>
      </c>
      <c r="E296" s="32" t="s">
        <v>964</v>
      </c>
      <c r="F296" s="35" t="s">
        <v>148</v>
      </c>
      <c r="G296" s="36" t="s">
        <v>441</v>
      </c>
      <c r="H296" s="30">
        <f>VLOOKUP(B296,'Dữ liệu TQNM'!$B$7:$F$769,5,0)</f>
        <v>2</v>
      </c>
      <c r="I296" s="30">
        <f>COUNTIF('Nộp báo cáo'!$A$3:$A$1993,'Tổng 24-25'!B296)</f>
        <v>3</v>
      </c>
      <c r="J296" s="91"/>
    </row>
    <row r="297" spans="1:10" ht="18.75" customHeight="1" x14ac:dyDescent="0.3">
      <c r="A297" s="31">
        <v>291</v>
      </c>
      <c r="B297" s="107">
        <v>2041225749</v>
      </c>
      <c r="C297" s="33" t="s">
        <v>44</v>
      </c>
      <c r="D297" s="34" t="s">
        <v>280</v>
      </c>
      <c r="E297" s="32" t="s">
        <v>603</v>
      </c>
      <c r="F297" s="35" t="s">
        <v>148</v>
      </c>
      <c r="G297" s="36" t="s">
        <v>441</v>
      </c>
      <c r="H297" s="30">
        <f>VLOOKUP(B297,'Dữ liệu TQNM'!$B$7:$F$769,5,0)</f>
        <v>2</v>
      </c>
      <c r="I297" s="30">
        <f>COUNTIF('Nộp báo cáo'!$A$3:$A$1993,'Tổng 24-25'!B297)</f>
        <v>3</v>
      </c>
      <c r="J297" s="91"/>
    </row>
    <row r="298" spans="1:10" ht="18.75" customHeight="1" x14ac:dyDescent="0.3">
      <c r="A298" s="31">
        <v>292</v>
      </c>
      <c r="B298" s="107">
        <v>2041225754</v>
      </c>
      <c r="C298" s="33" t="s">
        <v>800</v>
      </c>
      <c r="D298" s="34" t="s">
        <v>280</v>
      </c>
      <c r="E298" s="32" t="s">
        <v>224</v>
      </c>
      <c r="F298" s="35" t="s">
        <v>148</v>
      </c>
      <c r="G298" s="36" t="s">
        <v>441</v>
      </c>
      <c r="H298" s="30">
        <f>VLOOKUP(B298,'Dữ liệu TQNM'!$B$7:$F$769,5,0)</f>
        <v>3</v>
      </c>
      <c r="I298" s="30">
        <f>COUNTIF('Nộp báo cáo'!$A$3:$A$1993,'Tổng 24-25'!B298)</f>
        <v>3</v>
      </c>
      <c r="J298" s="91"/>
    </row>
    <row r="299" spans="1:10" ht="18.75" customHeight="1" x14ac:dyDescent="0.3">
      <c r="A299" s="31">
        <v>293</v>
      </c>
      <c r="B299" s="107">
        <v>2041225790</v>
      </c>
      <c r="C299" s="33" t="s">
        <v>1114</v>
      </c>
      <c r="D299" s="34" t="s">
        <v>262</v>
      </c>
      <c r="E299" s="32" t="s">
        <v>1088</v>
      </c>
      <c r="F299" s="35" t="s">
        <v>148</v>
      </c>
      <c r="G299" s="36" t="s">
        <v>441</v>
      </c>
      <c r="H299" s="30">
        <f>VLOOKUP(B299,'Dữ liệu TQNM'!$B$7:$F$769,5,0)</f>
        <v>3</v>
      </c>
      <c r="I299" s="30">
        <f>COUNTIF('Nộp báo cáo'!$A$3:$A$1993,'Tổng 24-25'!B299)</f>
        <v>4</v>
      </c>
      <c r="J299" s="91"/>
    </row>
    <row r="300" spans="1:10" s="18" customFormat="1" ht="18.75" customHeight="1" x14ac:dyDescent="0.3">
      <c r="A300" s="19">
        <v>294</v>
      </c>
      <c r="B300" s="20">
        <v>2041225813</v>
      </c>
      <c r="C300" s="21" t="s">
        <v>440</v>
      </c>
      <c r="D300" s="22" t="s">
        <v>66</v>
      </c>
      <c r="E300" s="20" t="s">
        <v>990</v>
      </c>
      <c r="F300" s="23" t="s">
        <v>148</v>
      </c>
      <c r="G300" s="30" t="s">
        <v>441</v>
      </c>
      <c r="H300" s="30">
        <f>VLOOKUP(B300,'Dữ liệu TQNM'!$B$7:$F$769,5,0)</f>
        <v>2</v>
      </c>
      <c r="I300" s="30">
        <f>COUNTIF('Nộp báo cáo'!$A$3:$A$1993,'Tổng 24-25'!B300)</f>
        <v>2</v>
      </c>
      <c r="J300" s="91"/>
    </row>
    <row r="301" spans="1:10" ht="18.75" customHeight="1" x14ac:dyDescent="0.3">
      <c r="A301" s="31">
        <v>295</v>
      </c>
      <c r="B301" s="107">
        <v>2041225983</v>
      </c>
      <c r="C301" s="33" t="s">
        <v>1115</v>
      </c>
      <c r="D301" s="34" t="s">
        <v>56</v>
      </c>
      <c r="E301" s="32" t="s">
        <v>1116</v>
      </c>
      <c r="F301" s="35" t="s">
        <v>148</v>
      </c>
      <c r="G301" s="36" t="s">
        <v>441</v>
      </c>
      <c r="H301" s="30">
        <f>VLOOKUP(B301,'Dữ liệu TQNM'!$B$7:$F$769,5,0)</f>
        <v>3</v>
      </c>
      <c r="I301" s="30">
        <f>COUNTIF('Nộp báo cáo'!$A$3:$A$1993,'Tổng 24-25'!B301)</f>
        <v>3</v>
      </c>
      <c r="J301" s="91"/>
    </row>
    <row r="302" spans="1:10" s="18" customFormat="1" ht="18.75" customHeight="1" x14ac:dyDescent="0.3">
      <c r="A302" s="19">
        <v>296</v>
      </c>
      <c r="B302" s="20">
        <v>2041226001</v>
      </c>
      <c r="C302" s="21" t="s">
        <v>442</v>
      </c>
      <c r="D302" s="22" t="s">
        <v>56</v>
      </c>
      <c r="E302" s="20" t="s">
        <v>1097</v>
      </c>
      <c r="F302" s="23" t="s">
        <v>148</v>
      </c>
      <c r="G302" s="30" t="s">
        <v>441</v>
      </c>
      <c r="H302" s="30">
        <f>VLOOKUP(B302,'Dữ liệu TQNM'!$B$7:$F$769,5,0)</f>
        <v>1</v>
      </c>
      <c r="I302" s="30">
        <f>COUNTIF('Nộp báo cáo'!$A$3:$A$1993,'Tổng 24-25'!B302)</f>
        <v>1</v>
      </c>
      <c r="J302" s="91"/>
    </row>
    <row r="303" spans="1:10" ht="18.75" customHeight="1" x14ac:dyDescent="0.3">
      <c r="A303" s="31">
        <v>297</v>
      </c>
      <c r="B303" s="107">
        <v>2041225975</v>
      </c>
      <c r="C303" s="33" t="s">
        <v>1117</v>
      </c>
      <c r="D303" s="34" t="s">
        <v>56</v>
      </c>
      <c r="E303" s="32" t="s">
        <v>997</v>
      </c>
      <c r="F303" s="35" t="s">
        <v>148</v>
      </c>
      <c r="G303" s="36" t="s">
        <v>441</v>
      </c>
      <c r="H303" s="30">
        <f>VLOOKUP(B303,'Dữ liệu TQNM'!$B$7:$F$769,5,0)</f>
        <v>4</v>
      </c>
      <c r="I303" s="30">
        <f>COUNTIF('Nộp báo cáo'!$A$3:$A$1993,'Tổng 24-25'!B303)</f>
        <v>3</v>
      </c>
      <c r="J303" s="91"/>
    </row>
    <row r="304" spans="1:10" ht="18.75" customHeight="1" x14ac:dyDescent="0.3">
      <c r="A304" s="31">
        <v>298</v>
      </c>
      <c r="B304" s="107">
        <v>2041226076</v>
      </c>
      <c r="C304" s="33" t="s">
        <v>1118</v>
      </c>
      <c r="D304" s="34" t="s">
        <v>24</v>
      </c>
      <c r="E304" s="32" t="s">
        <v>291</v>
      </c>
      <c r="F304" s="35" t="s">
        <v>148</v>
      </c>
      <c r="G304" s="36" t="s">
        <v>441</v>
      </c>
      <c r="H304" s="30">
        <f>VLOOKUP(B304,'Dữ liệu TQNM'!$B$7:$F$769,5,0)</f>
        <v>4</v>
      </c>
      <c r="I304" s="30">
        <f>COUNTIF('Nộp báo cáo'!$A$3:$A$1993,'Tổng 24-25'!B304)</f>
        <v>3</v>
      </c>
      <c r="J304" s="91"/>
    </row>
    <row r="305" spans="1:10" ht="18.75" customHeight="1" x14ac:dyDescent="0.3">
      <c r="A305" s="31">
        <v>299</v>
      </c>
      <c r="B305" s="107">
        <v>2041226078</v>
      </c>
      <c r="C305" s="33" t="s">
        <v>1119</v>
      </c>
      <c r="D305" s="34" t="s">
        <v>24</v>
      </c>
      <c r="E305" s="32" t="s">
        <v>645</v>
      </c>
      <c r="F305" s="35" t="s">
        <v>148</v>
      </c>
      <c r="G305" s="36" t="s">
        <v>441</v>
      </c>
      <c r="H305" s="30">
        <f>VLOOKUP(B305,'Dữ liệu TQNM'!$B$7:$F$769,5,0)</f>
        <v>2</v>
      </c>
      <c r="I305" s="30">
        <f>COUNTIF('Nộp báo cáo'!$A$3:$A$1993,'Tổng 24-25'!B305)</f>
        <v>3</v>
      </c>
      <c r="J305" s="91"/>
    </row>
    <row r="306" spans="1:10" ht="18.75" customHeight="1" x14ac:dyDescent="0.3">
      <c r="A306" s="31">
        <v>300</v>
      </c>
      <c r="B306" s="107">
        <v>2041220013</v>
      </c>
      <c r="C306" s="33" t="s">
        <v>906</v>
      </c>
      <c r="D306" s="34" t="s">
        <v>71</v>
      </c>
      <c r="E306" s="32" t="s">
        <v>1120</v>
      </c>
      <c r="F306" s="35" t="s">
        <v>444</v>
      </c>
      <c r="G306" s="36" t="s">
        <v>441</v>
      </c>
      <c r="H306" s="30">
        <f>VLOOKUP(B306,'Dữ liệu TQNM'!$B$7:$F$769,5,0)</f>
        <v>2</v>
      </c>
      <c r="I306" s="30">
        <f>COUNTIF('Nộp báo cáo'!$A$3:$A$1993,'Tổng 24-25'!B306)</f>
        <v>3</v>
      </c>
      <c r="J306" s="91"/>
    </row>
    <row r="307" spans="1:10" s="18" customFormat="1" ht="18.75" customHeight="1" x14ac:dyDescent="0.3">
      <c r="A307" s="19">
        <v>301</v>
      </c>
      <c r="B307" s="20">
        <v>2041220119</v>
      </c>
      <c r="C307" s="21" t="s">
        <v>443</v>
      </c>
      <c r="D307" s="22" t="s">
        <v>36</v>
      </c>
      <c r="E307" s="20" t="s">
        <v>1121</v>
      </c>
      <c r="F307" s="23" t="s">
        <v>444</v>
      </c>
      <c r="G307" s="30" t="s">
        <v>441</v>
      </c>
      <c r="H307" s="30">
        <f>VLOOKUP(B307,'Dữ liệu TQNM'!$B$7:$F$769,5,0)</f>
        <v>2</v>
      </c>
      <c r="I307" s="30">
        <f>COUNTIF('Nộp báo cáo'!$A$3:$A$1993,'Tổng 24-25'!B307)</f>
        <v>1</v>
      </c>
      <c r="J307" s="91"/>
    </row>
    <row r="308" spans="1:10" ht="18.75" customHeight="1" x14ac:dyDescent="0.3">
      <c r="A308" s="31">
        <v>302</v>
      </c>
      <c r="B308" s="107">
        <v>2041220252</v>
      </c>
      <c r="C308" s="33" t="s">
        <v>502</v>
      </c>
      <c r="D308" s="34" t="s">
        <v>170</v>
      </c>
      <c r="E308" s="32" t="s">
        <v>209</v>
      </c>
      <c r="F308" s="35" t="s">
        <v>444</v>
      </c>
      <c r="G308" s="36" t="s">
        <v>441</v>
      </c>
      <c r="H308" s="30">
        <f>VLOOKUP(B308,'Dữ liệu TQNM'!$B$7:$F$769,5,0)</f>
        <v>0</v>
      </c>
      <c r="I308" s="30">
        <f>COUNTIF('Nộp báo cáo'!$A$3:$A$1993,'Tổng 24-25'!B308)</f>
        <v>0</v>
      </c>
      <c r="J308" s="91"/>
    </row>
    <row r="309" spans="1:10" ht="18.75" customHeight="1" x14ac:dyDescent="0.3">
      <c r="A309" s="31">
        <v>303</v>
      </c>
      <c r="B309" s="107">
        <v>2041220535</v>
      </c>
      <c r="C309" s="33" t="s">
        <v>1122</v>
      </c>
      <c r="D309" s="34" t="s">
        <v>533</v>
      </c>
      <c r="E309" s="32" t="s">
        <v>865</v>
      </c>
      <c r="F309" s="35" t="s">
        <v>444</v>
      </c>
      <c r="G309" s="36" t="s">
        <v>441</v>
      </c>
      <c r="H309" s="30">
        <f>VLOOKUP(B309,'Dữ liệu TQNM'!$B$7:$F$769,5,0)</f>
        <v>2</v>
      </c>
      <c r="I309" s="30">
        <f>COUNTIF('Nộp báo cáo'!$A$3:$A$1993,'Tổng 24-25'!B309)</f>
        <v>3</v>
      </c>
      <c r="J309" s="91"/>
    </row>
    <row r="310" spans="1:10" ht="18.75" customHeight="1" x14ac:dyDescent="0.3">
      <c r="A310" s="31">
        <v>304</v>
      </c>
      <c r="B310" s="107">
        <v>2041220538</v>
      </c>
      <c r="C310" s="33" t="s">
        <v>95</v>
      </c>
      <c r="D310" s="34" t="s">
        <v>533</v>
      </c>
      <c r="E310" s="32" t="s">
        <v>939</v>
      </c>
      <c r="F310" s="35" t="s">
        <v>444</v>
      </c>
      <c r="G310" s="36" t="s">
        <v>441</v>
      </c>
      <c r="H310" s="30">
        <f>VLOOKUP(B310,'Dữ liệu TQNM'!$B$7:$F$769,5,0)</f>
        <v>0</v>
      </c>
      <c r="I310" s="30">
        <f>COUNTIF('Nộp báo cáo'!$A$3:$A$1993,'Tổng 24-25'!B310)</f>
        <v>0</v>
      </c>
      <c r="J310" s="91"/>
    </row>
    <row r="311" spans="1:10" ht="18.75" customHeight="1" x14ac:dyDescent="0.3">
      <c r="A311" s="31">
        <v>305</v>
      </c>
      <c r="B311" s="107">
        <v>2041220466</v>
      </c>
      <c r="C311" s="33" t="s">
        <v>527</v>
      </c>
      <c r="D311" s="34" t="s">
        <v>324</v>
      </c>
      <c r="E311" s="32" t="s">
        <v>563</v>
      </c>
      <c r="F311" s="35" t="s">
        <v>444</v>
      </c>
      <c r="G311" s="36" t="s">
        <v>441</v>
      </c>
      <c r="H311" s="30">
        <f>VLOOKUP(B311,'Dữ liệu TQNM'!$B$7:$F$769,5,0)</f>
        <v>3</v>
      </c>
      <c r="I311" s="30">
        <f>COUNTIF('Nộp báo cáo'!$A$3:$A$1993,'Tổng 24-25'!B311)</f>
        <v>3</v>
      </c>
      <c r="J311" s="91"/>
    </row>
    <row r="312" spans="1:10" s="18" customFormat="1" ht="18.75" customHeight="1" x14ac:dyDescent="0.3">
      <c r="A312" s="19">
        <v>306</v>
      </c>
      <c r="B312" s="20">
        <v>2041220953</v>
      </c>
      <c r="C312" s="21" t="s">
        <v>445</v>
      </c>
      <c r="D312" s="22" t="s">
        <v>446</v>
      </c>
      <c r="E312" s="20" t="s">
        <v>447</v>
      </c>
      <c r="F312" s="23" t="s">
        <v>444</v>
      </c>
      <c r="G312" s="30" t="s">
        <v>441</v>
      </c>
      <c r="H312" s="30">
        <f>VLOOKUP(B312,'Dữ liệu TQNM'!$B$7:$F$769,5,0)</f>
        <v>2</v>
      </c>
      <c r="I312" s="30">
        <f>COUNTIF('Nộp báo cáo'!$A$3:$A$1993,'Tổng 24-25'!B312)</f>
        <v>0</v>
      </c>
      <c r="J312" s="91"/>
    </row>
    <row r="313" spans="1:10" ht="18.75" customHeight="1" x14ac:dyDescent="0.3">
      <c r="A313" s="31">
        <v>307</v>
      </c>
      <c r="B313" s="107">
        <v>2041220743</v>
      </c>
      <c r="C313" s="33" t="s">
        <v>1123</v>
      </c>
      <c r="D313" s="34" t="s">
        <v>73</v>
      </c>
      <c r="E313" s="32" t="s">
        <v>1124</v>
      </c>
      <c r="F313" s="35" t="s">
        <v>444</v>
      </c>
      <c r="G313" s="36" t="s">
        <v>441</v>
      </c>
      <c r="H313" s="30">
        <f>VLOOKUP(B313,'Dữ liệu TQNM'!$B$7:$F$769,5,0)</f>
        <v>0</v>
      </c>
      <c r="I313" s="30">
        <f>COUNTIF('Nộp báo cáo'!$A$3:$A$1993,'Tổng 24-25'!B313)</f>
        <v>0</v>
      </c>
      <c r="J313" s="91"/>
    </row>
    <row r="314" spans="1:10" s="18" customFormat="1" ht="18.75" customHeight="1" x14ac:dyDescent="0.3">
      <c r="A314" s="19">
        <v>308</v>
      </c>
      <c r="B314" s="20">
        <v>2041220739</v>
      </c>
      <c r="C314" s="21" t="s">
        <v>456</v>
      </c>
      <c r="D314" s="22" t="s">
        <v>73</v>
      </c>
      <c r="E314" s="20" t="s">
        <v>203</v>
      </c>
      <c r="F314" s="23" t="s">
        <v>444</v>
      </c>
      <c r="G314" s="30" t="s">
        <v>441</v>
      </c>
      <c r="H314" s="30">
        <f>VLOOKUP(B314,'Dữ liệu TQNM'!$B$7:$F$769,5,0)</f>
        <v>3</v>
      </c>
      <c r="I314" s="30">
        <f>COUNTIF('Nộp báo cáo'!$A$3:$A$1993,'Tổng 24-25'!B314)</f>
        <v>3</v>
      </c>
      <c r="J314" s="91"/>
    </row>
    <row r="315" spans="1:10" ht="18.75" customHeight="1" x14ac:dyDescent="0.3">
      <c r="A315" s="31">
        <v>309</v>
      </c>
      <c r="B315" s="107">
        <v>2041220789</v>
      </c>
      <c r="C315" s="33" t="s">
        <v>1125</v>
      </c>
      <c r="D315" s="34" t="s">
        <v>84</v>
      </c>
      <c r="E315" s="32" t="s">
        <v>1126</v>
      </c>
      <c r="F315" s="35" t="s">
        <v>444</v>
      </c>
      <c r="G315" s="36" t="s">
        <v>441</v>
      </c>
      <c r="H315" s="30">
        <f>VLOOKUP(B315,'Dữ liệu TQNM'!$B$7:$F$769,5,0)</f>
        <v>2</v>
      </c>
      <c r="I315" s="30">
        <f>COUNTIF('Nộp báo cáo'!$A$3:$A$1993,'Tổng 24-25'!B315)</f>
        <v>4</v>
      </c>
      <c r="J315" s="91"/>
    </row>
    <row r="316" spans="1:10" s="18" customFormat="1" ht="18.75" customHeight="1" x14ac:dyDescent="0.3">
      <c r="A316" s="19">
        <v>310</v>
      </c>
      <c r="B316" s="20">
        <v>2041221067</v>
      </c>
      <c r="C316" s="21" t="s">
        <v>448</v>
      </c>
      <c r="D316" s="22" t="s">
        <v>449</v>
      </c>
      <c r="E316" s="20" t="s">
        <v>952</v>
      </c>
      <c r="F316" s="23" t="s">
        <v>444</v>
      </c>
      <c r="G316" s="30" t="s">
        <v>441</v>
      </c>
      <c r="H316" s="30">
        <f>VLOOKUP(B316,'Dữ liệu TQNM'!$B$7:$F$769,5,0)</f>
        <v>1</v>
      </c>
      <c r="I316" s="30">
        <f>COUNTIF('Nộp báo cáo'!$A$3:$A$1993,'Tổng 24-25'!B316)</f>
        <v>0</v>
      </c>
      <c r="J316" s="91"/>
    </row>
    <row r="317" spans="1:10" s="18" customFormat="1" ht="18.75" customHeight="1" x14ac:dyDescent="0.3">
      <c r="A317" s="19">
        <v>311</v>
      </c>
      <c r="B317" s="20">
        <v>2041221255</v>
      </c>
      <c r="C317" s="21" t="s">
        <v>288</v>
      </c>
      <c r="D317" s="22" t="s">
        <v>172</v>
      </c>
      <c r="E317" s="20" t="s">
        <v>454</v>
      </c>
      <c r="F317" s="23" t="s">
        <v>444</v>
      </c>
      <c r="G317" s="30" t="s">
        <v>441</v>
      </c>
      <c r="H317" s="30">
        <f>VLOOKUP(B317,'Dữ liệu TQNM'!$B$7:$F$769,5,0)</f>
        <v>2</v>
      </c>
      <c r="I317" s="30">
        <f>COUNTIF('Nộp báo cáo'!$A$3:$A$1993,'Tổng 24-25'!B317)</f>
        <v>3</v>
      </c>
      <c r="J317" s="91"/>
    </row>
    <row r="318" spans="1:10" ht="18.75" customHeight="1" x14ac:dyDescent="0.3">
      <c r="A318" s="31">
        <v>312</v>
      </c>
      <c r="B318" s="107">
        <v>2041221349</v>
      </c>
      <c r="C318" s="33" t="s">
        <v>364</v>
      </c>
      <c r="D318" s="34" t="s">
        <v>105</v>
      </c>
      <c r="E318" s="32" t="s">
        <v>1127</v>
      </c>
      <c r="F318" s="35" t="s">
        <v>444</v>
      </c>
      <c r="G318" s="36" t="s">
        <v>441</v>
      </c>
      <c r="H318" s="30">
        <f>VLOOKUP(B318,'Dữ liệu TQNM'!$B$7:$F$769,5,0)</f>
        <v>3</v>
      </c>
      <c r="I318" s="30">
        <f>COUNTIF('Nộp báo cáo'!$A$3:$A$1993,'Tổng 24-25'!B318)</f>
        <v>3</v>
      </c>
      <c r="J318" s="91"/>
    </row>
    <row r="319" spans="1:10" ht="18.75" customHeight="1" x14ac:dyDescent="0.3">
      <c r="A319" s="31">
        <v>313</v>
      </c>
      <c r="B319" s="107">
        <v>2041221373</v>
      </c>
      <c r="C319" s="33" t="s">
        <v>775</v>
      </c>
      <c r="D319" s="34" t="s">
        <v>105</v>
      </c>
      <c r="E319" s="32" t="s">
        <v>200</v>
      </c>
      <c r="F319" s="35" t="s">
        <v>444</v>
      </c>
      <c r="G319" s="36" t="s">
        <v>441</v>
      </c>
      <c r="H319" s="30">
        <f>VLOOKUP(B319,'Dữ liệu TQNM'!$B$7:$F$769,5,0)</f>
        <v>1</v>
      </c>
      <c r="I319" s="30">
        <f>COUNTIF('Nộp báo cáo'!$A$3:$A$1993,'Tổng 24-25'!B319)</f>
        <v>0</v>
      </c>
      <c r="J319" s="91"/>
    </row>
    <row r="320" spans="1:10" s="18" customFormat="1" ht="18.75" customHeight="1" x14ac:dyDescent="0.3">
      <c r="A320" s="19">
        <v>314</v>
      </c>
      <c r="B320" s="20">
        <v>2041221449</v>
      </c>
      <c r="C320" s="21" t="s">
        <v>44</v>
      </c>
      <c r="D320" s="22" t="s">
        <v>463</v>
      </c>
      <c r="E320" s="20" t="s">
        <v>464</v>
      </c>
      <c r="F320" s="23" t="s">
        <v>444</v>
      </c>
      <c r="G320" s="30" t="s">
        <v>441</v>
      </c>
      <c r="H320" s="30">
        <f>VLOOKUP(B320,'Dữ liệu TQNM'!$B$7:$F$769,5,0)</f>
        <v>2</v>
      </c>
      <c r="I320" s="30">
        <f>COUNTIF('Nộp báo cáo'!$A$3:$A$1993,'Tổng 24-25'!B320)</f>
        <v>2</v>
      </c>
      <c r="J320" s="91"/>
    </row>
    <row r="321" spans="1:10" ht="18.75" customHeight="1" x14ac:dyDescent="0.3">
      <c r="A321" s="31">
        <v>315</v>
      </c>
      <c r="B321" s="107">
        <v>2041221509</v>
      </c>
      <c r="C321" s="33" t="s">
        <v>1128</v>
      </c>
      <c r="D321" s="34" t="s">
        <v>81</v>
      </c>
      <c r="E321" s="32" t="s">
        <v>813</v>
      </c>
      <c r="F321" s="35" t="s">
        <v>444</v>
      </c>
      <c r="G321" s="36" t="s">
        <v>441</v>
      </c>
      <c r="H321" s="30">
        <f>VLOOKUP(B321,'Dữ liệu TQNM'!$B$7:$F$769,5,0)</f>
        <v>2</v>
      </c>
      <c r="I321" s="30">
        <f>COUNTIF('Nộp báo cáo'!$A$3:$A$1993,'Tổng 24-25'!B321)</f>
        <v>3</v>
      </c>
      <c r="J321" s="91"/>
    </row>
    <row r="322" spans="1:10" ht="18.75" customHeight="1" x14ac:dyDescent="0.3">
      <c r="A322" s="31">
        <v>316</v>
      </c>
      <c r="B322" s="107">
        <v>2041222216</v>
      </c>
      <c r="C322" s="33" t="s">
        <v>1129</v>
      </c>
      <c r="D322" s="34" t="s">
        <v>311</v>
      </c>
      <c r="E322" s="32" t="s">
        <v>903</v>
      </c>
      <c r="F322" s="35" t="s">
        <v>444</v>
      </c>
      <c r="G322" s="36" t="s">
        <v>441</v>
      </c>
      <c r="H322" s="30">
        <f>VLOOKUP(B322,'Dữ liệu TQNM'!$B$7:$F$769,5,0)</f>
        <v>3</v>
      </c>
      <c r="I322" s="30">
        <f>COUNTIF('Nộp báo cáo'!$A$3:$A$1993,'Tổng 24-25'!B322)</f>
        <v>3</v>
      </c>
      <c r="J322" s="91"/>
    </row>
    <row r="323" spans="1:10" s="18" customFormat="1" ht="18.75" customHeight="1" x14ac:dyDescent="0.3">
      <c r="A323" s="19">
        <v>317</v>
      </c>
      <c r="B323" s="20">
        <v>2041222224</v>
      </c>
      <c r="C323" s="21" t="s">
        <v>119</v>
      </c>
      <c r="D323" s="22" t="s">
        <v>465</v>
      </c>
      <c r="E323" s="20" t="s">
        <v>466</v>
      </c>
      <c r="F323" s="23" t="s">
        <v>444</v>
      </c>
      <c r="G323" s="30" t="s">
        <v>441</v>
      </c>
      <c r="H323" s="30">
        <f>VLOOKUP(B323,'Dữ liệu TQNM'!$B$7:$F$769,5,0)</f>
        <v>2</v>
      </c>
      <c r="I323" s="30">
        <f>COUNTIF('Nộp báo cáo'!$A$3:$A$1993,'Tổng 24-25'!B323)</f>
        <v>4</v>
      </c>
      <c r="J323" s="91"/>
    </row>
    <row r="324" spans="1:10" ht="18.75" customHeight="1" x14ac:dyDescent="0.3">
      <c r="A324" s="31">
        <v>318</v>
      </c>
      <c r="B324" s="107">
        <v>2041222237</v>
      </c>
      <c r="C324" s="33" t="s">
        <v>1130</v>
      </c>
      <c r="D324" s="34" t="s">
        <v>1131</v>
      </c>
      <c r="E324" s="32" t="s">
        <v>957</v>
      </c>
      <c r="F324" s="35" t="s">
        <v>444</v>
      </c>
      <c r="G324" s="36" t="s">
        <v>441</v>
      </c>
      <c r="H324" s="30">
        <f>VLOOKUP(B324,'Dữ liệu TQNM'!$B$7:$F$769,5,0)</f>
        <v>2</v>
      </c>
      <c r="I324" s="30">
        <f>COUNTIF('Nộp báo cáo'!$A$3:$A$1993,'Tổng 24-25'!B324)</f>
        <v>3</v>
      </c>
      <c r="J324" s="91"/>
    </row>
    <row r="325" spans="1:10" ht="18.75" customHeight="1" x14ac:dyDescent="0.3">
      <c r="A325" s="31">
        <v>319</v>
      </c>
      <c r="B325" s="107">
        <v>2041222339</v>
      </c>
      <c r="C325" s="33" t="s">
        <v>1132</v>
      </c>
      <c r="D325" s="34" t="s">
        <v>29</v>
      </c>
      <c r="E325" s="32" t="s">
        <v>719</v>
      </c>
      <c r="F325" s="35" t="s">
        <v>444</v>
      </c>
      <c r="G325" s="36" t="s">
        <v>441</v>
      </c>
      <c r="H325" s="30">
        <f>VLOOKUP(B325,'Dữ liệu TQNM'!$B$7:$F$769,5,0)</f>
        <v>3</v>
      </c>
      <c r="I325" s="30">
        <f>COUNTIF('Nộp báo cáo'!$A$3:$A$1993,'Tổng 24-25'!B325)</f>
        <v>3</v>
      </c>
      <c r="J325" s="91"/>
    </row>
    <row r="326" spans="1:10" ht="18.75" customHeight="1" x14ac:dyDescent="0.3">
      <c r="A326" s="31">
        <v>320</v>
      </c>
      <c r="B326" s="107">
        <v>2041222296</v>
      </c>
      <c r="C326" s="33" t="s">
        <v>1133</v>
      </c>
      <c r="D326" s="34" t="s">
        <v>29</v>
      </c>
      <c r="E326" s="32" t="s">
        <v>1134</v>
      </c>
      <c r="F326" s="35" t="s">
        <v>444</v>
      </c>
      <c r="G326" s="36" t="s">
        <v>441</v>
      </c>
      <c r="H326" s="30">
        <f>VLOOKUP(B326,'Dữ liệu TQNM'!$B$7:$F$769,5,0)</f>
        <v>3</v>
      </c>
      <c r="I326" s="30">
        <f>COUNTIF('Nộp báo cáo'!$A$3:$A$1993,'Tổng 24-25'!B326)</f>
        <v>4</v>
      </c>
      <c r="J326" s="91"/>
    </row>
    <row r="327" spans="1:10" ht="18.75" customHeight="1" x14ac:dyDescent="0.3">
      <c r="A327" s="31">
        <v>321</v>
      </c>
      <c r="B327" s="107">
        <v>2041222332</v>
      </c>
      <c r="C327" s="33" t="s">
        <v>270</v>
      </c>
      <c r="D327" s="34" t="s">
        <v>29</v>
      </c>
      <c r="E327" s="32" t="s">
        <v>1135</v>
      </c>
      <c r="F327" s="35" t="s">
        <v>444</v>
      </c>
      <c r="G327" s="36" t="s">
        <v>441</v>
      </c>
      <c r="H327" s="30">
        <f>VLOOKUP(B327,'Dữ liệu TQNM'!$B$7:$F$769,5,0)</f>
        <v>3</v>
      </c>
      <c r="I327" s="30">
        <f>COUNTIF('Nộp báo cáo'!$A$3:$A$1993,'Tổng 24-25'!B327)</f>
        <v>5</v>
      </c>
      <c r="J327" s="91"/>
    </row>
    <row r="328" spans="1:10" ht="18.75" customHeight="1" x14ac:dyDescent="0.3">
      <c r="A328" s="31">
        <v>322</v>
      </c>
      <c r="B328" s="107">
        <v>2041222486</v>
      </c>
      <c r="C328" s="33" t="s">
        <v>1136</v>
      </c>
      <c r="D328" s="34" t="s">
        <v>1137</v>
      </c>
      <c r="E328" s="32" t="s">
        <v>215</v>
      </c>
      <c r="F328" s="35" t="s">
        <v>444</v>
      </c>
      <c r="G328" s="36" t="s">
        <v>441</v>
      </c>
      <c r="H328" s="30">
        <f>VLOOKUP(B328,'Dữ liệu TQNM'!$B$7:$F$769,5,0)</f>
        <v>2</v>
      </c>
      <c r="I328" s="30">
        <f>COUNTIF('Nộp báo cáo'!$A$3:$A$1993,'Tổng 24-25'!B328)</f>
        <v>5</v>
      </c>
      <c r="J328" s="91"/>
    </row>
    <row r="329" spans="1:10" ht="18.75" customHeight="1" x14ac:dyDescent="0.3">
      <c r="A329" s="31">
        <v>323</v>
      </c>
      <c r="B329" s="107">
        <v>2041222728</v>
      </c>
      <c r="C329" s="33" t="s">
        <v>1138</v>
      </c>
      <c r="D329" s="34" t="s">
        <v>905</v>
      </c>
      <c r="E329" s="32" t="s">
        <v>79</v>
      </c>
      <c r="F329" s="35" t="s">
        <v>444</v>
      </c>
      <c r="G329" s="36" t="s">
        <v>441</v>
      </c>
      <c r="H329" s="30">
        <f>VLOOKUP(B329,'Dữ liệu TQNM'!$B$7:$F$769,5,0)</f>
        <v>2</v>
      </c>
      <c r="I329" s="30">
        <f>COUNTIF('Nộp báo cáo'!$A$3:$A$1993,'Tổng 24-25'!B329)</f>
        <v>0</v>
      </c>
      <c r="J329" s="91"/>
    </row>
    <row r="330" spans="1:10" ht="18.75" customHeight="1" x14ac:dyDescent="0.3">
      <c r="A330" s="31">
        <v>324</v>
      </c>
      <c r="B330" s="107">
        <v>2041222736</v>
      </c>
      <c r="C330" s="33" t="s">
        <v>219</v>
      </c>
      <c r="D330" s="34" t="s">
        <v>905</v>
      </c>
      <c r="E330" s="32" t="s">
        <v>522</v>
      </c>
      <c r="F330" s="35" t="s">
        <v>444</v>
      </c>
      <c r="G330" s="36" t="s">
        <v>441</v>
      </c>
      <c r="H330" s="30">
        <f>VLOOKUP(B330,'Dữ liệu TQNM'!$B$7:$F$769,5,0)</f>
        <v>3</v>
      </c>
      <c r="I330" s="30">
        <f>COUNTIF('Nộp báo cáo'!$A$3:$A$1993,'Tổng 24-25'!B330)</f>
        <v>4</v>
      </c>
      <c r="J330" s="91"/>
    </row>
    <row r="331" spans="1:10" ht="18.75" customHeight="1" x14ac:dyDescent="0.3">
      <c r="A331" s="31">
        <v>325</v>
      </c>
      <c r="B331" s="107">
        <v>2041226246</v>
      </c>
      <c r="C331" s="33" t="s">
        <v>1139</v>
      </c>
      <c r="D331" s="34" t="s">
        <v>152</v>
      </c>
      <c r="E331" s="32" t="s">
        <v>177</v>
      </c>
      <c r="F331" s="35" t="s">
        <v>444</v>
      </c>
      <c r="G331" s="36" t="s">
        <v>441</v>
      </c>
      <c r="H331" s="30">
        <f>VLOOKUP(B331,'Dữ liệu TQNM'!$B$7:$F$769,5,0)</f>
        <v>2</v>
      </c>
      <c r="I331" s="30">
        <f>COUNTIF('Nộp báo cáo'!$A$3:$A$1993,'Tổng 24-25'!B331)</f>
        <v>3</v>
      </c>
      <c r="J331" s="91"/>
    </row>
    <row r="332" spans="1:10" ht="18.75" customHeight="1" x14ac:dyDescent="0.3">
      <c r="A332" s="31">
        <v>326</v>
      </c>
      <c r="B332" s="107">
        <v>2041222773</v>
      </c>
      <c r="C332" s="33" t="s">
        <v>1140</v>
      </c>
      <c r="D332" s="34" t="s">
        <v>152</v>
      </c>
      <c r="E332" s="32" t="s">
        <v>1101</v>
      </c>
      <c r="F332" s="35" t="s">
        <v>444</v>
      </c>
      <c r="G332" s="36" t="s">
        <v>441</v>
      </c>
      <c r="H332" s="30">
        <f>VLOOKUP(B332,'Dữ liệu TQNM'!$B$7:$F$769,5,0)</f>
        <v>0</v>
      </c>
      <c r="I332" s="30">
        <f>COUNTIF('Nộp báo cáo'!$A$3:$A$1993,'Tổng 24-25'!B332)</f>
        <v>0</v>
      </c>
      <c r="J332" s="91"/>
    </row>
    <row r="333" spans="1:10" ht="18.75" customHeight="1" x14ac:dyDescent="0.3">
      <c r="A333" s="31">
        <v>327</v>
      </c>
      <c r="B333" s="107">
        <v>2041222960</v>
      </c>
      <c r="C333" s="33" t="s">
        <v>519</v>
      </c>
      <c r="D333" s="34" t="s">
        <v>92</v>
      </c>
      <c r="E333" s="32" t="s">
        <v>653</v>
      </c>
      <c r="F333" s="35" t="s">
        <v>444</v>
      </c>
      <c r="G333" s="36" t="s">
        <v>441</v>
      </c>
      <c r="H333" s="30">
        <f>VLOOKUP(B333,'Dữ liệu TQNM'!$B$7:$F$769,5,0)</f>
        <v>2</v>
      </c>
      <c r="I333" s="30">
        <f>COUNTIF('Nộp báo cáo'!$A$3:$A$1993,'Tổng 24-25'!B333)</f>
        <v>3</v>
      </c>
      <c r="J333" s="91"/>
    </row>
    <row r="334" spans="1:10" ht="18.75" customHeight="1" x14ac:dyDescent="0.3">
      <c r="A334" s="31">
        <v>328</v>
      </c>
      <c r="B334" s="107">
        <v>2041222950</v>
      </c>
      <c r="C334" s="33" t="s">
        <v>1141</v>
      </c>
      <c r="D334" s="34" t="s">
        <v>92</v>
      </c>
      <c r="E334" s="32" t="s">
        <v>215</v>
      </c>
      <c r="F334" s="35" t="s">
        <v>444</v>
      </c>
      <c r="G334" s="36" t="s">
        <v>441</v>
      </c>
      <c r="H334" s="30">
        <f>VLOOKUP(B334,'Dữ liệu TQNM'!$B$7:$F$769,5,0)</f>
        <v>2</v>
      </c>
      <c r="I334" s="30">
        <f>COUNTIF('Nộp báo cáo'!$A$3:$A$1993,'Tổng 24-25'!B334)</f>
        <v>3</v>
      </c>
      <c r="J334" s="91"/>
    </row>
    <row r="335" spans="1:10" ht="18.75" customHeight="1" x14ac:dyDescent="0.3">
      <c r="A335" s="31">
        <v>329</v>
      </c>
      <c r="B335" s="107">
        <v>2041223085</v>
      </c>
      <c r="C335" s="33" t="s">
        <v>519</v>
      </c>
      <c r="D335" s="34" t="s">
        <v>51</v>
      </c>
      <c r="E335" s="32" t="s">
        <v>740</v>
      </c>
      <c r="F335" s="35" t="s">
        <v>444</v>
      </c>
      <c r="G335" s="36" t="s">
        <v>441</v>
      </c>
      <c r="H335" s="30">
        <f>VLOOKUP(B335,'Dữ liệu TQNM'!$B$7:$F$769,5,0)</f>
        <v>3</v>
      </c>
      <c r="I335" s="30">
        <f>COUNTIF('Nộp báo cáo'!$A$3:$A$1993,'Tổng 24-25'!B335)</f>
        <v>3</v>
      </c>
      <c r="J335" s="91"/>
    </row>
    <row r="336" spans="1:10" s="18" customFormat="1" ht="18.75" customHeight="1" x14ac:dyDescent="0.3">
      <c r="A336" s="19">
        <v>330</v>
      </c>
      <c r="B336" s="20">
        <v>2041223306</v>
      </c>
      <c r="C336" s="21" t="s">
        <v>457</v>
      </c>
      <c r="D336" s="22" t="s">
        <v>76</v>
      </c>
      <c r="E336" s="20" t="s">
        <v>458</v>
      </c>
      <c r="F336" s="23" t="s">
        <v>444</v>
      </c>
      <c r="G336" s="30" t="s">
        <v>441</v>
      </c>
      <c r="H336" s="30">
        <f>VLOOKUP(B336,'Dữ liệu TQNM'!$B$7:$F$769,5,0)</f>
        <v>3</v>
      </c>
      <c r="I336" s="30">
        <f>COUNTIF('Nộp báo cáo'!$A$3:$A$1993,'Tổng 24-25'!B336)</f>
        <v>2</v>
      </c>
      <c r="J336" s="91"/>
    </row>
    <row r="337" spans="1:10" ht="18.75" customHeight="1" x14ac:dyDescent="0.3">
      <c r="A337" s="31">
        <v>331</v>
      </c>
      <c r="B337" s="107">
        <v>2041223387</v>
      </c>
      <c r="C337" s="33" t="s">
        <v>44</v>
      </c>
      <c r="D337" s="34" t="s">
        <v>76</v>
      </c>
      <c r="E337" s="32" t="s">
        <v>748</v>
      </c>
      <c r="F337" s="35" t="s">
        <v>444</v>
      </c>
      <c r="G337" s="36" t="s">
        <v>441</v>
      </c>
      <c r="H337" s="30">
        <f>VLOOKUP(B337,'Dữ liệu TQNM'!$B$7:$F$769,5,0)</f>
        <v>0</v>
      </c>
      <c r="I337" s="30">
        <f>COUNTIF('Nộp báo cáo'!$A$3:$A$1993,'Tổng 24-25'!B337)</f>
        <v>0</v>
      </c>
      <c r="J337" s="91"/>
    </row>
    <row r="338" spans="1:10" s="18" customFormat="1" ht="18.75" customHeight="1" x14ac:dyDescent="0.3">
      <c r="A338" s="19">
        <v>332</v>
      </c>
      <c r="B338" s="20">
        <v>2041223504</v>
      </c>
      <c r="C338" s="21" t="s">
        <v>450</v>
      </c>
      <c r="D338" s="22" t="s">
        <v>318</v>
      </c>
      <c r="E338" s="20" t="s">
        <v>451</v>
      </c>
      <c r="F338" s="23" t="s">
        <v>444</v>
      </c>
      <c r="G338" s="30" t="s">
        <v>441</v>
      </c>
      <c r="H338" s="30">
        <f>VLOOKUP(B338,'Dữ liệu TQNM'!$B$7:$F$769,5,0)</f>
        <v>2</v>
      </c>
      <c r="I338" s="30">
        <f>COUNTIF('Nộp báo cáo'!$A$3:$A$1993,'Tổng 24-25'!B338)</f>
        <v>3</v>
      </c>
      <c r="J338" s="91"/>
    </row>
    <row r="339" spans="1:10" ht="18.75" customHeight="1" x14ac:dyDescent="0.3">
      <c r="A339" s="31">
        <v>333</v>
      </c>
      <c r="B339" s="107">
        <v>2041226242</v>
      </c>
      <c r="C339" s="33" t="s">
        <v>1142</v>
      </c>
      <c r="D339" s="34" t="s">
        <v>249</v>
      </c>
      <c r="E339" s="32" t="s">
        <v>1143</v>
      </c>
      <c r="F339" s="35" t="s">
        <v>444</v>
      </c>
      <c r="G339" s="36" t="s">
        <v>441</v>
      </c>
      <c r="H339" s="30">
        <f>VLOOKUP(B339,'Dữ liệu TQNM'!$B$7:$F$769,5,0)</f>
        <v>2</v>
      </c>
      <c r="I339" s="30">
        <f>COUNTIF('Nộp báo cáo'!$A$3:$A$1993,'Tổng 24-25'!B339)</f>
        <v>3</v>
      </c>
      <c r="J339" s="91"/>
    </row>
    <row r="340" spans="1:10" ht="18.75" customHeight="1" x14ac:dyDescent="0.3">
      <c r="A340" s="31">
        <v>334</v>
      </c>
      <c r="B340" s="107">
        <v>2041223579</v>
      </c>
      <c r="C340" s="33" t="s">
        <v>673</v>
      </c>
      <c r="D340" s="34" t="s">
        <v>1144</v>
      </c>
      <c r="E340" s="32" t="s">
        <v>224</v>
      </c>
      <c r="F340" s="35" t="s">
        <v>444</v>
      </c>
      <c r="G340" s="36" t="s">
        <v>441</v>
      </c>
      <c r="H340" s="30">
        <f>VLOOKUP(B340,'Dữ liệu TQNM'!$B$7:$F$769,5,0)</f>
        <v>2</v>
      </c>
      <c r="I340" s="30">
        <f>COUNTIF('Nộp báo cáo'!$A$3:$A$1993,'Tổng 24-25'!B340)</f>
        <v>3</v>
      </c>
      <c r="J340" s="91"/>
    </row>
    <row r="341" spans="1:10" ht="18.75" customHeight="1" x14ac:dyDescent="0.3">
      <c r="A341" s="31">
        <v>335</v>
      </c>
      <c r="B341" s="107">
        <v>2041223838</v>
      </c>
      <c r="C341" s="33" t="s">
        <v>1145</v>
      </c>
      <c r="D341" s="34" t="s">
        <v>31</v>
      </c>
      <c r="E341" s="32" t="s">
        <v>979</v>
      </c>
      <c r="F341" s="35" t="s">
        <v>444</v>
      </c>
      <c r="G341" s="36" t="s">
        <v>441</v>
      </c>
      <c r="H341" s="30">
        <f>VLOOKUP(B341,'Dữ liệu TQNM'!$B$7:$F$769,5,0)</f>
        <v>2</v>
      </c>
      <c r="I341" s="30">
        <f>COUNTIF('Nộp báo cáo'!$A$3:$A$1993,'Tổng 24-25'!B341)</f>
        <v>6</v>
      </c>
      <c r="J341" s="91"/>
    </row>
    <row r="342" spans="1:10" ht="18.75" customHeight="1" x14ac:dyDescent="0.3">
      <c r="A342" s="31">
        <v>336</v>
      </c>
      <c r="B342" s="107">
        <v>2041223973</v>
      </c>
      <c r="C342" s="33" t="s">
        <v>1146</v>
      </c>
      <c r="D342" s="34" t="s">
        <v>506</v>
      </c>
      <c r="E342" s="32" t="s">
        <v>269</v>
      </c>
      <c r="F342" s="35" t="s">
        <v>444</v>
      </c>
      <c r="G342" s="36" t="s">
        <v>441</v>
      </c>
      <c r="H342" s="30">
        <f>VLOOKUP(B342,'Dữ liệu TQNM'!$B$7:$F$769,5,0)</f>
        <v>2</v>
      </c>
      <c r="I342" s="30">
        <f>COUNTIF('Nộp báo cáo'!$A$3:$A$1993,'Tổng 24-25'!B342)</f>
        <v>3</v>
      </c>
      <c r="J342" s="91"/>
    </row>
    <row r="343" spans="1:10" s="18" customFormat="1" ht="18.75" customHeight="1" x14ac:dyDescent="0.3">
      <c r="A343" s="19">
        <v>337</v>
      </c>
      <c r="B343" s="20">
        <v>2041224024</v>
      </c>
      <c r="C343" s="21" t="s">
        <v>459</v>
      </c>
      <c r="D343" s="22" t="s">
        <v>181</v>
      </c>
      <c r="E343" s="20" t="s">
        <v>1023</v>
      </c>
      <c r="F343" s="23" t="s">
        <v>444</v>
      </c>
      <c r="G343" s="30" t="s">
        <v>441</v>
      </c>
      <c r="H343" s="30">
        <f>VLOOKUP(B343,'Dữ liệu TQNM'!$B$7:$F$769,5,0)</f>
        <v>3</v>
      </c>
      <c r="I343" s="30">
        <f>COUNTIF('Nộp báo cáo'!$A$3:$A$1993,'Tổng 24-25'!B343)</f>
        <v>2</v>
      </c>
      <c r="J343" s="91"/>
    </row>
    <row r="344" spans="1:10" ht="18.75" customHeight="1" x14ac:dyDescent="0.3">
      <c r="A344" s="31">
        <v>338</v>
      </c>
      <c r="B344" s="107">
        <v>2041224116</v>
      </c>
      <c r="C344" s="33" t="s">
        <v>1147</v>
      </c>
      <c r="D344" s="34" t="s">
        <v>65</v>
      </c>
      <c r="E344" s="32" t="s">
        <v>617</v>
      </c>
      <c r="F344" s="35" t="s">
        <v>444</v>
      </c>
      <c r="G344" s="36" t="s">
        <v>441</v>
      </c>
      <c r="H344" s="30">
        <f>VLOOKUP(B344,'Dữ liệu TQNM'!$B$7:$F$769,5,0)</f>
        <v>2</v>
      </c>
      <c r="I344" s="30">
        <f>COUNTIF('Nộp báo cáo'!$A$3:$A$1993,'Tổng 24-25'!B344)</f>
        <v>3</v>
      </c>
      <c r="J344" s="91"/>
    </row>
    <row r="345" spans="1:10" ht="18.75" customHeight="1" x14ac:dyDescent="0.3">
      <c r="A345" s="31">
        <v>339</v>
      </c>
      <c r="B345" s="107">
        <v>2041224139</v>
      </c>
      <c r="C345" s="33" t="s">
        <v>293</v>
      </c>
      <c r="D345" s="34" t="s">
        <v>422</v>
      </c>
      <c r="E345" s="32" t="s">
        <v>640</v>
      </c>
      <c r="F345" s="35" t="s">
        <v>444</v>
      </c>
      <c r="G345" s="36" t="s">
        <v>441</v>
      </c>
      <c r="H345" s="30">
        <f>VLOOKUP(B345,'Dữ liệu TQNM'!$B$7:$F$769,5,0)</f>
        <v>2</v>
      </c>
      <c r="I345" s="30">
        <f>COUNTIF('Nộp báo cáo'!$A$3:$A$1993,'Tổng 24-25'!B345)</f>
        <v>4</v>
      </c>
      <c r="J345" s="91"/>
    </row>
    <row r="346" spans="1:10" ht="18.75" customHeight="1" x14ac:dyDescent="0.3">
      <c r="A346" s="31">
        <v>340</v>
      </c>
      <c r="B346" s="107">
        <v>2041224146</v>
      </c>
      <c r="C346" s="33" t="s">
        <v>1148</v>
      </c>
      <c r="D346" s="34" t="s">
        <v>422</v>
      </c>
      <c r="E346" s="32" t="s">
        <v>1102</v>
      </c>
      <c r="F346" s="35" t="s">
        <v>444</v>
      </c>
      <c r="G346" s="36" t="s">
        <v>441</v>
      </c>
      <c r="H346" s="30">
        <f>VLOOKUP(B346,'Dữ liệu TQNM'!$B$7:$F$769,5,0)</f>
        <v>2</v>
      </c>
      <c r="I346" s="30">
        <f>COUNTIF('Nộp báo cáo'!$A$3:$A$1993,'Tổng 24-25'!B346)</f>
        <v>4</v>
      </c>
      <c r="J346" s="91"/>
    </row>
    <row r="347" spans="1:10" ht="18.75" customHeight="1" x14ac:dyDescent="0.3">
      <c r="A347" s="31">
        <v>341</v>
      </c>
      <c r="B347" s="107">
        <v>2041224856</v>
      </c>
      <c r="C347" s="33" t="s">
        <v>801</v>
      </c>
      <c r="D347" s="34" t="s">
        <v>114</v>
      </c>
      <c r="E347" s="32" t="s">
        <v>1149</v>
      </c>
      <c r="F347" s="35" t="s">
        <v>444</v>
      </c>
      <c r="G347" s="36" t="s">
        <v>441</v>
      </c>
      <c r="H347" s="30">
        <f>VLOOKUP(B347,'Dữ liệu TQNM'!$B$7:$F$769,5,0)</f>
        <v>0</v>
      </c>
      <c r="I347" s="30">
        <f>COUNTIF('Nộp báo cáo'!$A$3:$A$1993,'Tổng 24-25'!B347)</f>
        <v>0</v>
      </c>
      <c r="J347" s="91"/>
    </row>
    <row r="348" spans="1:10" s="18" customFormat="1" ht="18.75" customHeight="1" x14ac:dyDescent="0.3">
      <c r="A348" s="19">
        <v>342</v>
      </c>
      <c r="B348" s="20">
        <v>2041224700</v>
      </c>
      <c r="C348" s="21" t="s">
        <v>87</v>
      </c>
      <c r="D348" s="22" t="s">
        <v>101</v>
      </c>
      <c r="E348" s="20" t="s">
        <v>455</v>
      </c>
      <c r="F348" s="23" t="s">
        <v>444</v>
      </c>
      <c r="G348" s="30" t="s">
        <v>441</v>
      </c>
      <c r="H348" s="30">
        <f>VLOOKUP(B348,'Dữ liệu TQNM'!$B$7:$F$769,5,0)</f>
        <v>2</v>
      </c>
      <c r="I348" s="30">
        <f>COUNTIF('Nộp báo cáo'!$A$3:$A$1993,'Tổng 24-25'!B348)</f>
        <v>0</v>
      </c>
      <c r="J348" s="91"/>
    </row>
    <row r="349" spans="1:10" ht="18.75" customHeight="1" x14ac:dyDescent="0.3">
      <c r="A349" s="31">
        <v>343</v>
      </c>
      <c r="B349" s="107">
        <v>2041225020</v>
      </c>
      <c r="C349" s="33" t="s">
        <v>1150</v>
      </c>
      <c r="D349" s="34" t="s">
        <v>730</v>
      </c>
      <c r="E349" s="32" t="s">
        <v>1151</v>
      </c>
      <c r="F349" s="35" t="s">
        <v>444</v>
      </c>
      <c r="G349" s="36" t="s">
        <v>441</v>
      </c>
      <c r="H349" s="30">
        <f>VLOOKUP(B349,'Dữ liệu TQNM'!$B$7:$F$769,5,0)</f>
        <v>3</v>
      </c>
      <c r="I349" s="30">
        <f>COUNTIF('Nộp báo cáo'!$A$3:$A$1993,'Tổng 24-25'!B349)</f>
        <v>4</v>
      </c>
      <c r="J349" s="91"/>
    </row>
    <row r="350" spans="1:10" ht="18.75" customHeight="1" x14ac:dyDescent="0.3">
      <c r="A350" s="31">
        <v>344</v>
      </c>
      <c r="B350" s="107">
        <v>2041225029</v>
      </c>
      <c r="C350" s="33" t="s">
        <v>1152</v>
      </c>
      <c r="D350" s="34" t="s">
        <v>333</v>
      </c>
      <c r="E350" s="32" t="s">
        <v>218</v>
      </c>
      <c r="F350" s="35" t="s">
        <v>444</v>
      </c>
      <c r="G350" s="36" t="s">
        <v>441</v>
      </c>
      <c r="H350" s="30">
        <f>VLOOKUP(B350,'Dữ liệu TQNM'!$B$7:$F$769,5,0)</f>
        <v>2</v>
      </c>
      <c r="I350" s="30">
        <f>COUNTIF('Nộp báo cáo'!$A$3:$A$1993,'Tổng 24-25'!B350)</f>
        <v>4</v>
      </c>
      <c r="J350" s="91"/>
    </row>
    <row r="351" spans="1:10" ht="18.75" customHeight="1" x14ac:dyDescent="0.3">
      <c r="A351" s="31">
        <v>345</v>
      </c>
      <c r="B351" s="107">
        <v>2041225117</v>
      </c>
      <c r="C351" s="33" t="s">
        <v>184</v>
      </c>
      <c r="D351" s="34" t="s">
        <v>515</v>
      </c>
      <c r="E351" s="32" t="s">
        <v>973</v>
      </c>
      <c r="F351" s="35" t="s">
        <v>444</v>
      </c>
      <c r="G351" s="36" t="s">
        <v>441</v>
      </c>
      <c r="H351" s="30">
        <f>VLOOKUP(B351,'Dữ liệu TQNM'!$B$7:$F$769,5,0)</f>
        <v>3</v>
      </c>
      <c r="I351" s="30">
        <f>COUNTIF('Nộp báo cáo'!$A$3:$A$1993,'Tổng 24-25'!B351)</f>
        <v>3</v>
      </c>
      <c r="J351" s="91"/>
    </row>
    <row r="352" spans="1:10" ht="18.75" customHeight="1" x14ac:dyDescent="0.3">
      <c r="A352" s="31">
        <v>346</v>
      </c>
      <c r="B352" s="107">
        <v>2041225084</v>
      </c>
      <c r="C352" s="33" t="s">
        <v>1153</v>
      </c>
      <c r="D352" s="34" t="s">
        <v>516</v>
      </c>
      <c r="E352" s="32" t="s">
        <v>947</v>
      </c>
      <c r="F352" s="35" t="s">
        <v>444</v>
      </c>
      <c r="G352" s="36" t="s">
        <v>441</v>
      </c>
      <c r="H352" s="30">
        <f>VLOOKUP(B352,'Dữ liệu TQNM'!$B$7:$F$769,5,0)</f>
        <v>2</v>
      </c>
      <c r="I352" s="30">
        <f>COUNTIF('Nộp báo cáo'!$A$3:$A$1993,'Tổng 24-25'!B352)</f>
        <v>3</v>
      </c>
      <c r="J352" s="91"/>
    </row>
    <row r="353" spans="1:10" ht="18.75" customHeight="1" x14ac:dyDescent="0.3">
      <c r="A353" s="31">
        <v>347</v>
      </c>
      <c r="B353" s="107">
        <v>2041225428</v>
      </c>
      <c r="C353" s="33" t="s">
        <v>1154</v>
      </c>
      <c r="D353" s="34" t="s">
        <v>138</v>
      </c>
      <c r="E353" s="32" t="s">
        <v>464</v>
      </c>
      <c r="F353" s="35" t="s">
        <v>444</v>
      </c>
      <c r="G353" s="36" t="s">
        <v>441</v>
      </c>
      <c r="H353" s="30">
        <f>VLOOKUP(B353,'Dữ liệu TQNM'!$B$7:$F$769,5,0)</f>
        <v>2</v>
      </c>
      <c r="I353" s="30">
        <f>COUNTIF('Nộp báo cáo'!$A$3:$A$1993,'Tổng 24-25'!B353)</f>
        <v>3</v>
      </c>
      <c r="J353" s="91"/>
    </row>
    <row r="354" spans="1:10" ht="18.75" customHeight="1" x14ac:dyDescent="0.3">
      <c r="A354" s="31">
        <v>348</v>
      </c>
      <c r="B354" s="107">
        <v>2041226245</v>
      </c>
      <c r="C354" s="33" t="s">
        <v>386</v>
      </c>
      <c r="D354" s="34" t="s">
        <v>327</v>
      </c>
      <c r="E354" s="32" t="s">
        <v>942</v>
      </c>
      <c r="F354" s="35" t="s">
        <v>444</v>
      </c>
      <c r="G354" s="36" t="s">
        <v>441</v>
      </c>
      <c r="H354" s="30">
        <f>VLOOKUP(B354,'Dữ liệu TQNM'!$B$7:$F$769,5,0)</f>
        <v>2</v>
      </c>
      <c r="I354" s="30">
        <f>COUNTIF('Nộp báo cáo'!$A$3:$A$1993,'Tổng 24-25'!B354)</f>
        <v>3</v>
      </c>
      <c r="J354" s="91"/>
    </row>
    <row r="355" spans="1:10" ht="18.75" customHeight="1" x14ac:dyDescent="0.3">
      <c r="A355" s="31">
        <v>349</v>
      </c>
      <c r="B355" s="107">
        <v>2041225487</v>
      </c>
      <c r="C355" s="33" t="s">
        <v>571</v>
      </c>
      <c r="D355" s="34" t="s">
        <v>168</v>
      </c>
      <c r="E355" s="32" t="s">
        <v>653</v>
      </c>
      <c r="F355" s="35" t="s">
        <v>444</v>
      </c>
      <c r="G355" s="36" t="s">
        <v>441</v>
      </c>
      <c r="H355" s="30">
        <f>VLOOKUP(B355,'Dữ liệu TQNM'!$B$7:$F$769,5,0)</f>
        <v>2</v>
      </c>
      <c r="I355" s="30">
        <f>COUNTIF('Nộp báo cáo'!$A$3:$A$1993,'Tổng 24-25'!B355)</f>
        <v>3</v>
      </c>
      <c r="J355" s="91"/>
    </row>
    <row r="356" spans="1:10" ht="18.75" customHeight="1" x14ac:dyDescent="0.3">
      <c r="A356" s="31">
        <v>350</v>
      </c>
      <c r="B356" s="107">
        <v>2041225504</v>
      </c>
      <c r="C356" s="33" t="s">
        <v>171</v>
      </c>
      <c r="D356" s="34" t="s">
        <v>168</v>
      </c>
      <c r="E356" s="32" t="s">
        <v>228</v>
      </c>
      <c r="F356" s="35" t="s">
        <v>444</v>
      </c>
      <c r="G356" s="36" t="s">
        <v>441</v>
      </c>
      <c r="H356" s="30">
        <f>VLOOKUP(B356,'Dữ liệu TQNM'!$B$7:$F$769,5,0)</f>
        <v>2</v>
      </c>
      <c r="I356" s="30">
        <f>COUNTIF('Nộp báo cáo'!$A$3:$A$1993,'Tổng 24-25'!B356)</f>
        <v>3</v>
      </c>
      <c r="J356" s="91"/>
    </row>
    <row r="357" spans="1:10" ht="18.75" customHeight="1" x14ac:dyDescent="0.3">
      <c r="A357" s="31">
        <v>351</v>
      </c>
      <c r="B357" s="107">
        <v>2041225517</v>
      </c>
      <c r="C357" s="33" t="s">
        <v>1155</v>
      </c>
      <c r="D357" s="34" t="s">
        <v>168</v>
      </c>
      <c r="E357" s="32" t="s">
        <v>215</v>
      </c>
      <c r="F357" s="35" t="s">
        <v>444</v>
      </c>
      <c r="G357" s="36" t="s">
        <v>441</v>
      </c>
      <c r="H357" s="30">
        <f>VLOOKUP(B357,'Dữ liệu TQNM'!$B$7:$F$769,5,0)</f>
        <v>0</v>
      </c>
      <c r="I357" s="30">
        <f>COUNTIF('Nộp báo cáo'!$A$3:$A$1993,'Tổng 24-25'!B357)</f>
        <v>0</v>
      </c>
      <c r="J357" s="91"/>
    </row>
    <row r="358" spans="1:10" ht="18.75" customHeight="1" x14ac:dyDescent="0.3">
      <c r="A358" s="31">
        <v>352</v>
      </c>
      <c r="B358" s="107">
        <v>2041225392</v>
      </c>
      <c r="C358" s="33" t="s">
        <v>1156</v>
      </c>
      <c r="D358" s="34" t="s">
        <v>258</v>
      </c>
      <c r="E358" s="32" t="s">
        <v>942</v>
      </c>
      <c r="F358" s="35" t="s">
        <v>444</v>
      </c>
      <c r="G358" s="36" t="s">
        <v>441</v>
      </c>
      <c r="H358" s="30">
        <f>VLOOKUP(B358,'Dữ liệu TQNM'!$B$7:$F$769,5,0)</f>
        <v>2</v>
      </c>
      <c r="I358" s="30">
        <f>COUNTIF('Nộp báo cáo'!$A$3:$A$1993,'Tổng 24-25'!B358)</f>
        <v>3</v>
      </c>
      <c r="J358" s="91"/>
    </row>
    <row r="359" spans="1:10" ht="18.75" customHeight="1" x14ac:dyDescent="0.3">
      <c r="A359" s="31">
        <v>353</v>
      </c>
      <c r="B359" s="107">
        <v>2041225550</v>
      </c>
      <c r="C359" s="33" t="s">
        <v>1157</v>
      </c>
      <c r="D359" s="34" t="s">
        <v>1158</v>
      </c>
      <c r="E359" s="32" t="s">
        <v>615</v>
      </c>
      <c r="F359" s="35" t="s">
        <v>444</v>
      </c>
      <c r="G359" s="36" t="s">
        <v>441</v>
      </c>
      <c r="H359" s="30">
        <f>VLOOKUP(B359,'Dữ liệu TQNM'!$B$7:$F$769,5,0)</f>
        <v>2</v>
      </c>
      <c r="I359" s="30">
        <f>COUNTIF('Nộp báo cáo'!$A$3:$A$1993,'Tổng 24-25'!B359)</f>
        <v>3</v>
      </c>
      <c r="J359" s="91"/>
    </row>
    <row r="360" spans="1:10" s="18" customFormat="1" ht="18.75" customHeight="1" x14ac:dyDescent="0.3">
      <c r="A360" s="19">
        <v>354</v>
      </c>
      <c r="B360" s="20">
        <v>2041225589</v>
      </c>
      <c r="C360" s="21" t="s">
        <v>460</v>
      </c>
      <c r="D360" s="22" t="s">
        <v>115</v>
      </c>
      <c r="E360" s="20" t="s">
        <v>461</v>
      </c>
      <c r="F360" s="23" t="s">
        <v>444</v>
      </c>
      <c r="G360" s="30" t="s">
        <v>441</v>
      </c>
      <c r="H360" s="30">
        <f>VLOOKUP(B360,'Dữ liệu TQNM'!$B$7:$F$769,5,0)</f>
        <v>2</v>
      </c>
      <c r="I360" s="30">
        <f>COUNTIF('Nộp báo cáo'!$A$3:$A$1993,'Tổng 24-25'!B360)</f>
        <v>3</v>
      </c>
      <c r="J360" s="91"/>
    </row>
    <row r="361" spans="1:10" ht="18.75" customHeight="1" x14ac:dyDescent="0.3">
      <c r="A361" s="31">
        <v>355</v>
      </c>
      <c r="B361" s="107">
        <v>2041225663</v>
      </c>
      <c r="C361" s="33" t="s">
        <v>293</v>
      </c>
      <c r="D361" s="34" t="s">
        <v>714</v>
      </c>
      <c r="E361" s="32" t="s">
        <v>1159</v>
      </c>
      <c r="F361" s="35" t="s">
        <v>444</v>
      </c>
      <c r="G361" s="36" t="s">
        <v>441</v>
      </c>
      <c r="H361" s="30">
        <f>VLOOKUP(B361,'Dữ liệu TQNM'!$B$7:$F$769,5,0)</f>
        <v>2</v>
      </c>
      <c r="I361" s="30">
        <f>COUNTIF('Nộp báo cáo'!$A$3:$A$1993,'Tổng 24-25'!B361)</f>
        <v>3</v>
      </c>
      <c r="J361" s="91"/>
    </row>
    <row r="362" spans="1:10" ht="18.75" customHeight="1" x14ac:dyDescent="0.3">
      <c r="A362" s="31">
        <v>356</v>
      </c>
      <c r="B362" s="107">
        <v>2041224481</v>
      </c>
      <c r="C362" s="33" t="s">
        <v>1160</v>
      </c>
      <c r="D362" s="34" t="s">
        <v>335</v>
      </c>
      <c r="E362" s="32" t="s">
        <v>1003</v>
      </c>
      <c r="F362" s="35" t="s">
        <v>444</v>
      </c>
      <c r="G362" s="36" t="s">
        <v>441</v>
      </c>
      <c r="H362" s="30">
        <f>VLOOKUP(B362,'Dữ liệu TQNM'!$B$7:$F$769,5,0)</f>
        <v>2</v>
      </c>
      <c r="I362" s="30">
        <f>COUNTIF('Nộp báo cáo'!$A$3:$A$1993,'Tổng 24-25'!B362)</f>
        <v>3</v>
      </c>
      <c r="J362" s="91"/>
    </row>
    <row r="363" spans="1:10" s="18" customFormat="1" ht="18.75" customHeight="1" x14ac:dyDescent="0.3">
      <c r="A363" s="19">
        <v>357</v>
      </c>
      <c r="B363" s="20">
        <v>2041225735</v>
      </c>
      <c r="C363" s="21" t="s">
        <v>452</v>
      </c>
      <c r="D363" s="22" t="s">
        <v>280</v>
      </c>
      <c r="E363" s="20" t="s">
        <v>453</v>
      </c>
      <c r="F363" s="23" t="s">
        <v>444</v>
      </c>
      <c r="G363" s="30" t="s">
        <v>441</v>
      </c>
      <c r="H363" s="30">
        <f>VLOOKUP(B363,'Dữ liệu TQNM'!$B$7:$F$769,5,0)</f>
        <v>2</v>
      </c>
      <c r="I363" s="30">
        <f>COUNTIF('Nộp báo cáo'!$A$3:$A$1993,'Tổng 24-25'!B363)</f>
        <v>3</v>
      </c>
      <c r="J363" s="91"/>
    </row>
    <row r="364" spans="1:10" ht="18.75" customHeight="1" x14ac:dyDescent="0.3">
      <c r="A364" s="31">
        <v>358</v>
      </c>
      <c r="B364" s="107">
        <v>2041226032</v>
      </c>
      <c r="C364" s="33" t="s">
        <v>1161</v>
      </c>
      <c r="D364" s="34" t="s">
        <v>56</v>
      </c>
      <c r="E364" s="32" t="s">
        <v>371</v>
      </c>
      <c r="F364" s="35" t="s">
        <v>444</v>
      </c>
      <c r="G364" s="36" t="s">
        <v>441</v>
      </c>
      <c r="H364" s="30">
        <f>VLOOKUP(B364,'Dữ liệu TQNM'!$B$7:$F$769,5,0)</f>
        <v>3</v>
      </c>
      <c r="I364" s="30">
        <f>COUNTIF('Nộp báo cáo'!$A$3:$A$1993,'Tổng 24-25'!B364)</f>
        <v>3</v>
      </c>
      <c r="J364" s="91"/>
    </row>
    <row r="365" spans="1:10" s="18" customFormat="1" ht="18.75" customHeight="1" x14ac:dyDescent="0.3">
      <c r="A365" s="19">
        <v>359</v>
      </c>
      <c r="B365" s="20">
        <v>2041226012</v>
      </c>
      <c r="C365" s="21" t="s">
        <v>462</v>
      </c>
      <c r="D365" s="22" t="s">
        <v>56</v>
      </c>
      <c r="E365" s="20" t="s">
        <v>287</v>
      </c>
      <c r="F365" s="23" t="s">
        <v>444</v>
      </c>
      <c r="G365" s="30" t="s">
        <v>441</v>
      </c>
      <c r="H365" s="30">
        <f>VLOOKUP(B365,'Dữ liệu TQNM'!$B$7:$F$769,5,0)</f>
        <v>2</v>
      </c>
      <c r="I365" s="30">
        <f>COUNTIF('Nộp báo cáo'!$A$3:$A$1993,'Tổng 24-25'!B365)</f>
        <v>3</v>
      </c>
      <c r="J365" s="91"/>
    </row>
    <row r="366" spans="1:10" ht="18.75" customHeight="1" x14ac:dyDescent="0.3">
      <c r="A366" s="31">
        <v>360</v>
      </c>
      <c r="B366" s="107">
        <v>2005220726</v>
      </c>
      <c r="C366" s="33" t="s">
        <v>443</v>
      </c>
      <c r="D366" s="34" t="s">
        <v>73</v>
      </c>
      <c r="E366" s="32" t="s">
        <v>734</v>
      </c>
      <c r="F366" s="35" t="s">
        <v>834</v>
      </c>
      <c r="G366" s="36" t="s">
        <v>441</v>
      </c>
      <c r="H366" s="30">
        <f>VLOOKUP(B366,'Dữ liệu TQNM'!$B$7:$F$769,5,0)</f>
        <v>0</v>
      </c>
      <c r="I366" s="30">
        <f>COUNTIF('Nộp báo cáo'!$A$3:$A$1993,'Tổng 24-25'!B366)</f>
        <v>0</v>
      </c>
      <c r="J366" s="91"/>
    </row>
    <row r="367" spans="1:10" s="18" customFormat="1" ht="18.75" customHeight="1" x14ac:dyDescent="0.3">
      <c r="A367" s="19">
        <v>361</v>
      </c>
      <c r="B367" s="20">
        <v>2005221228</v>
      </c>
      <c r="C367" s="21" t="s">
        <v>833</v>
      </c>
      <c r="D367" s="22" t="s">
        <v>373</v>
      </c>
      <c r="E367" s="20" t="s">
        <v>575</v>
      </c>
      <c r="F367" s="23" t="s">
        <v>834</v>
      </c>
      <c r="G367" s="30" t="s">
        <v>835</v>
      </c>
      <c r="H367" s="30">
        <f>VLOOKUP(B367,'Dữ liệu TQNM'!$B$7:$F$769,5,0)</f>
        <v>5</v>
      </c>
      <c r="I367" s="30">
        <f>COUNTIF('Nộp báo cáo'!$A$3:$A$1993,'Tổng 24-25'!B367)</f>
        <v>2</v>
      </c>
      <c r="J367" s="91"/>
    </row>
    <row r="368" spans="1:10" s="18" customFormat="1" ht="18.75" customHeight="1" x14ac:dyDescent="0.3">
      <c r="A368" s="19">
        <v>362</v>
      </c>
      <c r="B368" s="20">
        <v>2005221169</v>
      </c>
      <c r="C368" s="21" t="s">
        <v>836</v>
      </c>
      <c r="D368" s="22" t="s">
        <v>536</v>
      </c>
      <c r="E368" s="20" t="s">
        <v>672</v>
      </c>
      <c r="F368" s="23" t="s">
        <v>834</v>
      </c>
      <c r="G368" s="30" t="s">
        <v>835</v>
      </c>
      <c r="H368" s="30">
        <f>VLOOKUP(B368,'Dữ liệu TQNM'!$B$7:$F$769,5,0)</f>
        <v>2</v>
      </c>
      <c r="I368" s="30">
        <f>COUNTIF('Nộp báo cáo'!$A$3:$A$1993,'Tổng 24-25'!B368)</f>
        <v>2</v>
      </c>
      <c r="J368" s="91"/>
    </row>
    <row r="369" spans="1:10" s="18" customFormat="1" ht="18.75" customHeight="1" x14ac:dyDescent="0.3">
      <c r="A369" s="19">
        <v>363</v>
      </c>
      <c r="B369" s="20">
        <v>2005221458</v>
      </c>
      <c r="C369" s="21" t="s">
        <v>801</v>
      </c>
      <c r="D369" s="22" t="s">
        <v>90</v>
      </c>
      <c r="E369" s="20" t="s">
        <v>837</v>
      </c>
      <c r="F369" s="23" t="s">
        <v>834</v>
      </c>
      <c r="G369" s="30" t="s">
        <v>835</v>
      </c>
      <c r="H369" s="30">
        <f>VLOOKUP(B369,'Dữ liệu TQNM'!$B$7:$F$769,5,0)</f>
        <v>2</v>
      </c>
      <c r="I369" s="30">
        <f>COUNTIF('Nộp báo cáo'!$A$3:$A$1993,'Tổng 24-25'!B369)</f>
        <v>3</v>
      </c>
      <c r="J369" s="91"/>
    </row>
    <row r="370" spans="1:10" s="18" customFormat="1" ht="18.75" customHeight="1" x14ac:dyDescent="0.3">
      <c r="A370" s="19">
        <v>364</v>
      </c>
      <c r="B370" s="20">
        <v>2005221592</v>
      </c>
      <c r="C370" s="21" t="s">
        <v>494</v>
      </c>
      <c r="D370" s="22" t="s">
        <v>120</v>
      </c>
      <c r="E370" s="20" t="s">
        <v>839</v>
      </c>
      <c r="F370" s="23" t="s">
        <v>834</v>
      </c>
      <c r="G370" s="30" t="s">
        <v>835</v>
      </c>
      <c r="H370" s="30">
        <f>VLOOKUP(B370,'Dữ liệu TQNM'!$B$7:$F$769,5,0)</f>
        <v>4</v>
      </c>
      <c r="I370" s="30">
        <f>COUNTIF('Nộp báo cáo'!$A$3:$A$1993,'Tổng 24-25'!B370)</f>
        <v>3</v>
      </c>
      <c r="J370" s="91"/>
    </row>
    <row r="371" spans="1:10" s="18" customFormat="1" ht="18.75" customHeight="1" x14ac:dyDescent="0.3">
      <c r="A371" s="19">
        <v>365</v>
      </c>
      <c r="B371" s="20">
        <v>2005221641</v>
      </c>
      <c r="C371" s="21" t="s">
        <v>628</v>
      </c>
      <c r="D371" s="22" t="s">
        <v>120</v>
      </c>
      <c r="E371" s="20" t="s">
        <v>838</v>
      </c>
      <c r="F371" s="23" t="s">
        <v>834</v>
      </c>
      <c r="G371" s="30" t="s">
        <v>835</v>
      </c>
      <c r="H371" s="30">
        <f>VLOOKUP(B371,'Dữ liệu TQNM'!$B$7:$F$769,5,0)</f>
        <v>3</v>
      </c>
      <c r="I371" s="30">
        <f>COUNTIF('Nộp báo cáo'!$A$3:$A$1993,'Tổng 24-25'!B371)</f>
        <v>3</v>
      </c>
      <c r="J371" s="91"/>
    </row>
    <row r="372" spans="1:10" s="18" customFormat="1" ht="18.75" customHeight="1" x14ac:dyDescent="0.3">
      <c r="A372" s="19">
        <v>366</v>
      </c>
      <c r="B372" s="20">
        <v>2005222214</v>
      </c>
      <c r="C372" s="21" t="s">
        <v>840</v>
      </c>
      <c r="D372" s="22" t="s">
        <v>311</v>
      </c>
      <c r="E372" s="20" t="s">
        <v>224</v>
      </c>
      <c r="F372" s="23" t="s">
        <v>834</v>
      </c>
      <c r="G372" s="30" t="s">
        <v>835</v>
      </c>
      <c r="H372" s="30">
        <f>VLOOKUP(B372,'Dữ liệu TQNM'!$B$7:$F$769,5,0)</f>
        <v>3</v>
      </c>
      <c r="I372" s="30">
        <f>COUNTIF('Nộp báo cáo'!$A$3:$A$1993,'Tổng 24-25'!B372)</f>
        <v>2</v>
      </c>
      <c r="J372" s="91"/>
    </row>
    <row r="373" spans="1:10" s="18" customFormat="1" ht="18.75" customHeight="1" x14ac:dyDescent="0.3">
      <c r="A373" s="19">
        <v>367</v>
      </c>
      <c r="B373" s="20">
        <v>2005222336</v>
      </c>
      <c r="C373" s="21" t="s">
        <v>841</v>
      </c>
      <c r="D373" s="22" t="s">
        <v>29</v>
      </c>
      <c r="E373" s="20" t="s">
        <v>1162</v>
      </c>
      <c r="F373" s="23" t="s">
        <v>834</v>
      </c>
      <c r="G373" s="30" t="s">
        <v>835</v>
      </c>
      <c r="H373" s="30">
        <f>VLOOKUP(B373,'Dữ liệu TQNM'!$B$7:$F$769,5,0)</f>
        <v>2</v>
      </c>
      <c r="I373" s="30">
        <f>COUNTIF('Nộp báo cáo'!$A$3:$A$1993,'Tổng 24-25'!B373)</f>
        <v>3</v>
      </c>
      <c r="J373" s="91"/>
    </row>
    <row r="374" spans="1:10" s="18" customFormat="1" ht="18.75" customHeight="1" x14ac:dyDescent="0.3">
      <c r="A374" s="19">
        <v>368</v>
      </c>
      <c r="B374" s="20">
        <v>2005222365</v>
      </c>
      <c r="C374" s="21" t="s">
        <v>862</v>
      </c>
      <c r="D374" s="22" t="s">
        <v>29</v>
      </c>
      <c r="E374" s="20" t="s">
        <v>1143</v>
      </c>
      <c r="F374" s="23" t="s">
        <v>834</v>
      </c>
      <c r="G374" s="30" t="s">
        <v>835</v>
      </c>
      <c r="H374" s="30">
        <f>VLOOKUP(B374,'Dữ liệu TQNM'!$B$7:$F$769,5,0)</f>
        <v>2</v>
      </c>
      <c r="I374" s="30">
        <f>COUNTIF('Nộp báo cáo'!$A$3:$A$1993,'Tổng 24-25'!B374)</f>
        <v>3</v>
      </c>
      <c r="J374" s="91"/>
    </row>
    <row r="375" spans="1:10" s="18" customFormat="1" ht="18.75" customHeight="1" x14ac:dyDescent="0.3">
      <c r="A375" s="19">
        <v>369</v>
      </c>
      <c r="B375" s="20">
        <v>2005222572</v>
      </c>
      <c r="C375" s="21" t="s">
        <v>842</v>
      </c>
      <c r="D375" s="22" t="s">
        <v>237</v>
      </c>
      <c r="E375" s="20" t="s">
        <v>658</v>
      </c>
      <c r="F375" s="23" t="s">
        <v>834</v>
      </c>
      <c r="G375" s="30" t="s">
        <v>835</v>
      </c>
      <c r="H375" s="30">
        <f>VLOOKUP(B375,'Dữ liệu TQNM'!$B$7:$F$769,5,0)</f>
        <v>2</v>
      </c>
      <c r="I375" s="30">
        <f>COUNTIF('Nộp báo cáo'!$A$3:$A$1993,'Tổng 24-25'!B375)</f>
        <v>2</v>
      </c>
      <c r="J375" s="91"/>
    </row>
    <row r="376" spans="1:10" s="18" customFormat="1" ht="18.75" customHeight="1" x14ac:dyDescent="0.3">
      <c r="A376" s="19">
        <v>370</v>
      </c>
      <c r="B376" s="20">
        <v>2005222828</v>
      </c>
      <c r="C376" s="21" t="s">
        <v>843</v>
      </c>
      <c r="D376" s="22" t="s">
        <v>362</v>
      </c>
      <c r="E376" s="20" t="s">
        <v>287</v>
      </c>
      <c r="F376" s="23" t="s">
        <v>834</v>
      </c>
      <c r="G376" s="30" t="s">
        <v>835</v>
      </c>
      <c r="H376" s="30">
        <f>VLOOKUP(B376,'Dữ liệu TQNM'!$B$7:$F$769,5,0)</f>
        <v>2</v>
      </c>
      <c r="I376" s="30">
        <f>COUNTIF('Nộp báo cáo'!$A$3:$A$1993,'Tổng 24-25'!B376)</f>
        <v>3</v>
      </c>
      <c r="J376" s="91"/>
    </row>
    <row r="377" spans="1:10" s="18" customFormat="1" ht="18.75" customHeight="1" x14ac:dyDescent="0.3">
      <c r="A377" s="19">
        <v>371</v>
      </c>
      <c r="B377" s="20">
        <v>2005222869</v>
      </c>
      <c r="C377" s="21" t="s">
        <v>844</v>
      </c>
      <c r="D377" s="22" t="s">
        <v>92</v>
      </c>
      <c r="E377" s="20" t="s">
        <v>845</v>
      </c>
      <c r="F377" s="23" t="s">
        <v>834</v>
      </c>
      <c r="G377" s="30" t="s">
        <v>835</v>
      </c>
      <c r="H377" s="30">
        <f>VLOOKUP(B377,'Dữ liệu TQNM'!$B$7:$F$769,5,0)</f>
        <v>3</v>
      </c>
      <c r="I377" s="30">
        <f>COUNTIF('Nộp báo cáo'!$A$3:$A$1993,'Tổng 24-25'!B377)</f>
        <v>3</v>
      </c>
      <c r="J377" s="91"/>
    </row>
    <row r="378" spans="1:10" s="18" customFormat="1" ht="18.75" customHeight="1" x14ac:dyDescent="0.3">
      <c r="A378" s="19">
        <v>372</v>
      </c>
      <c r="B378" s="20">
        <v>2005223102</v>
      </c>
      <c r="C378" s="21" t="s">
        <v>846</v>
      </c>
      <c r="D378" s="22" t="s">
        <v>51</v>
      </c>
      <c r="E378" s="20" t="s">
        <v>973</v>
      </c>
      <c r="F378" s="23" t="s">
        <v>834</v>
      </c>
      <c r="G378" s="30" t="s">
        <v>835</v>
      </c>
      <c r="H378" s="30">
        <f>VLOOKUP(B378,'Dữ liệu TQNM'!$B$7:$F$769,5,0)</f>
        <v>4</v>
      </c>
      <c r="I378" s="30">
        <f>COUNTIF('Nộp báo cáo'!$A$3:$A$1993,'Tổng 24-25'!B378)</f>
        <v>4</v>
      </c>
      <c r="J378" s="91"/>
    </row>
    <row r="379" spans="1:10" s="18" customFormat="1" ht="18.75" customHeight="1" x14ac:dyDescent="0.3">
      <c r="A379" s="19">
        <v>373</v>
      </c>
      <c r="B379" s="20">
        <v>2005223140</v>
      </c>
      <c r="C379" s="21" t="s">
        <v>293</v>
      </c>
      <c r="D379" s="22" t="s">
        <v>205</v>
      </c>
      <c r="E379" s="20" t="s">
        <v>847</v>
      </c>
      <c r="F379" s="23" t="s">
        <v>834</v>
      </c>
      <c r="G379" s="30" t="s">
        <v>835</v>
      </c>
      <c r="H379" s="30">
        <f>VLOOKUP(B379,'Dữ liệu TQNM'!$B$7:$F$769,5,0)</f>
        <v>3</v>
      </c>
      <c r="I379" s="30">
        <f>COUNTIF('Nộp báo cáo'!$A$3:$A$1993,'Tổng 24-25'!B379)</f>
        <v>3</v>
      </c>
      <c r="J379" s="91"/>
    </row>
    <row r="380" spans="1:10" s="18" customFormat="1" ht="18.75" customHeight="1" x14ac:dyDescent="0.3">
      <c r="A380" s="19">
        <v>374</v>
      </c>
      <c r="B380" s="20">
        <v>2005223208</v>
      </c>
      <c r="C380" s="21" t="s">
        <v>848</v>
      </c>
      <c r="D380" s="22" t="s">
        <v>849</v>
      </c>
      <c r="E380" s="20" t="s">
        <v>1163</v>
      </c>
      <c r="F380" s="23" t="s">
        <v>834</v>
      </c>
      <c r="G380" s="30" t="s">
        <v>835</v>
      </c>
      <c r="H380" s="30">
        <f>VLOOKUP(B380,'Dữ liệu TQNM'!$B$7:$F$769,5,0)</f>
        <v>2</v>
      </c>
      <c r="I380" s="30">
        <f>COUNTIF('Nộp báo cáo'!$A$3:$A$1993,'Tổng 24-25'!B380)</f>
        <v>2</v>
      </c>
      <c r="J380" s="91"/>
    </row>
    <row r="381" spans="1:10" s="18" customFormat="1" ht="18.75" customHeight="1" x14ac:dyDescent="0.3">
      <c r="A381" s="19">
        <v>375</v>
      </c>
      <c r="B381" s="20">
        <v>2005223384</v>
      </c>
      <c r="C381" s="21" t="s">
        <v>850</v>
      </c>
      <c r="D381" s="22" t="s">
        <v>76</v>
      </c>
      <c r="E381" s="20" t="s">
        <v>1164</v>
      </c>
      <c r="F381" s="23" t="s">
        <v>834</v>
      </c>
      <c r="G381" s="30" t="s">
        <v>835</v>
      </c>
      <c r="H381" s="30">
        <f>VLOOKUP(B381,'Dữ liệu TQNM'!$B$7:$F$769,5,0)</f>
        <v>2</v>
      </c>
      <c r="I381" s="30">
        <f>COUNTIF('Nộp báo cáo'!$A$3:$A$1993,'Tổng 24-25'!B381)</f>
        <v>3</v>
      </c>
      <c r="J381" s="91"/>
    </row>
    <row r="382" spans="1:10" s="18" customFormat="1" ht="18.75" customHeight="1" x14ac:dyDescent="0.3">
      <c r="A382" s="19">
        <v>376</v>
      </c>
      <c r="B382" s="20">
        <v>2005223612</v>
      </c>
      <c r="C382" s="21" t="s">
        <v>113</v>
      </c>
      <c r="D382" s="22" t="s">
        <v>303</v>
      </c>
      <c r="E382" s="20" t="s">
        <v>973</v>
      </c>
      <c r="F382" s="23" t="s">
        <v>834</v>
      </c>
      <c r="G382" s="30" t="s">
        <v>835</v>
      </c>
      <c r="H382" s="30">
        <f>VLOOKUP(B382,'Dữ liệu TQNM'!$B$7:$F$769,5,0)</f>
        <v>2</v>
      </c>
      <c r="I382" s="30">
        <f>COUNTIF('Nộp báo cáo'!$A$3:$A$1993,'Tổng 24-25'!B382)</f>
        <v>3</v>
      </c>
      <c r="J382" s="91"/>
    </row>
    <row r="383" spans="1:10" s="18" customFormat="1" ht="18.75" customHeight="1" x14ac:dyDescent="0.3">
      <c r="A383" s="19">
        <v>377</v>
      </c>
      <c r="B383" s="20">
        <v>2005223850</v>
      </c>
      <c r="C383" s="21" t="s">
        <v>851</v>
      </c>
      <c r="D383" s="22" t="s">
        <v>31</v>
      </c>
      <c r="E383" s="20" t="s">
        <v>771</v>
      </c>
      <c r="F383" s="23" t="s">
        <v>834</v>
      </c>
      <c r="G383" s="30" t="s">
        <v>835</v>
      </c>
      <c r="H383" s="30">
        <f>VLOOKUP(B383,'Dữ liệu TQNM'!$B$7:$F$769,5,0)</f>
        <v>3</v>
      </c>
      <c r="I383" s="30">
        <f>COUNTIF('Nộp báo cáo'!$A$3:$A$1993,'Tổng 24-25'!B383)</f>
        <v>3</v>
      </c>
      <c r="J383" s="91"/>
    </row>
    <row r="384" spans="1:10" s="18" customFormat="1" ht="18.75" customHeight="1" x14ac:dyDescent="0.3">
      <c r="A384" s="19">
        <v>378</v>
      </c>
      <c r="B384" s="20">
        <v>2005224328</v>
      </c>
      <c r="C384" s="21" t="s">
        <v>852</v>
      </c>
      <c r="D384" s="22" t="s">
        <v>853</v>
      </c>
      <c r="E384" s="20" t="s">
        <v>434</v>
      </c>
      <c r="F384" s="23" t="s">
        <v>834</v>
      </c>
      <c r="G384" s="30" t="s">
        <v>835</v>
      </c>
      <c r="H384" s="30">
        <f>VLOOKUP(B384,'Dữ liệu TQNM'!$B$7:$F$769,5,0)</f>
        <v>2</v>
      </c>
      <c r="I384" s="30">
        <f>COUNTIF('Nộp báo cáo'!$A$3:$A$1993,'Tổng 24-25'!B384)</f>
        <v>3</v>
      </c>
      <c r="J384" s="91"/>
    </row>
    <row r="385" spans="1:10" s="18" customFormat="1" ht="18.75" customHeight="1" x14ac:dyDescent="0.3">
      <c r="A385" s="19">
        <v>379</v>
      </c>
      <c r="B385" s="20">
        <v>2005224769</v>
      </c>
      <c r="C385" s="21" t="s">
        <v>854</v>
      </c>
      <c r="D385" s="22" t="s">
        <v>102</v>
      </c>
      <c r="E385" s="20" t="s">
        <v>504</v>
      </c>
      <c r="F385" s="23" t="s">
        <v>834</v>
      </c>
      <c r="G385" s="30" t="s">
        <v>835</v>
      </c>
      <c r="H385" s="30">
        <f>VLOOKUP(B385,'Dữ liệu TQNM'!$B$7:$F$769,5,0)</f>
        <v>3</v>
      </c>
      <c r="I385" s="30">
        <f>COUNTIF('Nộp báo cáo'!$A$3:$A$1993,'Tổng 24-25'!B385)</f>
        <v>2</v>
      </c>
      <c r="J385" s="91"/>
    </row>
    <row r="386" spans="1:10" s="18" customFormat="1" ht="18.75" customHeight="1" x14ac:dyDescent="0.3">
      <c r="A386" s="19">
        <v>380</v>
      </c>
      <c r="B386" s="20">
        <v>2005224768</v>
      </c>
      <c r="C386" s="21" t="s">
        <v>490</v>
      </c>
      <c r="D386" s="22" t="s">
        <v>102</v>
      </c>
      <c r="E386" s="20" t="s">
        <v>952</v>
      </c>
      <c r="F386" s="23" t="s">
        <v>834</v>
      </c>
      <c r="G386" s="30" t="s">
        <v>835</v>
      </c>
      <c r="H386" s="30">
        <f>VLOOKUP(B386,'Dữ liệu TQNM'!$B$7:$F$769,5,0)</f>
        <v>2</v>
      </c>
      <c r="I386" s="30">
        <f>COUNTIF('Nộp báo cáo'!$A$3:$A$1993,'Tổng 24-25'!B386)</f>
        <v>2</v>
      </c>
      <c r="J386" s="91"/>
    </row>
    <row r="387" spans="1:10" s="18" customFormat="1" ht="18.75" customHeight="1" x14ac:dyDescent="0.3">
      <c r="A387" s="19">
        <v>381</v>
      </c>
      <c r="B387" s="20">
        <v>2005225166</v>
      </c>
      <c r="C387" s="21" t="s">
        <v>856</v>
      </c>
      <c r="D387" s="22" t="s">
        <v>123</v>
      </c>
      <c r="E387" s="20" t="s">
        <v>1143</v>
      </c>
      <c r="F387" s="23" t="s">
        <v>834</v>
      </c>
      <c r="G387" s="30" t="s">
        <v>835</v>
      </c>
      <c r="H387" s="30">
        <f>VLOOKUP(B387,'Dữ liệu TQNM'!$B$7:$F$769,5,0)</f>
        <v>2</v>
      </c>
      <c r="I387" s="30">
        <f>COUNTIF('Nộp báo cáo'!$A$3:$A$1993,'Tổng 24-25'!B387)</f>
        <v>3</v>
      </c>
      <c r="J387" s="91"/>
    </row>
    <row r="388" spans="1:10" s="18" customFormat="1" ht="18.75" customHeight="1" x14ac:dyDescent="0.3">
      <c r="A388" s="19">
        <v>382</v>
      </c>
      <c r="B388" s="20">
        <v>2005225243</v>
      </c>
      <c r="C388" s="21" t="s">
        <v>855</v>
      </c>
      <c r="D388" s="22" t="s">
        <v>123</v>
      </c>
      <c r="E388" s="20" t="s">
        <v>466</v>
      </c>
      <c r="F388" s="23" t="s">
        <v>834</v>
      </c>
      <c r="G388" s="30" t="s">
        <v>835</v>
      </c>
      <c r="H388" s="30">
        <f>VLOOKUP(B388,'Dữ liệu TQNM'!$B$7:$F$769,5,0)</f>
        <v>2</v>
      </c>
      <c r="I388" s="30">
        <f>COUNTIF('Nộp báo cáo'!$A$3:$A$1993,'Tổng 24-25'!B388)</f>
        <v>3</v>
      </c>
      <c r="J388" s="91"/>
    </row>
    <row r="389" spans="1:10" s="18" customFormat="1" ht="18.75" customHeight="1" x14ac:dyDescent="0.3">
      <c r="A389" s="19">
        <v>383</v>
      </c>
      <c r="B389" s="20">
        <v>2005225076</v>
      </c>
      <c r="C389" s="21" t="s">
        <v>857</v>
      </c>
      <c r="D389" s="22" t="s">
        <v>516</v>
      </c>
      <c r="E389" s="20" t="s">
        <v>858</v>
      </c>
      <c r="F389" s="23" t="s">
        <v>834</v>
      </c>
      <c r="G389" s="30" t="s">
        <v>835</v>
      </c>
      <c r="H389" s="30">
        <f>VLOOKUP(B389,'Dữ liệu TQNM'!$B$7:$F$769,5,0)</f>
        <v>2</v>
      </c>
      <c r="I389" s="30">
        <f>COUNTIF('Nộp báo cáo'!$A$3:$A$1993,'Tổng 24-25'!B389)</f>
        <v>3</v>
      </c>
      <c r="J389" s="91"/>
    </row>
    <row r="390" spans="1:10" s="18" customFormat="1" ht="18.75" customHeight="1" x14ac:dyDescent="0.3">
      <c r="A390" s="19">
        <v>384</v>
      </c>
      <c r="B390" s="20">
        <v>2041224411</v>
      </c>
      <c r="C390" s="21" t="s">
        <v>859</v>
      </c>
      <c r="D390" s="22" t="s">
        <v>561</v>
      </c>
      <c r="E390" s="20" t="s">
        <v>1164</v>
      </c>
      <c r="F390" s="23" t="s">
        <v>834</v>
      </c>
      <c r="G390" s="30" t="s">
        <v>835</v>
      </c>
      <c r="H390" s="30">
        <f>VLOOKUP(B390,'Dữ liệu TQNM'!$B$7:$F$769,5,0)</f>
        <v>2</v>
      </c>
      <c r="I390" s="30">
        <f>COUNTIF('Nộp báo cáo'!$A$3:$A$1993,'Tổng 24-25'!B390)</f>
        <v>3</v>
      </c>
      <c r="J390" s="91"/>
    </row>
    <row r="391" spans="1:10" s="18" customFormat="1" ht="18.75" customHeight="1" x14ac:dyDescent="0.3">
      <c r="A391" s="19">
        <v>385</v>
      </c>
      <c r="B391" s="20">
        <v>2005224590</v>
      </c>
      <c r="C391" s="21" t="s">
        <v>860</v>
      </c>
      <c r="D391" s="22" t="s">
        <v>306</v>
      </c>
      <c r="E391" s="20" t="s">
        <v>671</v>
      </c>
      <c r="F391" s="23" t="s">
        <v>834</v>
      </c>
      <c r="G391" s="30" t="s">
        <v>835</v>
      </c>
      <c r="H391" s="30">
        <f>VLOOKUP(B391,'Dữ liệu TQNM'!$B$7:$F$769,5,0)</f>
        <v>3</v>
      </c>
      <c r="I391" s="30">
        <f>COUNTIF('Nộp báo cáo'!$A$3:$A$1993,'Tổng 24-25'!B391)</f>
        <v>3</v>
      </c>
      <c r="J391" s="91"/>
    </row>
    <row r="392" spans="1:10" s="18" customFormat="1" ht="18.75" customHeight="1" x14ac:dyDescent="0.3">
      <c r="A392" s="19">
        <v>386</v>
      </c>
      <c r="B392" s="20">
        <v>2041225752</v>
      </c>
      <c r="C392" s="21" t="s">
        <v>814</v>
      </c>
      <c r="D392" s="22" t="s">
        <v>280</v>
      </c>
      <c r="E392" s="20" t="s">
        <v>861</v>
      </c>
      <c r="F392" s="23" t="s">
        <v>834</v>
      </c>
      <c r="G392" s="30" t="s">
        <v>835</v>
      </c>
      <c r="H392" s="30">
        <f>VLOOKUP(B392,'Dữ liệu TQNM'!$B$7:$F$769,5,0)</f>
        <v>3</v>
      </c>
      <c r="I392" s="30">
        <f>COUNTIF('Nộp báo cáo'!$A$3:$A$1993,'Tổng 24-25'!B392)</f>
        <v>3</v>
      </c>
      <c r="J392" s="91"/>
    </row>
    <row r="393" spans="1:10" s="18" customFormat="1" ht="18.75" customHeight="1" x14ac:dyDescent="0.3">
      <c r="A393" s="19">
        <v>387</v>
      </c>
      <c r="B393" s="20">
        <v>2005225728</v>
      </c>
      <c r="C393" s="21" t="s">
        <v>438</v>
      </c>
      <c r="D393" s="22" t="s">
        <v>280</v>
      </c>
      <c r="E393" s="20" t="s">
        <v>1097</v>
      </c>
      <c r="F393" s="23" t="s">
        <v>834</v>
      </c>
      <c r="G393" s="30" t="s">
        <v>835</v>
      </c>
      <c r="H393" s="30">
        <f>VLOOKUP(B393,'Dữ liệu TQNM'!$B$7:$F$769,5,0)</f>
        <v>2</v>
      </c>
      <c r="I393" s="30">
        <f>COUNTIF('Nộp báo cáo'!$A$3:$A$1993,'Tổng 24-25'!B393)</f>
        <v>3</v>
      </c>
      <c r="J393" s="91"/>
    </row>
    <row r="394" spans="1:10" s="18" customFormat="1" ht="18.75" customHeight="1" x14ac:dyDescent="0.3">
      <c r="A394" s="19">
        <v>388</v>
      </c>
      <c r="B394" s="20">
        <v>2005220038</v>
      </c>
      <c r="C394" s="21" t="s">
        <v>863</v>
      </c>
      <c r="D394" s="22" t="s">
        <v>71</v>
      </c>
      <c r="E394" s="20" t="s">
        <v>797</v>
      </c>
      <c r="F394" s="23" t="s">
        <v>546</v>
      </c>
      <c r="G394" s="30" t="s">
        <v>835</v>
      </c>
      <c r="H394" s="30">
        <f>VLOOKUP(B394,'Dữ liệu TQNM'!$B$7:$F$769,5,0)</f>
        <v>2</v>
      </c>
      <c r="I394" s="30">
        <f>COUNTIF('Nộp báo cáo'!$A$3:$A$1993,'Tổng 24-25'!B394)</f>
        <v>3</v>
      </c>
      <c r="J394" s="91"/>
    </row>
    <row r="395" spans="1:10" s="18" customFormat="1" ht="18.75" customHeight="1" x14ac:dyDescent="0.3">
      <c r="A395" s="19">
        <v>389</v>
      </c>
      <c r="B395" s="20">
        <v>2005220092</v>
      </c>
      <c r="C395" s="21" t="s">
        <v>893</v>
      </c>
      <c r="D395" s="22" t="s">
        <v>36</v>
      </c>
      <c r="E395" s="20" t="s">
        <v>359</v>
      </c>
      <c r="F395" s="23" t="s">
        <v>546</v>
      </c>
      <c r="G395" s="30" t="s">
        <v>835</v>
      </c>
      <c r="H395" s="30">
        <f>VLOOKUP(B395,'Dữ liệu TQNM'!$B$7:$F$769,5,0)</f>
        <v>2</v>
      </c>
      <c r="I395" s="30">
        <f>COUNTIF('Nộp báo cáo'!$A$3:$A$1993,'Tổng 24-25'!B395)</f>
        <v>4</v>
      </c>
      <c r="J395" s="91"/>
    </row>
    <row r="396" spans="1:10" s="18" customFormat="1" ht="18.75" customHeight="1" x14ac:dyDescent="0.3">
      <c r="A396" s="19">
        <v>390</v>
      </c>
      <c r="B396" s="20">
        <v>2005220091</v>
      </c>
      <c r="C396" s="21" t="s">
        <v>895</v>
      </c>
      <c r="D396" s="22" t="s">
        <v>36</v>
      </c>
      <c r="E396" s="20" t="s">
        <v>1165</v>
      </c>
      <c r="F396" s="23" t="s">
        <v>546</v>
      </c>
      <c r="G396" s="30" t="s">
        <v>835</v>
      </c>
      <c r="H396" s="30">
        <f>VLOOKUP(B396,'Dữ liệu TQNM'!$B$7:$F$769,5,0)</f>
        <v>4</v>
      </c>
      <c r="I396" s="30">
        <f>COUNTIF('Nộp báo cáo'!$A$3:$A$1993,'Tổng 24-25'!B396)</f>
        <v>4</v>
      </c>
      <c r="J396" s="91"/>
    </row>
    <row r="397" spans="1:10" s="18" customFormat="1" ht="18.75" customHeight="1" x14ac:dyDescent="0.3">
      <c r="A397" s="19">
        <v>391</v>
      </c>
      <c r="B397" s="20">
        <v>2005220366</v>
      </c>
      <c r="C397" s="21" t="s">
        <v>888</v>
      </c>
      <c r="D397" s="22" t="s">
        <v>827</v>
      </c>
      <c r="E397" s="20" t="s">
        <v>139</v>
      </c>
      <c r="F397" s="23" t="s">
        <v>546</v>
      </c>
      <c r="G397" s="30" t="s">
        <v>835</v>
      </c>
      <c r="H397" s="30">
        <f>VLOOKUP(B397,'Dữ liệu TQNM'!$B$7:$F$769,5,0)</f>
        <v>2</v>
      </c>
      <c r="I397" s="30">
        <f>COUNTIF('Nộp báo cáo'!$A$3:$A$1993,'Tổng 24-25'!B397)</f>
        <v>3</v>
      </c>
      <c r="J397" s="91"/>
    </row>
    <row r="398" spans="1:10" s="18" customFormat="1" ht="18.75" customHeight="1" x14ac:dyDescent="0.3">
      <c r="A398" s="19">
        <v>392</v>
      </c>
      <c r="B398" s="20">
        <v>2044220311</v>
      </c>
      <c r="C398" s="21" t="s">
        <v>896</v>
      </c>
      <c r="D398" s="22" t="s">
        <v>268</v>
      </c>
      <c r="E398" s="20" t="s">
        <v>1054</v>
      </c>
      <c r="F398" s="23" t="s">
        <v>546</v>
      </c>
      <c r="G398" s="30" t="s">
        <v>835</v>
      </c>
      <c r="H398" s="30">
        <f>VLOOKUP(B398,'Dữ liệu TQNM'!$B$7:$F$769,5,0)</f>
        <v>3</v>
      </c>
      <c r="I398" s="30">
        <f>COUNTIF('Nộp báo cáo'!$A$3:$A$1993,'Tổng 24-25'!B398)</f>
        <v>3</v>
      </c>
      <c r="J398" s="91"/>
    </row>
    <row r="399" spans="1:10" s="18" customFormat="1" ht="18.75" customHeight="1" x14ac:dyDescent="0.3">
      <c r="A399" s="19">
        <v>393</v>
      </c>
      <c r="B399" s="20">
        <v>2005220525</v>
      </c>
      <c r="C399" s="21" t="s">
        <v>866</v>
      </c>
      <c r="D399" s="22" t="s">
        <v>533</v>
      </c>
      <c r="E399" s="20" t="s">
        <v>1016</v>
      </c>
      <c r="F399" s="23" t="s">
        <v>546</v>
      </c>
      <c r="G399" s="30" t="s">
        <v>835</v>
      </c>
      <c r="H399" s="30">
        <f>VLOOKUP(B399,'Dữ liệu TQNM'!$B$7:$F$769,5,0)</f>
        <v>2</v>
      </c>
      <c r="I399" s="30">
        <f>COUNTIF('Nộp báo cáo'!$A$3:$A$1993,'Tổng 24-25'!B399)</f>
        <v>3</v>
      </c>
      <c r="J399" s="91"/>
    </row>
    <row r="400" spans="1:10" s="18" customFormat="1" ht="18.75" customHeight="1" x14ac:dyDescent="0.3">
      <c r="A400" s="19">
        <v>394</v>
      </c>
      <c r="B400" s="20">
        <v>2005220534</v>
      </c>
      <c r="C400" s="21" t="s">
        <v>864</v>
      </c>
      <c r="D400" s="22" t="s">
        <v>533</v>
      </c>
      <c r="E400" s="20" t="s">
        <v>865</v>
      </c>
      <c r="F400" s="23" t="s">
        <v>546</v>
      </c>
      <c r="G400" s="30" t="s">
        <v>835</v>
      </c>
      <c r="H400" s="30">
        <f>VLOOKUP(B400,'Dữ liệu TQNM'!$B$7:$F$769,5,0)</f>
        <v>3</v>
      </c>
      <c r="I400" s="30">
        <f>COUNTIF('Nộp báo cáo'!$A$3:$A$1993,'Tổng 24-25'!B400)</f>
        <v>3</v>
      </c>
      <c r="J400" s="91"/>
    </row>
    <row r="401" spans="1:10" s="18" customFormat="1" ht="18.75" customHeight="1" x14ac:dyDescent="0.3">
      <c r="A401" s="19">
        <v>395</v>
      </c>
      <c r="B401" s="20">
        <v>2005220952</v>
      </c>
      <c r="C401" s="21" t="s">
        <v>867</v>
      </c>
      <c r="D401" s="22" t="s">
        <v>446</v>
      </c>
      <c r="E401" s="20" t="s">
        <v>1121</v>
      </c>
      <c r="F401" s="23" t="s">
        <v>546</v>
      </c>
      <c r="G401" s="30" t="s">
        <v>835</v>
      </c>
      <c r="H401" s="30">
        <f>VLOOKUP(B401,'Dữ liệu TQNM'!$B$7:$F$769,5,0)</f>
        <v>3</v>
      </c>
      <c r="I401" s="30">
        <f>COUNTIF('Nộp báo cáo'!$A$3:$A$1993,'Tổng 24-25'!B401)</f>
        <v>3</v>
      </c>
      <c r="J401" s="91"/>
    </row>
    <row r="402" spans="1:10" s="18" customFormat="1" ht="18.75" customHeight="1" x14ac:dyDescent="0.3">
      <c r="A402" s="19">
        <v>396</v>
      </c>
      <c r="B402" s="20">
        <v>2005220882</v>
      </c>
      <c r="C402" s="21" t="s">
        <v>433</v>
      </c>
      <c r="D402" s="22" t="s">
        <v>10</v>
      </c>
      <c r="E402" s="20" t="s">
        <v>983</v>
      </c>
      <c r="F402" s="23" t="s">
        <v>546</v>
      </c>
      <c r="G402" s="30" t="s">
        <v>835</v>
      </c>
      <c r="H402" s="30">
        <f>VLOOKUP(B402,'Dữ liệu TQNM'!$B$7:$F$769,5,0)</f>
        <v>3</v>
      </c>
      <c r="I402" s="30">
        <f>COUNTIF('Nộp báo cáo'!$A$3:$A$1993,'Tổng 24-25'!B402)</f>
        <v>3</v>
      </c>
      <c r="J402" s="91"/>
    </row>
    <row r="403" spans="1:10" s="18" customFormat="1" ht="18.75" customHeight="1" x14ac:dyDescent="0.3">
      <c r="A403" s="19">
        <v>397</v>
      </c>
      <c r="B403" s="20">
        <v>2005220997</v>
      </c>
      <c r="C403" s="21" t="s">
        <v>868</v>
      </c>
      <c r="D403" s="22" t="s">
        <v>869</v>
      </c>
      <c r="E403" s="20" t="s">
        <v>976</v>
      </c>
      <c r="F403" s="23" t="s">
        <v>546</v>
      </c>
      <c r="G403" s="30" t="s">
        <v>835</v>
      </c>
      <c r="H403" s="30">
        <f>VLOOKUP(B403,'Dữ liệu TQNM'!$B$7:$F$769,5,0)</f>
        <v>2</v>
      </c>
      <c r="I403" s="30">
        <f>COUNTIF('Nộp báo cáo'!$A$3:$A$1993,'Tổng 24-25'!B403)</f>
        <v>3</v>
      </c>
      <c r="J403" s="91"/>
    </row>
    <row r="404" spans="1:10" s="18" customFormat="1" ht="18.75" customHeight="1" x14ac:dyDescent="0.3">
      <c r="A404" s="19">
        <v>398</v>
      </c>
      <c r="B404" s="20">
        <v>2005220657</v>
      </c>
      <c r="C404" s="21" t="s">
        <v>870</v>
      </c>
      <c r="D404" s="22" t="s">
        <v>577</v>
      </c>
      <c r="E404" s="20" t="s">
        <v>871</v>
      </c>
      <c r="F404" s="23" t="s">
        <v>546</v>
      </c>
      <c r="G404" s="30" t="s">
        <v>835</v>
      </c>
      <c r="H404" s="30">
        <f>VLOOKUP(B404,'Dữ liệu TQNM'!$B$7:$F$769,5,0)</f>
        <v>2</v>
      </c>
      <c r="I404" s="30">
        <f>COUNTIF('Nộp báo cáo'!$A$3:$A$1993,'Tổng 24-25'!B404)</f>
        <v>3</v>
      </c>
      <c r="J404" s="91"/>
    </row>
    <row r="405" spans="1:10" s="18" customFormat="1" ht="18.75" customHeight="1" x14ac:dyDescent="0.3">
      <c r="A405" s="19">
        <v>399</v>
      </c>
      <c r="B405" s="20">
        <v>2005220653</v>
      </c>
      <c r="C405" s="21" t="s">
        <v>814</v>
      </c>
      <c r="D405" s="22" t="s">
        <v>577</v>
      </c>
      <c r="E405" s="20" t="s">
        <v>990</v>
      </c>
      <c r="F405" s="23" t="s">
        <v>546</v>
      </c>
      <c r="G405" s="30" t="s">
        <v>835</v>
      </c>
      <c r="H405" s="30">
        <f>VLOOKUP(B405,'Dữ liệu TQNM'!$B$7:$F$769,5,0)</f>
        <v>3</v>
      </c>
      <c r="I405" s="30">
        <f>COUNTIF('Nộp báo cáo'!$A$3:$A$1993,'Tổng 24-25'!B405)</f>
        <v>3</v>
      </c>
      <c r="J405" s="91"/>
    </row>
    <row r="406" spans="1:10" ht="18.75" customHeight="1" x14ac:dyDescent="0.3">
      <c r="A406" s="31">
        <v>400</v>
      </c>
      <c r="B406" s="107">
        <v>2005220783</v>
      </c>
      <c r="C406" s="33" t="s">
        <v>1166</v>
      </c>
      <c r="D406" s="34" t="s">
        <v>84</v>
      </c>
      <c r="E406" s="32" t="s">
        <v>1167</v>
      </c>
      <c r="F406" s="35" t="s">
        <v>546</v>
      </c>
      <c r="G406" s="36" t="s">
        <v>835</v>
      </c>
      <c r="H406" s="30">
        <f>VLOOKUP(B406,'Dữ liệu TQNM'!$B$7:$F$769,5,0)</f>
        <v>3</v>
      </c>
      <c r="I406" s="30">
        <f>COUNTIF('Nộp báo cáo'!$A$3:$A$1993,'Tổng 24-25'!B406)</f>
        <v>1</v>
      </c>
      <c r="J406" s="91"/>
    </row>
    <row r="407" spans="1:10" s="18" customFormat="1" ht="18.75" customHeight="1" x14ac:dyDescent="0.3">
      <c r="A407" s="19">
        <v>401</v>
      </c>
      <c r="B407" s="20">
        <v>2005221094</v>
      </c>
      <c r="C407" s="21" t="s">
        <v>219</v>
      </c>
      <c r="D407" s="22" t="s">
        <v>11</v>
      </c>
      <c r="E407" s="20" t="s">
        <v>954</v>
      </c>
      <c r="F407" s="23" t="s">
        <v>546</v>
      </c>
      <c r="G407" s="30" t="s">
        <v>835</v>
      </c>
      <c r="H407" s="30">
        <f>VLOOKUP(B407,'Dữ liệu TQNM'!$B$7:$F$769,5,0)</f>
        <v>2</v>
      </c>
      <c r="I407" s="30">
        <f>COUNTIF('Nộp báo cáo'!$A$3:$A$1993,'Tổng 24-25'!B407)</f>
        <v>3</v>
      </c>
      <c r="J407" s="91"/>
    </row>
    <row r="408" spans="1:10" ht="18.75" customHeight="1" x14ac:dyDescent="0.3">
      <c r="A408" s="31">
        <v>402</v>
      </c>
      <c r="B408" s="32">
        <v>2005221245</v>
      </c>
      <c r="C408" s="33" t="s">
        <v>872</v>
      </c>
      <c r="D408" s="34" t="s">
        <v>172</v>
      </c>
      <c r="E408" s="32" t="s">
        <v>291</v>
      </c>
      <c r="F408" s="35" t="s">
        <v>546</v>
      </c>
      <c r="G408" s="36" t="s">
        <v>835</v>
      </c>
      <c r="H408" s="30">
        <f>VLOOKUP(B408,'Dữ liệu TQNM'!$B$7:$F$769,5,0)</f>
        <v>0</v>
      </c>
      <c r="I408" s="30">
        <f>COUNTIF('Nộp báo cáo'!$A$3:$A$1993,'Tổng 24-25'!B408)</f>
        <v>0</v>
      </c>
      <c r="J408" s="91"/>
    </row>
    <row r="409" spans="1:10" ht="18.75" customHeight="1" x14ac:dyDescent="0.3">
      <c r="A409" s="31">
        <v>403</v>
      </c>
      <c r="B409" s="107">
        <v>2005221404</v>
      </c>
      <c r="C409" s="33" t="s">
        <v>417</v>
      </c>
      <c r="D409" s="34" t="s">
        <v>88</v>
      </c>
      <c r="E409" s="32" t="s">
        <v>620</v>
      </c>
      <c r="F409" s="35" t="s">
        <v>546</v>
      </c>
      <c r="G409" s="36" t="s">
        <v>835</v>
      </c>
      <c r="H409" s="30">
        <f>VLOOKUP(B409,'Dữ liệu TQNM'!$B$7:$F$769,5,0)</f>
        <v>1</v>
      </c>
      <c r="I409" s="30">
        <f>COUNTIF('Nộp báo cáo'!$A$3:$A$1993,'Tổng 24-25'!B409)</f>
        <v>0</v>
      </c>
      <c r="J409" s="91"/>
    </row>
    <row r="410" spans="1:10" s="18" customFormat="1" ht="18.75" customHeight="1" x14ac:dyDescent="0.3">
      <c r="A410" s="19">
        <v>404</v>
      </c>
      <c r="B410" s="20">
        <v>2005221468</v>
      </c>
      <c r="C410" s="21" t="s">
        <v>755</v>
      </c>
      <c r="D410" s="22" t="s">
        <v>192</v>
      </c>
      <c r="E410" s="20" t="s">
        <v>957</v>
      </c>
      <c r="F410" s="23" t="s">
        <v>546</v>
      </c>
      <c r="G410" s="30" t="s">
        <v>835</v>
      </c>
      <c r="H410" s="30">
        <f>VLOOKUP(B410,'Dữ liệu TQNM'!$B$7:$F$769,5,0)</f>
        <v>2</v>
      </c>
      <c r="I410" s="30">
        <f>COUNTIF('Nộp báo cáo'!$A$3:$A$1993,'Tổng 24-25'!B410)</f>
        <v>3</v>
      </c>
      <c r="J410" s="91"/>
    </row>
    <row r="411" spans="1:10" s="18" customFormat="1" ht="18.75" customHeight="1" x14ac:dyDescent="0.3">
      <c r="A411" s="19">
        <v>405</v>
      </c>
      <c r="B411" s="20">
        <v>2005221481</v>
      </c>
      <c r="C411" s="21" t="s">
        <v>873</v>
      </c>
      <c r="D411" s="22" t="s">
        <v>81</v>
      </c>
      <c r="E411" s="20" t="s">
        <v>874</v>
      </c>
      <c r="F411" s="23" t="s">
        <v>546</v>
      </c>
      <c r="G411" s="30" t="s">
        <v>835</v>
      </c>
      <c r="H411" s="30">
        <f>VLOOKUP(B411,'Dữ liệu TQNM'!$B$7:$F$769,5,0)</f>
        <v>3</v>
      </c>
      <c r="I411" s="30">
        <f>COUNTIF('Nộp báo cáo'!$A$3:$A$1993,'Tổng 24-25'!B411)</f>
        <v>3</v>
      </c>
      <c r="J411" s="91"/>
    </row>
    <row r="412" spans="1:10" s="18" customFormat="1" ht="18.75" customHeight="1" x14ac:dyDescent="0.3">
      <c r="A412" s="19">
        <v>406</v>
      </c>
      <c r="B412" s="20">
        <v>2005221488</v>
      </c>
      <c r="C412" s="21" t="s">
        <v>264</v>
      </c>
      <c r="D412" s="22" t="s">
        <v>81</v>
      </c>
      <c r="E412" s="20" t="s">
        <v>805</v>
      </c>
      <c r="F412" s="23" t="s">
        <v>546</v>
      </c>
      <c r="G412" s="30" t="s">
        <v>835</v>
      </c>
      <c r="H412" s="30">
        <f>VLOOKUP(B412,'Dữ liệu TQNM'!$B$7:$F$769,5,0)</f>
        <v>2</v>
      </c>
      <c r="I412" s="30">
        <f>COUNTIF('Nộp báo cáo'!$A$3:$A$1993,'Tổng 24-25'!B412)</f>
        <v>3</v>
      </c>
      <c r="J412" s="91"/>
    </row>
    <row r="413" spans="1:10" s="18" customFormat="1" ht="18.75" customHeight="1" x14ac:dyDescent="0.3">
      <c r="A413" s="19">
        <v>407</v>
      </c>
      <c r="B413" s="20">
        <v>2005221656</v>
      </c>
      <c r="C413" s="21" t="s">
        <v>267</v>
      </c>
      <c r="D413" s="22" t="s">
        <v>120</v>
      </c>
      <c r="E413" s="20" t="s">
        <v>1168</v>
      </c>
      <c r="F413" s="23" t="s">
        <v>546</v>
      </c>
      <c r="G413" s="30" t="s">
        <v>835</v>
      </c>
      <c r="H413" s="30">
        <f>VLOOKUP(B413,'Dữ liệu TQNM'!$B$7:$F$769,5,0)</f>
        <v>2</v>
      </c>
      <c r="I413" s="30">
        <f>COUNTIF('Nộp báo cáo'!$A$3:$A$1993,'Tổng 24-25'!B413)</f>
        <v>3</v>
      </c>
      <c r="J413" s="91"/>
    </row>
    <row r="414" spans="1:10" s="18" customFormat="1" ht="18.75" customHeight="1" x14ac:dyDescent="0.3">
      <c r="A414" s="19">
        <v>408</v>
      </c>
      <c r="B414" s="20">
        <v>2005222109</v>
      </c>
      <c r="C414" s="21" t="s">
        <v>875</v>
      </c>
      <c r="D414" s="22" t="s">
        <v>747</v>
      </c>
      <c r="E414" s="20" t="s">
        <v>1169</v>
      </c>
      <c r="F414" s="23" t="s">
        <v>546</v>
      </c>
      <c r="G414" s="30" t="s">
        <v>835</v>
      </c>
      <c r="H414" s="30">
        <f>VLOOKUP(B414,'Dữ liệu TQNM'!$B$7:$F$769,5,0)</f>
        <v>2</v>
      </c>
      <c r="I414" s="30">
        <f>COUNTIF('Nộp báo cáo'!$A$3:$A$1993,'Tổng 24-25'!B414)</f>
        <v>4</v>
      </c>
      <c r="J414" s="91"/>
    </row>
    <row r="415" spans="1:10" s="18" customFormat="1" ht="18.75" customHeight="1" x14ac:dyDescent="0.3">
      <c r="A415" s="19">
        <v>409</v>
      </c>
      <c r="B415" s="20">
        <v>2005222148</v>
      </c>
      <c r="C415" s="21" t="s">
        <v>889</v>
      </c>
      <c r="D415" s="22" t="s">
        <v>232</v>
      </c>
      <c r="E415" s="20" t="s">
        <v>725</v>
      </c>
      <c r="F415" s="23" t="s">
        <v>546</v>
      </c>
      <c r="G415" s="30" t="s">
        <v>835</v>
      </c>
      <c r="H415" s="30">
        <f>VLOOKUP(B415,'Dữ liệu TQNM'!$B$7:$F$769,5,0)</f>
        <v>3</v>
      </c>
      <c r="I415" s="30">
        <f>COUNTIF('Nộp báo cáo'!$A$3:$A$1993,'Tổng 24-25'!B415)</f>
        <v>3</v>
      </c>
      <c r="J415" s="91"/>
    </row>
    <row r="416" spans="1:10" s="18" customFormat="1" ht="18.75" customHeight="1" x14ac:dyDescent="0.3">
      <c r="A416" s="19">
        <v>410</v>
      </c>
      <c r="B416" s="20">
        <v>2005222192</v>
      </c>
      <c r="C416" s="21" t="s">
        <v>519</v>
      </c>
      <c r="D416" s="22" t="s">
        <v>400</v>
      </c>
      <c r="E416" s="20" t="s">
        <v>1170</v>
      </c>
      <c r="F416" s="23" t="s">
        <v>546</v>
      </c>
      <c r="G416" s="30" t="s">
        <v>835</v>
      </c>
      <c r="H416" s="30">
        <f>VLOOKUP(B416,'Dữ liệu TQNM'!$B$7:$F$769,5,0)</f>
        <v>4</v>
      </c>
      <c r="I416" s="30">
        <f>COUNTIF('Nộp báo cáo'!$A$3:$A$1993,'Tổng 24-25'!B416)</f>
        <v>3</v>
      </c>
      <c r="J416" s="91"/>
    </row>
    <row r="417" spans="1:10" s="18" customFormat="1" ht="18.75" customHeight="1" x14ac:dyDescent="0.3">
      <c r="A417" s="19">
        <v>411</v>
      </c>
      <c r="B417" s="20">
        <v>2005222345</v>
      </c>
      <c r="C417" s="21" t="s">
        <v>890</v>
      </c>
      <c r="D417" s="22" t="s">
        <v>29</v>
      </c>
      <c r="E417" s="20" t="s">
        <v>976</v>
      </c>
      <c r="F417" s="23" t="s">
        <v>546</v>
      </c>
      <c r="G417" s="30" t="s">
        <v>835</v>
      </c>
      <c r="H417" s="30">
        <f>VLOOKUP(B417,'Dữ liệu TQNM'!$B$7:$F$769,5,0)</f>
        <v>4</v>
      </c>
      <c r="I417" s="30">
        <f>COUNTIF('Nộp báo cáo'!$A$3:$A$1993,'Tổng 24-25'!B417)</f>
        <v>3</v>
      </c>
      <c r="J417" s="91"/>
    </row>
    <row r="418" spans="1:10" s="18" customFormat="1" ht="18.75" customHeight="1" x14ac:dyDescent="0.3">
      <c r="A418" s="19">
        <v>412</v>
      </c>
      <c r="B418" s="20">
        <v>2005222330</v>
      </c>
      <c r="C418" s="21" t="s">
        <v>877</v>
      </c>
      <c r="D418" s="22" t="s">
        <v>29</v>
      </c>
      <c r="E418" s="20" t="s">
        <v>607</v>
      </c>
      <c r="F418" s="23" t="s">
        <v>546</v>
      </c>
      <c r="G418" s="30" t="s">
        <v>835</v>
      </c>
      <c r="H418" s="30">
        <f>VLOOKUP(B418,'Dữ liệu TQNM'!$B$7:$F$769,5,0)</f>
        <v>4</v>
      </c>
      <c r="I418" s="30">
        <f>COUNTIF('Nộp báo cáo'!$A$3:$A$1993,'Tổng 24-25'!B418)</f>
        <v>3</v>
      </c>
      <c r="J418" s="91"/>
    </row>
    <row r="419" spans="1:10" s="18" customFormat="1" ht="18.75" customHeight="1" x14ac:dyDescent="0.3">
      <c r="A419" s="19">
        <v>413</v>
      </c>
      <c r="B419" s="20">
        <v>2005222280</v>
      </c>
      <c r="C419" s="21" t="s">
        <v>876</v>
      </c>
      <c r="D419" s="22" t="s">
        <v>29</v>
      </c>
      <c r="E419" s="20" t="s">
        <v>1014</v>
      </c>
      <c r="F419" s="23" t="s">
        <v>546</v>
      </c>
      <c r="G419" s="30" t="s">
        <v>835</v>
      </c>
      <c r="H419" s="30">
        <f>VLOOKUP(B419,'Dữ liệu TQNM'!$B$7:$F$769,5,0)</f>
        <v>3</v>
      </c>
      <c r="I419" s="30">
        <f>COUNTIF('Nộp báo cáo'!$A$3:$A$1993,'Tổng 24-25'!B419)</f>
        <v>3</v>
      </c>
      <c r="J419" s="91"/>
    </row>
    <row r="420" spans="1:10" s="18" customFormat="1" ht="18.75" customHeight="1" x14ac:dyDescent="0.3">
      <c r="A420" s="19">
        <v>414</v>
      </c>
      <c r="B420" s="20">
        <v>2005222337</v>
      </c>
      <c r="C420" s="21" t="s">
        <v>878</v>
      </c>
      <c r="D420" s="22" t="s">
        <v>29</v>
      </c>
      <c r="E420" s="20" t="s">
        <v>879</v>
      </c>
      <c r="F420" s="23" t="s">
        <v>546</v>
      </c>
      <c r="G420" s="30" t="s">
        <v>835</v>
      </c>
      <c r="H420" s="30">
        <f>VLOOKUP(B420,'Dữ liệu TQNM'!$B$7:$F$769,5,0)</f>
        <v>2</v>
      </c>
      <c r="I420" s="30">
        <f>COUNTIF('Nộp báo cáo'!$A$3:$A$1993,'Tổng 24-25'!B420)</f>
        <v>9</v>
      </c>
      <c r="J420" s="91"/>
    </row>
    <row r="421" spans="1:10" s="18" customFormat="1" ht="18.75" customHeight="1" x14ac:dyDescent="0.3">
      <c r="A421" s="19">
        <v>415</v>
      </c>
      <c r="B421" s="20">
        <v>2005222324</v>
      </c>
      <c r="C421" s="21" t="s">
        <v>897</v>
      </c>
      <c r="D421" s="22" t="s">
        <v>29</v>
      </c>
      <c r="E421" s="20" t="s">
        <v>586</v>
      </c>
      <c r="F421" s="23" t="s">
        <v>546</v>
      </c>
      <c r="G421" s="30" t="s">
        <v>835</v>
      </c>
      <c r="H421" s="30">
        <f>VLOOKUP(B421,'Dữ liệu TQNM'!$B$7:$F$769,5,0)</f>
        <v>4</v>
      </c>
      <c r="I421" s="30">
        <f>COUNTIF('Nộp báo cáo'!$A$3:$A$1993,'Tổng 24-25'!B421)</f>
        <v>4</v>
      </c>
      <c r="J421" s="91"/>
    </row>
    <row r="422" spans="1:10" s="18" customFormat="1" ht="18.75" customHeight="1" x14ac:dyDescent="0.3">
      <c r="A422" s="19">
        <v>416</v>
      </c>
      <c r="B422" s="20">
        <v>2005222295</v>
      </c>
      <c r="C422" s="21" t="s">
        <v>614</v>
      </c>
      <c r="D422" s="22" t="s">
        <v>29</v>
      </c>
      <c r="E422" s="20" t="s">
        <v>847</v>
      </c>
      <c r="F422" s="23" t="s">
        <v>546</v>
      </c>
      <c r="G422" s="30" t="s">
        <v>835</v>
      </c>
      <c r="H422" s="30">
        <f>VLOOKUP(B422,'Dữ liệu TQNM'!$B$7:$F$769,5,0)</f>
        <v>3</v>
      </c>
      <c r="I422" s="30">
        <f>COUNTIF('Nộp báo cáo'!$A$3:$A$1993,'Tổng 24-25'!B422)</f>
        <v>3</v>
      </c>
      <c r="J422" s="91"/>
    </row>
    <row r="423" spans="1:10" s="18" customFormat="1" ht="18.75" customHeight="1" x14ac:dyDescent="0.3">
      <c r="A423" s="19">
        <v>417</v>
      </c>
      <c r="B423" s="20">
        <v>2005222422</v>
      </c>
      <c r="C423" s="21" t="s">
        <v>891</v>
      </c>
      <c r="D423" s="22" t="s">
        <v>483</v>
      </c>
      <c r="E423" s="20" t="s">
        <v>611</v>
      </c>
      <c r="F423" s="23" t="s">
        <v>546</v>
      </c>
      <c r="G423" s="30" t="s">
        <v>835</v>
      </c>
      <c r="H423" s="30">
        <f>VLOOKUP(B423,'Dữ liệu TQNM'!$B$7:$F$769,5,0)</f>
        <v>3</v>
      </c>
      <c r="I423" s="30">
        <f>COUNTIF('Nộp báo cáo'!$A$3:$A$1993,'Tổng 24-25'!B423)</f>
        <v>3</v>
      </c>
      <c r="J423" s="91"/>
    </row>
    <row r="424" spans="1:10" s="18" customFormat="1" ht="18.75" customHeight="1" x14ac:dyDescent="0.3">
      <c r="A424" s="19">
        <v>418</v>
      </c>
      <c r="B424" s="20">
        <v>2005222686</v>
      </c>
      <c r="C424" s="21" t="s">
        <v>880</v>
      </c>
      <c r="D424" s="22" t="s">
        <v>91</v>
      </c>
      <c r="E424" s="20" t="s">
        <v>881</v>
      </c>
      <c r="F424" s="23" t="s">
        <v>546</v>
      </c>
      <c r="G424" s="30" t="s">
        <v>835</v>
      </c>
      <c r="H424" s="30">
        <f>VLOOKUP(B424,'Dữ liệu TQNM'!$B$7:$F$769,5,0)</f>
        <v>2</v>
      </c>
      <c r="I424" s="30">
        <f>COUNTIF('Nộp báo cáo'!$A$3:$A$1993,'Tổng 24-25'!B424)</f>
        <v>3</v>
      </c>
      <c r="J424" s="91"/>
    </row>
    <row r="425" spans="1:10" s="18" customFormat="1" ht="18.75" customHeight="1" x14ac:dyDescent="0.3">
      <c r="A425" s="19">
        <v>419</v>
      </c>
      <c r="B425" s="20">
        <v>2005222871</v>
      </c>
      <c r="C425" s="21" t="s">
        <v>93</v>
      </c>
      <c r="D425" s="22" t="s">
        <v>92</v>
      </c>
      <c r="E425" s="20" t="s">
        <v>794</v>
      </c>
      <c r="F425" s="23" t="s">
        <v>546</v>
      </c>
      <c r="G425" s="30" t="s">
        <v>835</v>
      </c>
      <c r="H425" s="30">
        <f>VLOOKUP(B425,'Dữ liệu TQNM'!$B$7:$F$769,5,0)</f>
        <v>3</v>
      </c>
      <c r="I425" s="30">
        <f>COUNTIF('Nộp báo cáo'!$A$3:$A$1993,'Tổng 24-25'!B425)</f>
        <v>3</v>
      </c>
      <c r="J425" s="91"/>
    </row>
    <row r="426" spans="1:10" s="18" customFormat="1" ht="18.75" customHeight="1" x14ac:dyDescent="0.3">
      <c r="A426" s="19">
        <v>420</v>
      </c>
      <c r="B426" s="20">
        <v>2005222878</v>
      </c>
      <c r="C426" s="21" t="s">
        <v>898</v>
      </c>
      <c r="D426" s="22" t="s">
        <v>92</v>
      </c>
      <c r="E426" s="20" t="s">
        <v>899</v>
      </c>
      <c r="F426" s="23" t="s">
        <v>546</v>
      </c>
      <c r="G426" s="30" t="s">
        <v>835</v>
      </c>
      <c r="H426" s="30">
        <f>VLOOKUP(B426,'Dữ liệu TQNM'!$B$7:$F$769,5,0)</f>
        <v>3</v>
      </c>
      <c r="I426" s="30">
        <f>COUNTIF('Nộp báo cáo'!$A$3:$A$1993,'Tổng 24-25'!B426)</f>
        <v>3</v>
      </c>
      <c r="J426" s="91"/>
    </row>
    <row r="427" spans="1:10" s="18" customFormat="1" ht="18.75" customHeight="1" x14ac:dyDescent="0.3">
      <c r="A427" s="19">
        <v>421</v>
      </c>
      <c r="B427" s="20">
        <v>2005222923</v>
      </c>
      <c r="C427" s="21" t="s">
        <v>900</v>
      </c>
      <c r="D427" s="22" t="s">
        <v>92</v>
      </c>
      <c r="E427" s="20" t="s">
        <v>734</v>
      </c>
      <c r="F427" s="23" t="s">
        <v>546</v>
      </c>
      <c r="G427" s="30" t="s">
        <v>835</v>
      </c>
      <c r="H427" s="30">
        <f>VLOOKUP(B427,'Dữ liệu TQNM'!$B$7:$F$769,5,0)</f>
        <v>2</v>
      </c>
      <c r="I427" s="30">
        <f>COUNTIF('Nộp báo cáo'!$A$3:$A$1993,'Tổng 24-25'!B427)</f>
        <v>3</v>
      </c>
      <c r="J427" s="91"/>
    </row>
    <row r="428" spans="1:10" s="18" customFormat="1" ht="18.75" customHeight="1" x14ac:dyDescent="0.3">
      <c r="A428" s="19">
        <v>422</v>
      </c>
      <c r="B428" s="20">
        <v>2005222991</v>
      </c>
      <c r="C428" s="21" t="s">
        <v>882</v>
      </c>
      <c r="D428" s="22" t="s">
        <v>241</v>
      </c>
      <c r="E428" s="20" t="s">
        <v>723</v>
      </c>
      <c r="F428" s="23" t="s">
        <v>546</v>
      </c>
      <c r="G428" s="30" t="s">
        <v>835</v>
      </c>
      <c r="H428" s="30">
        <f>VLOOKUP(B428,'Dữ liệu TQNM'!$B$7:$F$769,5,0)</f>
        <v>2</v>
      </c>
      <c r="I428" s="30">
        <f>COUNTIF('Nộp báo cáo'!$A$3:$A$1993,'Tổng 24-25'!B428)</f>
        <v>1</v>
      </c>
      <c r="J428" s="91"/>
    </row>
    <row r="429" spans="1:10" s="18" customFormat="1" ht="18.75" customHeight="1" x14ac:dyDescent="0.3">
      <c r="A429" s="19">
        <v>423</v>
      </c>
      <c r="B429" s="20">
        <v>2005223075</v>
      </c>
      <c r="C429" s="21" t="s">
        <v>783</v>
      </c>
      <c r="D429" s="22" t="s">
        <v>51</v>
      </c>
      <c r="E429" s="20" t="s">
        <v>883</v>
      </c>
      <c r="F429" s="23" t="s">
        <v>546</v>
      </c>
      <c r="G429" s="30" t="s">
        <v>835</v>
      </c>
      <c r="H429" s="30">
        <f>VLOOKUP(B429,'Dữ liệu TQNM'!$B$7:$F$769,5,0)</f>
        <v>3</v>
      </c>
      <c r="I429" s="30">
        <f>COUNTIF('Nộp báo cáo'!$A$3:$A$1993,'Tổng 24-25'!B429)</f>
        <v>3</v>
      </c>
      <c r="J429" s="91"/>
    </row>
    <row r="430" spans="1:10" s="18" customFormat="1" ht="18.75" customHeight="1" x14ac:dyDescent="0.3">
      <c r="A430" s="19">
        <v>424</v>
      </c>
      <c r="B430" s="20">
        <v>2005223197</v>
      </c>
      <c r="C430" s="21" t="s">
        <v>884</v>
      </c>
      <c r="D430" s="22" t="s">
        <v>637</v>
      </c>
      <c r="E430" s="20" t="s">
        <v>136</v>
      </c>
      <c r="F430" s="23" t="s">
        <v>546</v>
      </c>
      <c r="G430" s="30" t="s">
        <v>835</v>
      </c>
      <c r="H430" s="30">
        <f>VLOOKUP(B430,'Dữ liệu TQNM'!$B$7:$F$769,5,0)</f>
        <v>3</v>
      </c>
      <c r="I430" s="30">
        <f>COUNTIF('Nộp báo cáo'!$A$3:$A$1993,'Tổng 24-25'!B430)</f>
        <v>3</v>
      </c>
      <c r="J430" s="91"/>
    </row>
    <row r="431" spans="1:10" s="18" customFormat="1" ht="18.75" customHeight="1" x14ac:dyDescent="0.3">
      <c r="A431" s="19">
        <v>425</v>
      </c>
      <c r="B431" s="20">
        <v>2005223375</v>
      </c>
      <c r="C431" s="21" t="s">
        <v>885</v>
      </c>
      <c r="D431" s="22" t="s">
        <v>76</v>
      </c>
      <c r="E431" s="20" t="s">
        <v>1171</v>
      </c>
      <c r="F431" s="23" t="s">
        <v>546</v>
      </c>
      <c r="G431" s="30" t="s">
        <v>835</v>
      </c>
      <c r="H431" s="30">
        <f>VLOOKUP(B431,'Dữ liệu TQNM'!$B$7:$F$769,5,0)</f>
        <v>2</v>
      </c>
      <c r="I431" s="30">
        <f>COUNTIF('Nộp báo cáo'!$A$3:$A$1993,'Tổng 24-25'!B431)</f>
        <v>3</v>
      </c>
      <c r="J431" s="91"/>
    </row>
    <row r="432" spans="1:10" s="18" customFormat="1" ht="18.75" customHeight="1" x14ac:dyDescent="0.3">
      <c r="A432" s="19">
        <v>426</v>
      </c>
      <c r="B432" s="20">
        <v>2005223302</v>
      </c>
      <c r="C432" s="21" t="s">
        <v>894</v>
      </c>
      <c r="D432" s="22" t="s">
        <v>76</v>
      </c>
      <c r="E432" s="20" t="s">
        <v>630</v>
      </c>
      <c r="F432" s="23" t="s">
        <v>546</v>
      </c>
      <c r="G432" s="30" t="s">
        <v>835</v>
      </c>
      <c r="H432" s="30">
        <f>VLOOKUP(B432,'Dữ liệu TQNM'!$B$7:$F$769,5,0)</f>
        <v>2</v>
      </c>
      <c r="I432" s="30">
        <f>COUNTIF('Nộp báo cáo'!$A$3:$A$1993,'Tổng 24-25'!B432)</f>
        <v>3</v>
      </c>
      <c r="J432" s="91"/>
    </row>
    <row r="433" spans="1:10" s="18" customFormat="1" ht="18.75" customHeight="1" x14ac:dyDescent="0.3">
      <c r="A433" s="19">
        <v>427</v>
      </c>
      <c r="B433" s="20">
        <v>2005223426</v>
      </c>
      <c r="C433" s="21" t="s">
        <v>886</v>
      </c>
      <c r="D433" s="22" t="s">
        <v>161</v>
      </c>
      <c r="E433" s="20" t="s">
        <v>131</v>
      </c>
      <c r="F433" s="23" t="s">
        <v>546</v>
      </c>
      <c r="G433" s="30" t="s">
        <v>835</v>
      </c>
      <c r="H433" s="30">
        <f>VLOOKUP(B433,'Dữ liệu TQNM'!$B$7:$F$769,5,0)</f>
        <v>3</v>
      </c>
      <c r="I433" s="30">
        <f>COUNTIF('Nộp báo cáo'!$A$3:$A$1993,'Tổng 24-25'!B433)</f>
        <v>3</v>
      </c>
      <c r="J433" s="91"/>
    </row>
    <row r="434" spans="1:10" ht="18.75" customHeight="1" x14ac:dyDescent="0.3">
      <c r="A434" s="31">
        <v>428</v>
      </c>
      <c r="B434" s="107">
        <v>2005223491</v>
      </c>
      <c r="C434" s="33" t="s">
        <v>776</v>
      </c>
      <c r="D434" s="34" t="s">
        <v>318</v>
      </c>
      <c r="E434" s="32" t="s">
        <v>1172</v>
      </c>
      <c r="F434" s="35" t="s">
        <v>546</v>
      </c>
      <c r="G434" s="36" t="s">
        <v>835</v>
      </c>
      <c r="H434" s="30">
        <f>VLOOKUP(B434,'Dữ liệu TQNM'!$B$7:$F$769,5,0)</f>
        <v>2</v>
      </c>
      <c r="I434" s="30">
        <f>COUNTIF('Nộp báo cáo'!$A$3:$A$1993,'Tổng 24-25'!B434)</f>
        <v>3</v>
      </c>
      <c r="J434" s="91"/>
    </row>
    <row r="435" spans="1:10" s="18" customFormat="1" ht="18.75" customHeight="1" x14ac:dyDescent="0.3">
      <c r="A435" s="19">
        <v>429</v>
      </c>
      <c r="B435" s="20">
        <v>2005223479</v>
      </c>
      <c r="C435" s="21" t="s">
        <v>887</v>
      </c>
      <c r="D435" s="22" t="s">
        <v>318</v>
      </c>
      <c r="E435" s="20" t="s">
        <v>1012</v>
      </c>
      <c r="F435" s="23" t="s">
        <v>546</v>
      </c>
      <c r="G435" s="30" t="s">
        <v>835</v>
      </c>
      <c r="H435" s="30">
        <f>VLOOKUP(B435,'Dữ liệu TQNM'!$B$7:$F$769,5,0)</f>
        <v>2</v>
      </c>
      <c r="I435" s="30">
        <f>COUNTIF('Nộp báo cáo'!$A$3:$A$1993,'Tổng 24-25'!B435)</f>
        <v>3</v>
      </c>
      <c r="J435" s="91"/>
    </row>
    <row r="436" spans="1:10" s="18" customFormat="1" ht="18.75" customHeight="1" x14ac:dyDescent="0.3">
      <c r="A436" s="19">
        <v>430</v>
      </c>
      <c r="B436" s="20">
        <v>2005223492</v>
      </c>
      <c r="C436" s="21" t="s">
        <v>892</v>
      </c>
      <c r="D436" s="22" t="s">
        <v>318</v>
      </c>
      <c r="E436" s="20" t="s">
        <v>555</v>
      </c>
      <c r="F436" s="23" t="s">
        <v>546</v>
      </c>
      <c r="G436" s="30" t="s">
        <v>835</v>
      </c>
      <c r="H436" s="30">
        <f>VLOOKUP(B436,'Dữ liệu TQNM'!$B$7:$F$769,5,0)</f>
        <v>4</v>
      </c>
      <c r="I436" s="30">
        <f>COUNTIF('Nộp báo cáo'!$A$3:$A$1993,'Tổng 24-25'!B436)</f>
        <v>3</v>
      </c>
      <c r="J436" s="91"/>
    </row>
    <row r="437" spans="1:10" ht="18.75" customHeight="1" x14ac:dyDescent="0.3">
      <c r="A437" s="31">
        <v>431</v>
      </c>
      <c r="B437" s="107">
        <v>2005223444</v>
      </c>
      <c r="C437" s="33" t="s">
        <v>1173</v>
      </c>
      <c r="D437" s="34" t="s">
        <v>803</v>
      </c>
      <c r="E437" s="32" t="s">
        <v>1174</v>
      </c>
      <c r="F437" s="35" t="s">
        <v>546</v>
      </c>
      <c r="G437" s="36" t="s">
        <v>835</v>
      </c>
      <c r="H437" s="30">
        <f>VLOOKUP(B437,'Dữ liệu TQNM'!$B$7:$F$769,5,0)</f>
        <v>1</v>
      </c>
      <c r="I437" s="30">
        <f>COUNTIF('Nộp báo cáo'!$A$3:$A$1993,'Tổng 24-25'!B437)</f>
        <v>0</v>
      </c>
      <c r="J437" s="91"/>
    </row>
    <row r="438" spans="1:10" s="18" customFormat="1" ht="18.75" customHeight="1" x14ac:dyDescent="0.3">
      <c r="A438" s="19">
        <v>432</v>
      </c>
      <c r="B438" s="20">
        <v>2005223433</v>
      </c>
      <c r="C438" s="21" t="s">
        <v>482</v>
      </c>
      <c r="D438" s="22" t="s">
        <v>803</v>
      </c>
      <c r="E438" s="20" t="s">
        <v>1175</v>
      </c>
      <c r="F438" s="23" t="s">
        <v>546</v>
      </c>
      <c r="G438" s="30" t="s">
        <v>835</v>
      </c>
      <c r="H438" s="30">
        <f>VLOOKUP(B438,'Dữ liệu TQNM'!$B$7:$F$769,5,0)</f>
        <v>2</v>
      </c>
      <c r="I438" s="30">
        <f>COUNTIF('Nộp báo cáo'!$A$3:$A$1993,'Tổng 24-25'!B438)</f>
        <v>3</v>
      </c>
      <c r="J438" s="91"/>
    </row>
    <row r="439" spans="1:10" s="18" customFormat="1" ht="18.75" customHeight="1" x14ac:dyDescent="0.3">
      <c r="A439" s="19">
        <v>433</v>
      </c>
      <c r="B439" s="20">
        <v>2005223693</v>
      </c>
      <c r="C439" s="21" t="s">
        <v>121</v>
      </c>
      <c r="D439" s="22" t="s">
        <v>501</v>
      </c>
      <c r="E439" s="20" t="s">
        <v>563</v>
      </c>
      <c r="F439" s="23" t="s">
        <v>546</v>
      </c>
      <c r="G439" s="30" t="s">
        <v>547</v>
      </c>
      <c r="H439" s="30">
        <f>VLOOKUP(B439,'Dữ liệu TQNM'!$B$7:$F$769,5,0)</f>
        <v>3</v>
      </c>
      <c r="I439" s="30">
        <f>COUNTIF('Nộp báo cáo'!$A$3:$A$1993,'Tổng 24-25'!B439)</f>
        <v>3</v>
      </c>
      <c r="J439" s="91"/>
    </row>
    <row r="440" spans="1:10" s="18" customFormat="1" ht="18.75" customHeight="1" x14ac:dyDescent="0.3">
      <c r="A440" s="19">
        <v>434</v>
      </c>
      <c r="B440" s="20">
        <v>2022223970</v>
      </c>
      <c r="C440" s="21" t="s">
        <v>553</v>
      </c>
      <c r="D440" s="22" t="s">
        <v>554</v>
      </c>
      <c r="E440" s="20" t="s">
        <v>555</v>
      </c>
      <c r="F440" s="23" t="s">
        <v>546</v>
      </c>
      <c r="G440" s="30" t="s">
        <v>547</v>
      </c>
      <c r="H440" s="30">
        <f>VLOOKUP(B440,'Dữ liệu TQNM'!$B$7:$F$769,5,0)</f>
        <v>3</v>
      </c>
      <c r="I440" s="30">
        <f>COUNTIF('Nộp báo cáo'!$A$3:$A$1993,'Tổng 24-25'!B440)</f>
        <v>3</v>
      </c>
      <c r="J440" s="91"/>
    </row>
    <row r="441" spans="1:10" s="18" customFormat="1" ht="18.75" customHeight="1" x14ac:dyDescent="0.3">
      <c r="A441" s="19">
        <v>435</v>
      </c>
      <c r="B441" s="20">
        <v>2005224015</v>
      </c>
      <c r="C441" s="21" t="s">
        <v>121</v>
      </c>
      <c r="D441" s="22" t="s">
        <v>181</v>
      </c>
      <c r="E441" s="20" t="s">
        <v>564</v>
      </c>
      <c r="F441" s="23" t="s">
        <v>546</v>
      </c>
      <c r="G441" s="30" t="s">
        <v>547</v>
      </c>
      <c r="H441" s="30">
        <f>VLOOKUP(B441,'Dữ liệu TQNM'!$B$7:$F$769,5,0)</f>
        <v>4</v>
      </c>
      <c r="I441" s="30">
        <f>COUNTIF('Nộp báo cáo'!$A$3:$A$1993,'Tổng 24-25'!B441)</f>
        <v>5</v>
      </c>
      <c r="J441" s="91"/>
    </row>
    <row r="442" spans="1:10" s="18" customFormat="1" ht="18.75" customHeight="1" x14ac:dyDescent="0.3">
      <c r="A442" s="19">
        <v>436</v>
      </c>
      <c r="B442" s="20">
        <v>2005224854</v>
      </c>
      <c r="C442" s="21" t="s">
        <v>556</v>
      </c>
      <c r="D442" s="22" t="s">
        <v>114</v>
      </c>
      <c r="E442" s="20" t="s">
        <v>419</v>
      </c>
      <c r="F442" s="23" t="s">
        <v>546</v>
      </c>
      <c r="G442" s="30" t="s">
        <v>547</v>
      </c>
      <c r="H442" s="30">
        <f>VLOOKUP(B442,'Dữ liệu TQNM'!$B$7:$F$769,5,0)</f>
        <v>2</v>
      </c>
      <c r="I442" s="30">
        <f>COUNTIF('Nộp báo cáo'!$A$3:$A$1993,'Tổng 24-25'!B442)</f>
        <v>2</v>
      </c>
      <c r="J442" s="91"/>
    </row>
    <row r="443" spans="1:10" s="18" customFormat="1" ht="18.75" customHeight="1" x14ac:dyDescent="0.3">
      <c r="A443" s="19">
        <v>437</v>
      </c>
      <c r="B443" s="20">
        <v>2005224761</v>
      </c>
      <c r="C443" s="21" t="s">
        <v>557</v>
      </c>
      <c r="D443" s="22" t="s">
        <v>102</v>
      </c>
      <c r="E443" s="20" t="s">
        <v>477</v>
      </c>
      <c r="F443" s="23" t="s">
        <v>546</v>
      </c>
      <c r="G443" s="30" t="s">
        <v>547</v>
      </c>
      <c r="H443" s="30">
        <f>VLOOKUP(B443,'Dữ liệu TQNM'!$B$7:$F$769,5,0)</f>
        <v>3</v>
      </c>
      <c r="I443" s="30">
        <f>COUNTIF('Nộp báo cáo'!$A$3:$A$1993,'Tổng 24-25'!B443)</f>
        <v>3</v>
      </c>
      <c r="J443" s="91"/>
    </row>
    <row r="444" spans="1:10" s="18" customFormat="1" ht="18.75" customHeight="1" x14ac:dyDescent="0.3">
      <c r="A444" s="19">
        <v>438</v>
      </c>
      <c r="B444" s="20">
        <v>2005224795</v>
      </c>
      <c r="C444" s="21" t="s">
        <v>293</v>
      </c>
      <c r="D444" s="22" t="s">
        <v>102</v>
      </c>
      <c r="E444" s="20" t="s">
        <v>345</v>
      </c>
      <c r="F444" s="23" t="s">
        <v>546</v>
      </c>
      <c r="G444" s="30" t="s">
        <v>547</v>
      </c>
      <c r="H444" s="30">
        <f>VLOOKUP(B444,'Dữ liệu TQNM'!$B$7:$F$769,5,0)</f>
        <v>3</v>
      </c>
      <c r="I444" s="30">
        <f>COUNTIF('Nộp báo cáo'!$A$3:$A$1993,'Tổng 24-25'!B444)</f>
        <v>3</v>
      </c>
      <c r="J444" s="91"/>
    </row>
    <row r="445" spans="1:10" s="18" customFormat="1" ht="18.75" customHeight="1" x14ac:dyDescent="0.3">
      <c r="A445" s="19">
        <v>439</v>
      </c>
      <c r="B445" s="20">
        <v>2005225167</v>
      </c>
      <c r="C445" s="21" t="s">
        <v>565</v>
      </c>
      <c r="D445" s="22" t="s">
        <v>123</v>
      </c>
      <c r="E445" s="20" t="s">
        <v>566</v>
      </c>
      <c r="F445" s="23" t="s">
        <v>546</v>
      </c>
      <c r="G445" s="30" t="s">
        <v>547</v>
      </c>
      <c r="H445" s="30">
        <f>VLOOKUP(B445,'Dữ liệu TQNM'!$B$7:$F$769,5,0)</f>
        <v>3</v>
      </c>
      <c r="I445" s="30">
        <f>COUNTIF('Nộp báo cáo'!$A$3:$A$1993,'Tổng 24-25'!B445)</f>
        <v>3</v>
      </c>
      <c r="J445" s="91"/>
    </row>
    <row r="446" spans="1:10" s="18" customFormat="1" ht="18.75" customHeight="1" x14ac:dyDescent="0.3">
      <c r="A446" s="19">
        <v>440</v>
      </c>
      <c r="B446" s="20">
        <v>2005224400</v>
      </c>
      <c r="C446" s="21" t="s">
        <v>560</v>
      </c>
      <c r="D446" s="22" t="s">
        <v>561</v>
      </c>
      <c r="E446" s="20" t="s">
        <v>562</v>
      </c>
      <c r="F446" s="23" t="s">
        <v>546</v>
      </c>
      <c r="G446" s="30" t="s">
        <v>547</v>
      </c>
      <c r="H446" s="30">
        <f>VLOOKUP(B446,'Dữ liệu TQNM'!$B$7:$F$769,5,0)</f>
        <v>3</v>
      </c>
      <c r="I446" s="30">
        <f>COUNTIF('Nộp báo cáo'!$A$3:$A$1993,'Tổng 24-25'!B446)</f>
        <v>4</v>
      </c>
      <c r="J446" s="91"/>
    </row>
    <row r="447" spans="1:10" s="18" customFormat="1" ht="18.75" customHeight="1" x14ac:dyDescent="0.3">
      <c r="A447" s="19">
        <v>441</v>
      </c>
      <c r="B447" s="20">
        <v>2005225484</v>
      </c>
      <c r="C447" s="21" t="s">
        <v>558</v>
      </c>
      <c r="D447" s="22" t="s">
        <v>168</v>
      </c>
      <c r="E447" s="20" t="s">
        <v>977</v>
      </c>
      <c r="F447" s="23" t="s">
        <v>546</v>
      </c>
      <c r="G447" s="30" t="s">
        <v>547</v>
      </c>
      <c r="H447" s="30">
        <f>VLOOKUP(B447,'Dữ liệu TQNM'!$B$7:$F$769,5,0)</f>
        <v>3</v>
      </c>
      <c r="I447" s="30">
        <f>COUNTIF('Nộp báo cáo'!$A$3:$A$1993,'Tổng 24-25'!B447)</f>
        <v>3</v>
      </c>
      <c r="J447" s="91"/>
    </row>
    <row r="448" spans="1:10" s="18" customFormat="1" ht="18.75" customHeight="1" x14ac:dyDescent="0.3">
      <c r="A448" s="19">
        <v>442</v>
      </c>
      <c r="B448" s="20">
        <v>2005225564</v>
      </c>
      <c r="C448" s="21" t="s">
        <v>57</v>
      </c>
      <c r="D448" s="22" t="s">
        <v>545</v>
      </c>
      <c r="E448" s="20" t="s">
        <v>243</v>
      </c>
      <c r="F448" s="23" t="s">
        <v>546</v>
      </c>
      <c r="G448" s="30" t="s">
        <v>547</v>
      </c>
      <c r="H448" s="30">
        <f>VLOOKUP(B448,'Dữ liệu TQNM'!$B$7:$F$769,5,0)</f>
        <v>2</v>
      </c>
      <c r="I448" s="30">
        <f>COUNTIF('Nộp báo cáo'!$A$3:$A$1993,'Tổng 24-25'!B448)</f>
        <v>3</v>
      </c>
      <c r="J448" s="91"/>
    </row>
    <row r="449" spans="1:10" s="18" customFormat="1" ht="18.75" customHeight="1" x14ac:dyDescent="0.3">
      <c r="A449" s="19">
        <v>443</v>
      </c>
      <c r="B449" s="20">
        <v>2005225823</v>
      </c>
      <c r="C449" s="21" t="s">
        <v>559</v>
      </c>
      <c r="D449" s="22" t="s">
        <v>66</v>
      </c>
      <c r="E449" s="20" t="s">
        <v>1165</v>
      </c>
      <c r="F449" s="23" t="s">
        <v>546</v>
      </c>
      <c r="G449" s="30" t="s">
        <v>547</v>
      </c>
      <c r="H449" s="30">
        <f>VLOOKUP(B449,'Dữ liệu TQNM'!$B$7:$F$769,5,0)</f>
        <v>3</v>
      </c>
      <c r="I449" s="30">
        <f>COUNTIF('Nộp báo cáo'!$A$3:$A$1993,'Tổng 24-25'!B449)</f>
        <v>3</v>
      </c>
      <c r="J449" s="91"/>
    </row>
    <row r="450" spans="1:10" s="18" customFormat="1" ht="18.75" customHeight="1" x14ac:dyDescent="0.3">
      <c r="A450" s="19">
        <v>444</v>
      </c>
      <c r="B450" s="20">
        <v>2005225961</v>
      </c>
      <c r="C450" s="21" t="s">
        <v>548</v>
      </c>
      <c r="D450" s="22" t="s">
        <v>56</v>
      </c>
      <c r="E450" s="20" t="s">
        <v>549</v>
      </c>
      <c r="F450" s="23" t="s">
        <v>546</v>
      </c>
      <c r="G450" s="30" t="s">
        <v>547</v>
      </c>
      <c r="H450" s="30">
        <f>VLOOKUP(B450,'Dữ liệu TQNM'!$B$7:$F$769,5,0)</f>
        <v>2</v>
      </c>
      <c r="I450" s="30">
        <f>COUNTIF('Nộp báo cáo'!$A$3:$A$1993,'Tổng 24-25'!B450)</f>
        <v>3</v>
      </c>
      <c r="J450" s="91"/>
    </row>
    <row r="451" spans="1:10" s="18" customFormat="1" ht="18.75" customHeight="1" x14ac:dyDescent="0.3">
      <c r="A451" s="19">
        <v>445</v>
      </c>
      <c r="B451" s="20">
        <v>2005225999</v>
      </c>
      <c r="C451" s="21" t="s">
        <v>95</v>
      </c>
      <c r="D451" s="22" t="s">
        <v>56</v>
      </c>
      <c r="E451" s="20" t="s">
        <v>1176</v>
      </c>
      <c r="F451" s="23" t="s">
        <v>546</v>
      </c>
      <c r="G451" s="30" t="s">
        <v>547</v>
      </c>
      <c r="H451" s="30">
        <f>VLOOKUP(B451,'Dữ liệu TQNM'!$B$7:$F$769,5,0)</f>
        <v>2</v>
      </c>
      <c r="I451" s="30">
        <f>COUNTIF('Nộp báo cáo'!$A$3:$A$1993,'Tổng 24-25'!B451)</f>
        <v>3</v>
      </c>
      <c r="J451" s="91"/>
    </row>
    <row r="452" spans="1:10" s="18" customFormat="1" ht="18.75" customHeight="1" x14ac:dyDescent="0.3">
      <c r="A452" s="19">
        <v>446</v>
      </c>
      <c r="B452" s="20">
        <v>2005226055</v>
      </c>
      <c r="C452" s="21" t="s">
        <v>240</v>
      </c>
      <c r="D452" s="22" t="s">
        <v>104</v>
      </c>
      <c r="E452" s="20" t="s">
        <v>1081</v>
      </c>
      <c r="F452" s="23" t="s">
        <v>546</v>
      </c>
      <c r="G452" s="30" t="s">
        <v>547</v>
      </c>
      <c r="H452" s="30">
        <f>VLOOKUP(B452,'Dữ liệu TQNM'!$B$7:$F$769,5,0)</f>
        <v>2</v>
      </c>
      <c r="I452" s="30">
        <f>COUNTIF('Nộp báo cáo'!$A$3:$A$1993,'Tổng 24-25'!B452)</f>
        <v>3</v>
      </c>
      <c r="J452" s="91"/>
    </row>
    <row r="453" spans="1:10" s="18" customFormat="1" ht="18.75" customHeight="1" x14ac:dyDescent="0.3">
      <c r="A453" s="19">
        <v>447</v>
      </c>
      <c r="B453" s="20">
        <v>2005226060</v>
      </c>
      <c r="C453" s="21" t="s">
        <v>550</v>
      </c>
      <c r="D453" s="22" t="s">
        <v>104</v>
      </c>
      <c r="E453" s="20" t="s">
        <v>551</v>
      </c>
      <c r="F453" s="23" t="s">
        <v>546</v>
      </c>
      <c r="G453" s="30" t="s">
        <v>547</v>
      </c>
      <c r="H453" s="30">
        <f>VLOOKUP(B453,'Dữ liệu TQNM'!$B$7:$F$769,5,0)</f>
        <v>2</v>
      </c>
      <c r="I453" s="30">
        <f>COUNTIF('Nộp báo cáo'!$A$3:$A$1993,'Tổng 24-25'!B453)</f>
        <v>2</v>
      </c>
      <c r="J453" s="91"/>
    </row>
    <row r="454" spans="1:10" s="18" customFormat="1" ht="18.75" customHeight="1" x14ac:dyDescent="0.3">
      <c r="A454" s="19">
        <v>448</v>
      </c>
      <c r="B454" s="20">
        <v>2005226098</v>
      </c>
      <c r="C454" s="21" t="s">
        <v>467</v>
      </c>
      <c r="D454" s="22" t="s">
        <v>552</v>
      </c>
      <c r="E454" s="20" t="s">
        <v>1102</v>
      </c>
      <c r="F454" s="23" t="s">
        <v>546</v>
      </c>
      <c r="G454" s="30" t="s">
        <v>547</v>
      </c>
      <c r="H454" s="30">
        <f>VLOOKUP(B454,'Dữ liệu TQNM'!$B$7:$F$769,5,0)</f>
        <v>2</v>
      </c>
      <c r="I454" s="30">
        <f>COUNTIF('Nộp báo cáo'!$A$3:$A$1993,'Tổng 24-25'!B454)</f>
        <v>3</v>
      </c>
      <c r="J454" s="91"/>
    </row>
    <row r="455" spans="1:10" s="18" customFormat="1" ht="18.75" customHeight="1" x14ac:dyDescent="0.3">
      <c r="A455" s="19">
        <v>449</v>
      </c>
      <c r="B455" s="20">
        <v>2005220142</v>
      </c>
      <c r="C455" s="21" t="s">
        <v>358</v>
      </c>
      <c r="D455" s="22" t="s">
        <v>36</v>
      </c>
      <c r="E455" s="20" t="s">
        <v>998</v>
      </c>
      <c r="F455" s="23" t="s">
        <v>567</v>
      </c>
      <c r="G455" s="30" t="s">
        <v>547</v>
      </c>
      <c r="H455" s="30">
        <f>VLOOKUP(B455,'Dữ liệu TQNM'!$B$7:$F$769,5,0)</f>
        <v>4</v>
      </c>
      <c r="I455" s="30">
        <f>COUNTIF('Nộp báo cáo'!$A$3:$A$1993,'Tổng 24-25'!B455)</f>
        <v>3</v>
      </c>
      <c r="J455" s="91"/>
    </row>
    <row r="456" spans="1:10" s="18" customFormat="1" ht="18.75" customHeight="1" x14ac:dyDescent="0.3">
      <c r="A456" s="19">
        <v>450</v>
      </c>
      <c r="B456" s="20">
        <v>2005220110</v>
      </c>
      <c r="C456" s="21" t="s">
        <v>568</v>
      </c>
      <c r="D456" s="22" t="s">
        <v>36</v>
      </c>
      <c r="E456" s="20" t="s">
        <v>1111</v>
      </c>
      <c r="F456" s="23" t="s">
        <v>567</v>
      </c>
      <c r="G456" s="30" t="s">
        <v>547</v>
      </c>
      <c r="H456" s="30">
        <f>VLOOKUP(B456,'Dữ liệu TQNM'!$B$7:$F$769,5,0)</f>
        <v>2</v>
      </c>
      <c r="I456" s="30">
        <f>COUNTIF('Nộp báo cáo'!$A$3:$A$1993,'Tổng 24-25'!B456)</f>
        <v>3</v>
      </c>
      <c r="J456" s="91"/>
    </row>
    <row r="457" spans="1:10" ht="18.75" customHeight="1" x14ac:dyDescent="0.3">
      <c r="A457" s="31">
        <v>451</v>
      </c>
      <c r="B457" s="107">
        <v>2005220325</v>
      </c>
      <c r="C457" s="33" t="s">
        <v>628</v>
      </c>
      <c r="D457" s="34" t="s">
        <v>268</v>
      </c>
      <c r="E457" s="32" t="s">
        <v>974</v>
      </c>
      <c r="F457" s="35" t="s">
        <v>567</v>
      </c>
      <c r="G457" s="36" t="s">
        <v>547</v>
      </c>
      <c r="H457" s="30">
        <f>VLOOKUP(B457,'Dữ liệu TQNM'!$B$7:$F$769,5,0)</f>
        <v>2</v>
      </c>
      <c r="I457" s="30">
        <f>COUNTIF('Nộp báo cáo'!$A$3:$A$1993,'Tổng 24-25'!B457)</f>
        <v>1</v>
      </c>
      <c r="J457" s="91"/>
    </row>
    <row r="458" spans="1:10" s="18" customFormat="1" ht="18.75" customHeight="1" x14ac:dyDescent="0.3">
      <c r="A458" s="19">
        <v>452</v>
      </c>
      <c r="B458" s="20">
        <v>2005220379</v>
      </c>
      <c r="C458" s="21" t="s">
        <v>569</v>
      </c>
      <c r="D458" s="22" t="s">
        <v>570</v>
      </c>
      <c r="E458" s="20" t="s">
        <v>1177</v>
      </c>
      <c r="F458" s="23" t="s">
        <v>567</v>
      </c>
      <c r="G458" s="30" t="s">
        <v>547</v>
      </c>
      <c r="H458" s="30">
        <f>VLOOKUP(B458,'Dữ liệu TQNM'!$B$7:$F$769,5,0)</f>
        <v>2</v>
      </c>
      <c r="I458" s="30">
        <f>COUNTIF('Nộp báo cáo'!$A$3:$A$1993,'Tổng 24-25'!B458)</f>
        <v>3</v>
      </c>
      <c r="J458" s="91"/>
    </row>
    <row r="459" spans="1:10" s="18" customFormat="1" ht="18.75" customHeight="1" x14ac:dyDescent="0.3">
      <c r="A459" s="19">
        <v>453</v>
      </c>
      <c r="B459" s="20">
        <v>2005220493</v>
      </c>
      <c r="C459" s="21" t="s">
        <v>571</v>
      </c>
      <c r="D459" s="22" t="s">
        <v>539</v>
      </c>
      <c r="E459" s="20" t="s">
        <v>961</v>
      </c>
      <c r="F459" s="23" t="s">
        <v>567</v>
      </c>
      <c r="G459" s="30" t="s">
        <v>547</v>
      </c>
      <c r="H459" s="30">
        <f>VLOOKUP(B459,'Dữ liệu TQNM'!$B$7:$F$769,5,0)</f>
        <v>5</v>
      </c>
      <c r="I459" s="30">
        <f>COUNTIF('Nộp báo cáo'!$A$3:$A$1993,'Tổng 24-25'!B459)</f>
        <v>3</v>
      </c>
      <c r="J459" s="91"/>
    </row>
    <row r="460" spans="1:10" s="18" customFormat="1" ht="18.75" customHeight="1" x14ac:dyDescent="0.3">
      <c r="A460" s="19">
        <v>454</v>
      </c>
      <c r="B460" s="20">
        <v>2005220488</v>
      </c>
      <c r="C460" s="21" t="s">
        <v>572</v>
      </c>
      <c r="D460" s="22" t="s">
        <v>539</v>
      </c>
      <c r="E460" s="20" t="s">
        <v>961</v>
      </c>
      <c r="F460" s="23" t="s">
        <v>567</v>
      </c>
      <c r="G460" s="30" t="s">
        <v>547</v>
      </c>
      <c r="H460" s="30">
        <f>VLOOKUP(B460,'Dữ liệu TQNM'!$B$7:$F$769,5,0)</f>
        <v>4</v>
      </c>
      <c r="I460" s="30">
        <f>COUNTIF('Nộp báo cáo'!$A$3:$A$1993,'Tổng 24-25'!B460)</f>
        <v>3</v>
      </c>
      <c r="J460" s="91"/>
    </row>
    <row r="461" spans="1:10" s="18" customFormat="1" ht="18.75" customHeight="1" x14ac:dyDescent="0.3">
      <c r="A461" s="19">
        <v>455</v>
      </c>
      <c r="B461" s="20">
        <v>2005220986</v>
      </c>
      <c r="C461" s="21" t="s">
        <v>573</v>
      </c>
      <c r="D461" s="22" t="s">
        <v>574</v>
      </c>
      <c r="E461" s="20" t="s">
        <v>575</v>
      </c>
      <c r="F461" s="23" t="s">
        <v>567</v>
      </c>
      <c r="G461" s="30" t="s">
        <v>547</v>
      </c>
      <c r="H461" s="30">
        <f>VLOOKUP(B461,'Dữ liệu TQNM'!$B$7:$F$769,5,0)</f>
        <v>4</v>
      </c>
      <c r="I461" s="30">
        <f>COUNTIF('Nộp báo cáo'!$A$3:$A$1993,'Tổng 24-25'!B461)</f>
        <v>4</v>
      </c>
      <c r="J461" s="91"/>
    </row>
    <row r="462" spans="1:10" s="18" customFormat="1" ht="18.75" customHeight="1" x14ac:dyDescent="0.3">
      <c r="A462" s="19">
        <v>456</v>
      </c>
      <c r="B462" s="20">
        <v>2005220648</v>
      </c>
      <c r="C462" s="21" t="s">
        <v>576</v>
      </c>
      <c r="D462" s="22" t="s">
        <v>577</v>
      </c>
      <c r="E462" s="20" t="s">
        <v>562</v>
      </c>
      <c r="F462" s="23" t="s">
        <v>567</v>
      </c>
      <c r="G462" s="30" t="s">
        <v>547</v>
      </c>
      <c r="H462" s="30">
        <f>VLOOKUP(B462,'Dữ liệu TQNM'!$B$7:$F$769,5,0)</f>
        <v>2</v>
      </c>
      <c r="I462" s="30">
        <f>COUNTIF('Nộp báo cáo'!$A$3:$A$1993,'Tổng 24-25'!B462)</f>
        <v>3</v>
      </c>
      <c r="J462" s="91"/>
    </row>
    <row r="463" spans="1:10" ht="18.75" customHeight="1" x14ac:dyDescent="0.3">
      <c r="A463" s="31">
        <v>457</v>
      </c>
      <c r="B463" s="107">
        <v>2005220778</v>
      </c>
      <c r="C463" s="33" t="s">
        <v>1178</v>
      </c>
      <c r="D463" s="34" t="s">
        <v>84</v>
      </c>
      <c r="E463" s="32" t="s">
        <v>1179</v>
      </c>
      <c r="F463" s="35" t="s">
        <v>567</v>
      </c>
      <c r="G463" s="36" t="s">
        <v>547</v>
      </c>
      <c r="H463" s="30">
        <f>VLOOKUP(B463,'Dữ liệu TQNM'!$B$7:$F$769,5,0)</f>
        <v>1</v>
      </c>
      <c r="I463" s="30">
        <f>COUNTIF('Nộp báo cáo'!$A$3:$A$1993,'Tổng 24-25'!B463)</f>
        <v>0</v>
      </c>
      <c r="J463" s="91"/>
    </row>
    <row r="464" spans="1:10" s="18" customFormat="1" ht="18.75" customHeight="1" x14ac:dyDescent="0.3">
      <c r="A464" s="19">
        <v>458</v>
      </c>
      <c r="B464" s="20">
        <v>2005220782</v>
      </c>
      <c r="C464" s="21" t="s">
        <v>578</v>
      </c>
      <c r="D464" s="22" t="s">
        <v>84</v>
      </c>
      <c r="E464" s="20" t="s">
        <v>524</v>
      </c>
      <c r="F464" s="23" t="s">
        <v>567</v>
      </c>
      <c r="G464" s="30" t="s">
        <v>547</v>
      </c>
      <c r="H464" s="30">
        <f>VLOOKUP(B464,'Dữ liệu TQNM'!$B$7:$F$769,5,0)</f>
        <v>3</v>
      </c>
      <c r="I464" s="30">
        <f>COUNTIF('Nộp báo cáo'!$A$3:$A$1993,'Tổng 24-25'!B464)</f>
        <v>3</v>
      </c>
      <c r="J464" s="91"/>
    </row>
    <row r="465" spans="1:10" s="18" customFormat="1" ht="18.75" customHeight="1" x14ac:dyDescent="0.3">
      <c r="A465" s="19">
        <v>459</v>
      </c>
      <c r="B465" s="20">
        <v>2005221124</v>
      </c>
      <c r="C465" s="21" t="s">
        <v>579</v>
      </c>
      <c r="D465" s="22" t="s">
        <v>220</v>
      </c>
      <c r="E465" s="20" t="s">
        <v>224</v>
      </c>
      <c r="F465" s="23" t="s">
        <v>567</v>
      </c>
      <c r="G465" s="30" t="s">
        <v>547</v>
      </c>
      <c r="H465" s="30">
        <f>VLOOKUP(B465,'Dữ liệu TQNM'!$B$7:$F$769,5,0)</f>
        <v>2</v>
      </c>
      <c r="I465" s="30">
        <f>COUNTIF('Nộp báo cáo'!$A$3:$A$1993,'Tổng 24-25'!B465)</f>
        <v>3</v>
      </c>
      <c r="J465" s="91"/>
    </row>
    <row r="466" spans="1:10" s="18" customFormat="1" ht="18.75" customHeight="1" x14ac:dyDescent="0.3">
      <c r="A466" s="19">
        <v>460</v>
      </c>
      <c r="B466" s="20">
        <v>2005221179</v>
      </c>
      <c r="C466" s="21" t="s">
        <v>628</v>
      </c>
      <c r="D466" s="22" t="s">
        <v>75</v>
      </c>
      <c r="E466" s="20" t="s">
        <v>1058</v>
      </c>
      <c r="F466" s="23" t="s">
        <v>567</v>
      </c>
      <c r="G466" s="30" t="s">
        <v>547</v>
      </c>
      <c r="H466" s="30">
        <f>VLOOKUP(B466,'Dữ liệu TQNM'!$B$7:$F$769,5,0)</f>
        <v>3</v>
      </c>
      <c r="I466" s="30">
        <f>COUNTIF('Nộp báo cáo'!$A$3:$A$1993,'Tổng 24-25'!B466)</f>
        <v>2</v>
      </c>
      <c r="J466" s="91"/>
    </row>
    <row r="467" spans="1:10" s="18" customFormat="1" ht="18.75" customHeight="1" x14ac:dyDescent="0.3">
      <c r="A467" s="19">
        <v>461</v>
      </c>
      <c r="B467" s="20">
        <v>2005221328</v>
      </c>
      <c r="C467" s="21" t="s">
        <v>580</v>
      </c>
      <c r="D467" s="22" t="s">
        <v>86</v>
      </c>
      <c r="E467" s="20" t="s">
        <v>581</v>
      </c>
      <c r="F467" s="23" t="s">
        <v>567</v>
      </c>
      <c r="G467" s="30" t="s">
        <v>547</v>
      </c>
      <c r="H467" s="30">
        <f>VLOOKUP(B467,'Dữ liệu TQNM'!$B$7:$F$769,5,0)</f>
        <v>3</v>
      </c>
      <c r="I467" s="30">
        <f>COUNTIF('Nộp báo cáo'!$A$3:$A$1993,'Tổng 24-25'!B467)</f>
        <v>3</v>
      </c>
      <c r="J467" s="91"/>
    </row>
    <row r="468" spans="1:10" s="18" customFormat="1" ht="18.75" customHeight="1" x14ac:dyDescent="0.3">
      <c r="A468" s="19">
        <v>462</v>
      </c>
      <c r="B468" s="20">
        <v>2005221541</v>
      </c>
      <c r="C468" s="21" t="s">
        <v>124</v>
      </c>
      <c r="D468" s="22" t="s">
        <v>582</v>
      </c>
      <c r="E468" s="20" t="s">
        <v>979</v>
      </c>
      <c r="F468" s="23" t="s">
        <v>567</v>
      </c>
      <c r="G468" s="30" t="s">
        <v>547</v>
      </c>
      <c r="H468" s="30">
        <f>VLOOKUP(B468,'Dữ liệu TQNM'!$B$7:$F$769,5,0)</f>
        <v>2</v>
      </c>
      <c r="I468" s="30">
        <f>COUNTIF('Nộp báo cáo'!$A$3:$A$1993,'Tổng 24-25'!B468)</f>
        <v>0</v>
      </c>
      <c r="J468" s="91" t="s">
        <v>1290</v>
      </c>
    </row>
    <row r="469" spans="1:10" s="18" customFormat="1" ht="18.75" customHeight="1" x14ac:dyDescent="0.3">
      <c r="A469" s="19">
        <v>463</v>
      </c>
      <c r="B469" s="20">
        <v>2005221865</v>
      </c>
      <c r="C469" s="21" t="s">
        <v>57</v>
      </c>
      <c r="D469" s="22" t="s">
        <v>583</v>
      </c>
      <c r="E469" s="20" t="s">
        <v>584</v>
      </c>
      <c r="F469" s="23" t="s">
        <v>567</v>
      </c>
      <c r="G469" s="30" t="s">
        <v>547</v>
      </c>
      <c r="H469" s="30">
        <f>VLOOKUP(B469,'Dữ liệu TQNM'!$B$7:$F$769,5,0)</f>
        <v>2</v>
      </c>
      <c r="I469" s="30">
        <f>COUNTIF('Nộp báo cáo'!$A$3:$A$1993,'Tổng 24-25'!B469)</f>
        <v>3</v>
      </c>
      <c r="J469" s="91"/>
    </row>
    <row r="470" spans="1:10" s="18" customFormat="1" ht="18.75" customHeight="1" x14ac:dyDescent="0.3">
      <c r="A470" s="19">
        <v>464</v>
      </c>
      <c r="B470" s="20">
        <v>2005221745</v>
      </c>
      <c r="C470" s="21" t="s">
        <v>585</v>
      </c>
      <c r="D470" s="22" t="s">
        <v>43</v>
      </c>
      <c r="E470" s="20" t="s">
        <v>586</v>
      </c>
      <c r="F470" s="23" t="s">
        <v>567</v>
      </c>
      <c r="G470" s="30" t="s">
        <v>547</v>
      </c>
      <c r="H470" s="30">
        <f>VLOOKUP(B470,'Dữ liệu TQNM'!$B$7:$F$769,5,0)</f>
        <v>3</v>
      </c>
      <c r="I470" s="30">
        <f>COUNTIF('Nộp báo cáo'!$A$3:$A$1993,'Tổng 24-25'!B470)</f>
        <v>3</v>
      </c>
      <c r="J470" s="91"/>
    </row>
    <row r="471" spans="1:10" s="18" customFormat="1" ht="18.75" customHeight="1" x14ac:dyDescent="0.3">
      <c r="A471" s="19">
        <v>465</v>
      </c>
      <c r="B471" s="20">
        <v>2005222042</v>
      </c>
      <c r="C471" s="21" t="s">
        <v>587</v>
      </c>
      <c r="D471" s="22" t="s">
        <v>588</v>
      </c>
      <c r="E471" s="20" t="s">
        <v>423</v>
      </c>
      <c r="F471" s="23" t="s">
        <v>567</v>
      </c>
      <c r="G471" s="30" t="s">
        <v>547</v>
      </c>
      <c r="H471" s="30">
        <f>VLOOKUP(B471,'Dữ liệu TQNM'!$B$7:$F$769,5,0)</f>
        <v>2</v>
      </c>
      <c r="I471" s="30">
        <f>COUNTIF('Nộp báo cáo'!$A$3:$A$1993,'Tổng 24-25'!B471)</f>
        <v>3</v>
      </c>
      <c r="J471" s="91"/>
    </row>
    <row r="472" spans="1:10" s="18" customFormat="1" ht="18.75" customHeight="1" x14ac:dyDescent="0.3">
      <c r="A472" s="19">
        <v>466</v>
      </c>
      <c r="B472" s="20">
        <v>2005222346</v>
      </c>
      <c r="C472" s="21" t="s">
        <v>589</v>
      </c>
      <c r="D472" s="22" t="s">
        <v>29</v>
      </c>
      <c r="E472" s="20" t="s">
        <v>590</v>
      </c>
      <c r="F472" s="23" t="s">
        <v>567</v>
      </c>
      <c r="G472" s="30" t="s">
        <v>547</v>
      </c>
      <c r="H472" s="30">
        <f>VLOOKUP(B472,'Dữ liệu TQNM'!$B$7:$F$769,5,0)</f>
        <v>3</v>
      </c>
      <c r="I472" s="30">
        <f>COUNTIF('Nộp báo cáo'!$A$3:$A$1993,'Tổng 24-25'!B472)</f>
        <v>4</v>
      </c>
      <c r="J472" s="91"/>
    </row>
    <row r="473" spans="1:10" s="18" customFormat="1" ht="18.75" customHeight="1" x14ac:dyDescent="0.3">
      <c r="A473" s="19">
        <v>467</v>
      </c>
      <c r="B473" s="20">
        <v>2005222306</v>
      </c>
      <c r="C473" s="21" t="s">
        <v>456</v>
      </c>
      <c r="D473" s="22" t="s">
        <v>29</v>
      </c>
      <c r="E473" s="20" t="s">
        <v>423</v>
      </c>
      <c r="F473" s="23" t="s">
        <v>567</v>
      </c>
      <c r="G473" s="30" t="s">
        <v>547</v>
      </c>
      <c r="H473" s="30">
        <f>VLOOKUP(B473,'Dữ liệu TQNM'!$B$7:$F$769,5,0)</f>
        <v>4</v>
      </c>
      <c r="I473" s="30">
        <f>COUNTIF('Nộp báo cáo'!$A$3:$A$1993,'Tổng 24-25'!B473)</f>
        <v>2</v>
      </c>
      <c r="J473" s="91"/>
    </row>
    <row r="474" spans="1:10" s="18" customFormat="1" ht="18.75" customHeight="1" x14ac:dyDescent="0.3">
      <c r="A474" s="19">
        <v>468</v>
      </c>
      <c r="B474" s="20">
        <v>2005222533</v>
      </c>
      <c r="C474" s="21" t="s">
        <v>348</v>
      </c>
      <c r="D474" s="22" t="s">
        <v>484</v>
      </c>
      <c r="E474" s="20" t="s">
        <v>951</v>
      </c>
      <c r="F474" s="23" t="s">
        <v>567</v>
      </c>
      <c r="G474" s="30" t="s">
        <v>547</v>
      </c>
      <c r="H474" s="30">
        <f>VLOOKUP(B474,'Dữ liệu TQNM'!$B$7:$F$769,5,0)</f>
        <v>3</v>
      </c>
      <c r="I474" s="30">
        <f>COUNTIF('Nộp báo cáo'!$A$3:$A$1993,'Tổng 24-25'!B474)</f>
        <v>3</v>
      </c>
      <c r="J474" s="91"/>
    </row>
    <row r="475" spans="1:10" s="18" customFormat="1" ht="18.75" customHeight="1" x14ac:dyDescent="0.3">
      <c r="A475" s="19">
        <v>469</v>
      </c>
      <c r="B475" s="20">
        <v>2005222677</v>
      </c>
      <c r="C475" s="21" t="s">
        <v>591</v>
      </c>
      <c r="D475" s="22" t="s">
        <v>91</v>
      </c>
      <c r="E475" s="20" t="s">
        <v>592</v>
      </c>
      <c r="F475" s="23" t="s">
        <v>567</v>
      </c>
      <c r="G475" s="30" t="s">
        <v>547</v>
      </c>
      <c r="H475" s="30">
        <f>VLOOKUP(B475,'Dữ liệu TQNM'!$B$7:$F$769,5,0)</f>
        <v>3</v>
      </c>
      <c r="I475" s="30">
        <f>COUNTIF('Nộp báo cáo'!$A$3:$A$1993,'Tổng 24-25'!B475)</f>
        <v>3</v>
      </c>
      <c r="J475" s="91"/>
    </row>
    <row r="476" spans="1:10" s="18" customFormat="1" ht="18.75" customHeight="1" x14ac:dyDescent="0.3">
      <c r="A476" s="19">
        <v>470</v>
      </c>
      <c r="B476" s="20">
        <v>2005222916</v>
      </c>
      <c r="C476" s="21" t="s">
        <v>593</v>
      </c>
      <c r="D476" s="22" t="s">
        <v>92</v>
      </c>
      <c r="E476" s="20" t="s">
        <v>1038</v>
      </c>
      <c r="F476" s="23" t="s">
        <v>567</v>
      </c>
      <c r="G476" s="30" t="s">
        <v>547</v>
      </c>
      <c r="H476" s="30">
        <f>VLOOKUP(B476,'Dữ liệu TQNM'!$B$7:$F$769,5,0)</f>
        <v>1</v>
      </c>
      <c r="I476" s="30">
        <f>COUNTIF('Nộp báo cáo'!$A$3:$A$1993,'Tổng 24-25'!B476)</f>
        <v>3</v>
      </c>
      <c r="J476" s="91"/>
    </row>
    <row r="477" spans="1:10" s="18" customFormat="1" ht="18.75" customHeight="1" x14ac:dyDescent="0.3">
      <c r="A477" s="19">
        <v>471</v>
      </c>
      <c r="B477" s="20">
        <v>2005222908</v>
      </c>
      <c r="C477" s="21" t="s">
        <v>594</v>
      </c>
      <c r="D477" s="22" t="s">
        <v>92</v>
      </c>
      <c r="E477" s="20" t="s">
        <v>595</v>
      </c>
      <c r="F477" s="23" t="s">
        <v>567</v>
      </c>
      <c r="G477" s="30" t="s">
        <v>547</v>
      </c>
      <c r="H477" s="30">
        <f>VLOOKUP(B477,'Dữ liệu TQNM'!$B$7:$F$769,5,0)</f>
        <v>3</v>
      </c>
      <c r="I477" s="30">
        <f>COUNTIF('Nộp báo cáo'!$A$3:$A$1993,'Tổng 24-25'!B477)</f>
        <v>4</v>
      </c>
      <c r="J477" s="91"/>
    </row>
    <row r="478" spans="1:10" s="18" customFormat="1" ht="18.75" customHeight="1" x14ac:dyDescent="0.3">
      <c r="A478" s="19">
        <v>472</v>
      </c>
      <c r="B478" s="20">
        <v>2005223003</v>
      </c>
      <c r="C478" s="21" t="s">
        <v>598</v>
      </c>
      <c r="D478" s="22" t="s">
        <v>241</v>
      </c>
      <c r="E478" s="20" t="s">
        <v>451</v>
      </c>
      <c r="F478" s="23" t="s">
        <v>567</v>
      </c>
      <c r="G478" s="30" t="s">
        <v>547</v>
      </c>
      <c r="H478" s="30">
        <f>VLOOKUP(B478,'Dữ liệu TQNM'!$B$7:$F$769,5,0)</f>
        <v>4</v>
      </c>
      <c r="I478" s="30">
        <f>COUNTIF('Nộp báo cáo'!$A$3:$A$1993,'Tổng 24-25'!B478)</f>
        <v>3</v>
      </c>
      <c r="J478" s="91"/>
    </row>
    <row r="479" spans="1:10" s="18" customFormat="1" ht="18.75" customHeight="1" x14ac:dyDescent="0.3">
      <c r="A479" s="19">
        <v>473</v>
      </c>
      <c r="B479" s="20">
        <v>2005222987</v>
      </c>
      <c r="C479" s="21" t="s">
        <v>596</v>
      </c>
      <c r="D479" s="22" t="s">
        <v>241</v>
      </c>
      <c r="E479" s="20" t="s">
        <v>597</v>
      </c>
      <c r="F479" s="23" t="s">
        <v>567</v>
      </c>
      <c r="G479" s="30" t="s">
        <v>547</v>
      </c>
      <c r="H479" s="30">
        <f>VLOOKUP(B479,'Dữ liệu TQNM'!$B$7:$F$769,5,0)</f>
        <v>3</v>
      </c>
      <c r="I479" s="30">
        <f>COUNTIF('Nộp báo cáo'!$A$3:$A$1993,'Tổng 24-25'!B479)</f>
        <v>3</v>
      </c>
      <c r="J479" s="91"/>
    </row>
    <row r="480" spans="1:10" ht="18.75" customHeight="1" x14ac:dyDescent="0.3">
      <c r="A480" s="31">
        <v>474</v>
      </c>
      <c r="B480" s="107">
        <v>2005223147</v>
      </c>
      <c r="C480" s="33" t="s">
        <v>1180</v>
      </c>
      <c r="D480" s="34" t="s">
        <v>205</v>
      </c>
      <c r="E480" s="32" t="s">
        <v>209</v>
      </c>
      <c r="F480" s="35" t="s">
        <v>567</v>
      </c>
      <c r="G480" s="36" t="s">
        <v>547</v>
      </c>
      <c r="H480" s="30">
        <f>VLOOKUP(B480,'Dữ liệu TQNM'!$B$7:$F$769,5,0)</f>
        <v>2</v>
      </c>
      <c r="I480" s="30">
        <f>COUNTIF('Nộp báo cáo'!$A$3:$A$1993,'Tổng 24-25'!B480)</f>
        <v>1</v>
      </c>
      <c r="J480" s="91"/>
    </row>
    <row r="481" spans="1:10" s="18" customFormat="1" ht="18.75" customHeight="1" x14ac:dyDescent="0.3">
      <c r="A481" s="19">
        <v>475</v>
      </c>
      <c r="B481" s="20">
        <v>2005223328</v>
      </c>
      <c r="C481" s="21" t="s">
        <v>530</v>
      </c>
      <c r="D481" s="22" t="s">
        <v>76</v>
      </c>
      <c r="E481" s="20" t="s">
        <v>988</v>
      </c>
      <c r="F481" s="23" t="s">
        <v>567</v>
      </c>
      <c r="G481" s="30" t="s">
        <v>547</v>
      </c>
      <c r="H481" s="30">
        <f>VLOOKUP(B481,'Dữ liệu TQNM'!$B$7:$F$769,5,0)</f>
        <v>3</v>
      </c>
      <c r="I481" s="30">
        <f>COUNTIF('Nộp báo cáo'!$A$3:$A$1993,'Tổng 24-25'!B481)</f>
        <v>2</v>
      </c>
      <c r="J481" s="91"/>
    </row>
    <row r="482" spans="1:10" ht="18.75" customHeight="1" x14ac:dyDescent="0.3">
      <c r="A482" s="31">
        <v>476</v>
      </c>
      <c r="B482" s="107">
        <v>2005223329</v>
      </c>
      <c r="C482" s="33" t="s">
        <v>1181</v>
      </c>
      <c r="D482" s="34" t="s">
        <v>76</v>
      </c>
      <c r="E482" s="32" t="s">
        <v>458</v>
      </c>
      <c r="F482" s="35" t="s">
        <v>567</v>
      </c>
      <c r="G482" s="36" t="s">
        <v>547</v>
      </c>
      <c r="H482" s="30">
        <f>VLOOKUP(B482,'Dữ liệu TQNM'!$B$7:$F$769,5,0)</f>
        <v>2</v>
      </c>
      <c r="I482" s="30">
        <f>COUNTIF('Nộp báo cáo'!$A$3:$A$1993,'Tổng 24-25'!B482)</f>
        <v>1</v>
      </c>
      <c r="J482" s="91"/>
    </row>
    <row r="483" spans="1:10" s="18" customFormat="1" ht="18.75" customHeight="1" x14ac:dyDescent="0.3">
      <c r="A483" s="19">
        <v>477</v>
      </c>
      <c r="B483" s="20">
        <v>2005223490</v>
      </c>
      <c r="C483" s="21" t="s">
        <v>599</v>
      </c>
      <c r="D483" s="22" t="s">
        <v>318</v>
      </c>
      <c r="E483" s="20" t="s">
        <v>1182</v>
      </c>
      <c r="F483" s="23" t="s">
        <v>567</v>
      </c>
      <c r="G483" s="30" t="s">
        <v>547</v>
      </c>
      <c r="H483" s="30">
        <f>VLOOKUP(B483,'Dữ liệu TQNM'!$B$7:$F$769,5,0)</f>
        <v>4</v>
      </c>
      <c r="I483" s="30">
        <f>COUNTIF('Nộp báo cáo'!$A$3:$A$1993,'Tổng 24-25'!B483)</f>
        <v>3</v>
      </c>
      <c r="J483" s="91"/>
    </row>
    <row r="484" spans="1:10" s="18" customFormat="1" ht="18.75" customHeight="1" x14ac:dyDescent="0.3">
      <c r="A484" s="19">
        <v>478</v>
      </c>
      <c r="B484" s="20">
        <v>2005223637</v>
      </c>
      <c r="C484" s="21" t="s">
        <v>600</v>
      </c>
      <c r="D484" s="22" t="s">
        <v>601</v>
      </c>
      <c r="E484" s="20" t="s">
        <v>936</v>
      </c>
      <c r="F484" s="23" t="s">
        <v>567</v>
      </c>
      <c r="G484" s="30" t="s">
        <v>547</v>
      </c>
      <c r="H484" s="30">
        <f>VLOOKUP(B484,'Dữ liệu TQNM'!$B$7:$F$769,5,0)</f>
        <v>3</v>
      </c>
      <c r="I484" s="30">
        <f>COUNTIF('Nộp báo cáo'!$A$3:$A$1993,'Tổng 24-25'!B484)</f>
        <v>3</v>
      </c>
      <c r="J484" s="91"/>
    </row>
    <row r="485" spans="1:10" s="18" customFormat="1" ht="18.75" customHeight="1" x14ac:dyDescent="0.3">
      <c r="A485" s="19">
        <v>479</v>
      </c>
      <c r="B485" s="20">
        <v>2005223597</v>
      </c>
      <c r="C485" s="21" t="s">
        <v>602</v>
      </c>
      <c r="D485" s="22" t="s">
        <v>303</v>
      </c>
      <c r="E485" s="20" t="s">
        <v>603</v>
      </c>
      <c r="F485" s="23" t="s">
        <v>567</v>
      </c>
      <c r="G485" s="30" t="s">
        <v>547</v>
      </c>
      <c r="H485" s="30">
        <f>VLOOKUP(B485,'Dữ liệu TQNM'!$B$7:$F$769,5,0)</f>
        <v>4</v>
      </c>
      <c r="I485" s="30">
        <f>COUNTIF('Nộp báo cáo'!$A$3:$A$1993,'Tổng 24-25'!B485)</f>
        <v>2</v>
      </c>
      <c r="J485" s="91"/>
    </row>
    <row r="486" spans="1:10" s="18" customFormat="1" ht="18.75" customHeight="1" x14ac:dyDescent="0.3">
      <c r="A486" s="19">
        <v>480</v>
      </c>
      <c r="B486" s="20">
        <v>2005223728</v>
      </c>
      <c r="C486" s="21" t="s">
        <v>604</v>
      </c>
      <c r="D486" s="22" t="s">
        <v>154</v>
      </c>
      <c r="E486" s="20" t="s">
        <v>1027</v>
      </c>
      <c r="F486" s="23" t="s">
        <v>567</v>
      </c>
      <c r="G486" s="30" t="s">
        <v>547</v>
      </c>
      <c r="H486" s="30">
        <f>VLOOKUP(B486,'Dữ liệu TQNM'!$B$7:$F$769,5,0)</f>
        <v>4</v>
      </c>
      <c r="I486" s="30">
        <f>COUNTIF('Nộp báo cáo'!$A$3:$A$1993,'Tổng 24-25'!B486)</f>
        <v>3</v>
      </c>
      <c r="J486" s="91"/>
    </row>
    <row r="487" spans="1:10" s="18" customFormat="1" ht="18.75" customHeight="1" x14ac:dyDescent="0.3">
      <c r="A487" s="19">
        <v>481</v>
      </c>
      <c r="B487" s="20">
        <v>2005224197</v>
      </c>
      <c r="C487" s="21" t="s">
        <v>600</v>
      </c>
      <c r="D487" s="22" t="s">
        <v>605</v>
      </c>
      <c r="E487" s="20" t="s">
        <v>955</v>
      </c>
      <c r="F487" s="23" t="s">
        <v>567</v>
      </c>
      <c r="G487" s="30" t="s">
        <v>547</v>
      </c>
      <c r="H487" s="30">
        <f>VLOOKUP(B487,'Dữ liệu TQNM'!$B$7:$F$769,5,0)</f>
        <v>3</v>
      </c>
      <c r="I487" s="30">
        <f>COUNTIF('Nộp báo cáo'!$A$3:$A$1993,'Tổng 24-25'!B487)</f>
        <v>4</v>
      </c>
      <c r="J487" s="91"/>
    </row>
    <row r="488" spans="1:10" ht="18.75" customHeight="1" x14ac:dyDescent="0.3">
      <c r="A488" s="31">
        <v>482</v>
      </c>
      <c r="B488" s="107">
        <v>2005224276</v>
      </c>
      <c r="C488" s="33" t="s">
        <v>1183</v>
      </c>
      <c r="D488" s="34" t="s">
        <v>142</v>
      </c>
      <c r="E488" s="32" t="s">
        <v>907</v>
      </c>
      <c r="F488" s="35" t="s">
        <v>567</v>
      </c>
      <c r="G488" s="36" t="s">
        <v>547</v>
      </c>
      <c r="H488" s="30">
        <f>VLOOKUP(B488,'Dữ liệu TQNM'!$B$7:$F$769,5,0)</f>
        <v>1</v>
      </c>
      <c r="I488" s="30">
        <f>COUNTIF('Nộp báo cáo'!$A$3:$A$1993,'Tổng 24-25'!B488)</f>
        <v>1</v>
      </c>
      <c r="J488" s="91"/>
    </row>
    <row r="489" spans="1:10" s="18" customFormat="1" ht="18.75" customHeight="1" x14ac:dyDescent="0.3">
      <c r="A489" s="19">
        <v>483</v>
      </c>
      <c r="B489" s="20">
        <v>2005224888</v>
      </c>
      <c r="C489" s="21" t="s">
        <v>606</v>
      </c>
      <c r="D489" s="22" t="s">
        <v>304</v>
      </c>
      <c r="E489" s="20" t="s">
        <v>607</v>
      </c>
      <c r="F489" s="23" t="s">
        <v>567</v>
      </c>
      <c r="G489" s="30" t="s">
        <v>547</v>
      </c>
      <c r="H489" s="30">
        <f>VLOOKUP(B489,'Dữ liệu TQNM'!$B$7:$F$769,5,0)</f>
        <v>4</v>
      </c>
      <c r="I489" s="30">
        <f>COUNTIF('Nộp báo cáo'!$A$3:$A$1993,'Tổng 24-25'!B489)</f>
        <v>3</v>
      </c>
      <c r="J489" s="91"/>
    </row>
    <row r="490" spans="1:10" s="18" customFormat="1" ht="18.75" customHeight="1" x14ac:dyDescent="0.3">
      <c r="A490" s="19">
        <v>484</v>
      </c>
      <c r="B490" s="20">
        <v>2005224881</v>
      </c>
      <c r="C490" s="21" t="s">
        <v>608</v>
      </c>
      <c r="D490" s="22" t="s">
        <v>304</v>
      </c>
      <c r="E490" s="20" t="s">
        <v>481</v>
      </c>
      <c r="F490" s="23" t="s">
        <v>567</v>
      </c>
      <c r="G490" s="30" t="s">
        <v>547</v>
      </c>
      <c r="H490" s="30">
        <f>VLOOKUP(B490,'Dữ liệu TQNM'!$B$7:$F$769,5,0)</f>
        <v>3</v>
      </c>
      <c r="I490" s="30">
        <f>COUNTIF('Nộp báo cáo'!$A$3:$A$1993,'Tổng 24-25'!B490)</f>
        <v>3</v>
      </c>
      <c r="J490" s="91"/>
    </row>
    <row r="491" spans="1:10" s="18" customFormat="1" ht="18.75" customHeight="1" x14ac:dyDescent="0.3">
      <c r="A491" s="19">
        <v>485</v>
      </c>
      <c r="B491" s="20">
        <v>2005224996</v>
      </c>
      <c r="C491" s="21" t="s">
        <v>609</v>
      </c>
      <c r="D491" s="22" t="s">
        <v>610</v>
      </c>
      <c r="E491" s="20" t="s">
        <v>611</v>
      </c>
      <c r="F491" s="23" t="s">
        <v>567</v>
      </c>
      <c r="G491" s="30" t="s">
        <v>547</v>
      </c>
      <c r="H491" s="30">
        <f>VLOOKUP(B491,'Dữ liệu TQNM'!$B$7:$F$769,5,0)</f>
        <v>3</v>
      </c>
      <c r="I491" s="30">
        <f>COUNTIF('Nộp báo cáo'!$A$3:$A$1993,'Tổng 24-25'!B491)</f>
        <v>2</v>
      </c>
      <c r="J491" s="91"/>
    </row>
    <row r="492" spans="1:10" s="18" customFormat="1" ht="18.75" customHeight="1" x14ac:dyDescent="0.3">
      <c r="A492" s="19">
        <v>486</v>
      </c>
      <c r="B492" s="20">
        <v>2005225458</v>
      </c>
      <c r="C492" s="21" t="s">
        <v>612</v>
      </c>
      <c r="D492" s="22" t="s">
        <v>138</v>
      </c>
      <c r="E492" s="20" t="s">
        <v>1184</v>
      </c>
      <c r="F492" s="23" t="s">
        <v>567</v>
      </c>
      <c r="G492" s="30" t="s">
        <v>547</v>
      </c>
      <c r="H492" s="30">
        <f>VLOOKUP(B492,'Dữ liệu TQNM'!$B$7:$F$769,5,0)</f>
        <v>3</v>
      </c>
      <c r="I492" s="30">
        <f>COUNTIF('Nộp báo cáo'!$A$3:$A$1993,'Tổng 24-25'!B492)</f>
        <v>3</v>
      </c>
      <c r="J492" s="91"/>
    </row>
    <row r="493" spans="1:10" s="18" customFormat="1" ht="18.75" customHeight="1" x14ac:dyDescent="0.3">
      <c r="A493" s="19">
        <v>487</v>
      </c>
      <c r="B493" s="20">
        <v>2005225509</v>
      </c>
      <c r="C493" s="21" t="s">
        <v>171</v>
      </c>
      <c r="D493" s="22" t="s">
        <v>168</v>
      </c>
      <c r="E493" s="20" t="s">
        <v>255</v>
      </c>
      <c r="F493" s="23" t="s">
        <v>567</v>
      </c>
      <c r="G493" s="30" t="s">
        <v>547</v>
      </c>
      <c r="H493" s="30">
        <f>VLOOKUP(B493,'Dữ liệu TQNM'!$B$7:$F$769,5,0)</f>
        <v>2</v>
      </c>
      <c r="I493" s="30">
        <f>COUNTIF('Nộp báo cáo'!$A$3:$A$1993,'Tổng 24-25'!B493)</f>
        <v>3</v>
      </c>
      <c r="J493" s="91"/>
    </row>
    <row r="494" spans="1:10" s="18" customFormat="1" ht="18.75" customHeight="1" x14ac:dyDescent="0.3">
      <c r="A494" s="19">
        <v>488</v>
      </c>
      <c r="B494" s="20">
        <v>2005225357</v>
      </c>
      <c r="C494" s="21" t="s">
        <v>613</v>
      </c>
      <c r="D494" s="22" t="s">
        <v>258</v>
      </c>
      <c r="E494" s="20" t="s">
        <v>145</v>
      </c>
      <c r="F494" s="23" t="s">
        <v>567</v>
      </c>
      <c r="G494" s="30" t="s">
        <v>547</v>
      </c>
      <c r="H494" s="30">
        <f>VLOOKUP(B494,'Dữ liệu TQNM'!$B$7:$F$769,5,0)</f>
        <v>3</v>
      </c>
      <c r="I494" s="30">
        <f>COUNTIF('Nộp báo cáo'!$A$3:$A$1993,'Tổng 24-25'!B494)</f>
        <v>3</v>
      </c>
      <c r="J494" s="91"/>
    </row>
    <row r="495" spans="1:10" s="18" customFormat="1" ht="18.75" customHeight="1" x14ac:dyDescent="0.3">
      <c r="A495" s="19">
        <v>489</v>
      </c>
      <c r="B495" s="20">
        <v>2005225369</v>
      </c>
      <c r="C495" s="21" t="s">
        <v>614</v>
      </c>
      <c r="D495" s="22" t="s">
        <v>258</v>
      </c>
      <c r="E495" s="20" t="s">
        <v>615</v>
      </c>
      <c r="F495" s="23" t="s">
        <v>567</v>
      </c>
      <c r="G495" s="30" t="s">
        <v>547</v>
      </c>
      <c r="H495" s="30">
        <f>VLOOKUP(B495,'Dữ liệu TQNM'!$B$7:$F$769,5,0)</f>
        <v>3</v>
      </c>
      <c r="I495" s="30">
        <f>COUNTIF('Nộp báo cáo'!$A$3:$A$1993,'Tổng 24-25'!B495)</f>
        <v>3</v>
      </c>
      <c r="J495" s="91"/>
    </row>
    <row r="496" spans="1:10" s="18" customFormat="1" ht="18.75" customHeight="1" x14ac:dyDescent="0.3">
      <c r="A496" s="19">
        <v>490</v>
      </c>
      <c r="B496" s="20">
        <v>2005225385</v>
      </c>
      <c r="C496" s="21" t="s">
        <v>616</v>
      </c>
      <c r="D496" s="22" t="s">
        <v>258</v>
      </c>
      <c r="E496" s="20" t="s">
        <v>592</v>
      </c>
      <c r="F496" s="23" t="s">
        <v>567</v>
      </c>
      <c r="G496" s="30" t="s">
        <v>547</v>
      </c>
      <c r="H496" s="30">
        <f>VLOOKUP(B496,'Dữ liệu TQNM'!$B$7:$F$769,5,0)</f>
        <v>2</v>
      </c>
      <c r="I496" s="30">
        <f>COUNTIF('Nộp báo cáo'!$A$3:$A$1993,'Tổng 24-25'!B496)</f>
        <v>3</v>
      </c>
      <c r="J496" s="91"/>
    </row>
    <row r="497" spans="1:10" s="18" customFormat="1" ht="18.75" customHeight="1" x14ac:dyDescent="0.3">
      <c r="A497" s="19">
        <v>491</v>
      </c>
      <c r="B497" s="20">
        <v>2005225584</v>
      </c>
      <c r="C497" s="21" t="s">
        <v>541</v>
      </c>
      <c r="D497" s="22" t="s">
        <v>115</v>
      </c>
      <c r="E497" s="20" t="s">
        <v>617</v>
      </c>
      <c r="F497" s="23" t="s">
        <v>567</v>
      </c>
      <c r="G497" s="30" t="s">
        <v>547</v>
      </c>
      <c r="H497" s="30">
        <f>VLOOKUP(B497,'Dữ liệu TQNM'!$B$7:$F$769,5,0)</f>
        <v>3</v>
      </c>
      <c r="I497" s="30">
        <f>COUNTIF('Nộp báo cáo'!$A$3:$A$1993,'Tổng 24-25'!B497)</f>
        <v>3</v>
      </c>
      <c r="J497" s="91"/>
    </row>
    <row r="498" spans="1:10" s="18" customFormat="1" ht="18.75" customHeight="1" x14ac:dyDescent="0.3">
      <c r="A498" s="19">
        <v>492</v>
      </c>
      <c r="B498" s="20">
        <v>2005225601</v>
      </c>
      <c r="C498" s="21" t="s">
        <v>48</v>
      </c>
      <c r="D498" s="22" t="s">
        <v>115</v>
      </c>
      <c r="E498" s="20" t="s">
        <v>618</v>
      </c>
      <c r="F498" s="23" t="s">
        <v>567</v>
      </c>
      <c r="G498" s="30" t="s">
        <v>547</v>
      </c>
      <c r="H498" s="30">
        <f>VLOOKUP(B498,'Dữ liệu TQNM'!$B$7:$F$769,5,0)</f>
        <v>4</v>
      </c>
      <c r="I498" s="30">
        <f>COUNTIF('Nộp báo cáo'!$A$3:$A$1993,'Tổng 24-25'!B498)</f>
        <v>3</v>
      </c>
      <c r="J498" s="91"/>
    </row>
    <row r="499" spans="1:10" s="18" customFormat="1" ht="18.75" customHeight="1" x14ac:dyDescent="0.3">
      <c r="A499" s="19">
        <v>493</v>
      </c>
      <c r="B499" s="20">
        <v>2005225700</v>
      </c>
      <c r="C499" s="21" t="s">
        <v>625</v>
      </c>
      <c r="D499" s="22" t="s">
        <v>305</v>
      </c>
      <c r="E499" s="20" t="s">
        <v>1185</v>
      </c>
      <c r="F499" s="23" t="s">
        <v>567</v>
      </c>
      <c r="G499" s="30" t="s">
        <v>547</v>
      </c>
      <c r="H499" s="30">
        <f>VLOOKUP(B499,'Dữ liệu TQNM'!$B$7:$F$769,5,0)</f>
        <v>2</v>
      </c>
      <c r="I499" s="30">
        <f>COUNTIF('Nộp báo cáo'!$A$3:$A$1993,'Tổng 24-25'!B499)</f>
        <v>3</v>
      </c>
      <c r="J499" s="91"/>
    </row>
    <row r="500" spans="1:10" s="18" customFormat="1" ht="18.75" customHeight="1" x14ac:dyDescent="0.3">
      <c r="A500" s="19">
        <v>494</v>
      </c>
      <c r="B500" s="20">
        <v>2005224504</v>
      </c>
      <c r="C500" s="21" t="s">
        <v>621</v>
      </c>
      <c r="D500" s="22" t="s">
        <v>335</v>
      </c>
      <c r="E500" s="20" t="s">
        <v>1186</v>
      </c>
      <c r="F500" s="23" t="s">
        <v>567</v>
      </c>
      <c r="G500" s="30" t="s">
        <v>547</v>
      </c>
      <c r="H500" s="30">
        <f>VLOOKUP(B500,'Dữ liệu TQNM'!$B$7:$F$769,5,0)</f>
        <v>2</v>
      </c>
      <c r="I500" s="30">
        <f>COUNTIF('Nộp báo cáo'!$A$3:$A$1993,'Tổng 24-25'!B500)</f>
        <v>3</v>
      </c>
      <c r="J500" s="91"/>
    </row>
    <row r="501" spans="1:10" s="18" customFormat="1" ht="18.75" customHeight="1" x14ac:dyDescent="0.3">
      <c r="A501" s="19">
        <v>495</v>
      </c>
      <c r="B501" s="20">
        <v>2005224486</v>
      </c>
      <c r="C501" s="21" t="s">
        <v>619</v>
      </c>
      <c r="D501" s="22" t="s">
        <v>335</v>
      </c>
      <c r="E501" s="20" t="s">
        <v>620</v>
      </c>
      <c r="F501" s="23" t="s">
        <v>567</v>
      </c>
      <c r="G501" s="30" t="s">
        <v>547</v>
      </c>
      <c r="H501" s="30">
        <f>VLOOKUP(B501,'Dữ liệu TQNM'!$B$7:$F$769,5,0)</f>
        <v>3</v>
      </c>
      <c r="I501" s="30">
        <f>COUNTIF('Nộp báo cáo'!$A$3:$A$1993,'Tổng 24-25'!B501)</f>
        <v>3</v>
      </c>
      <c r="J501" s="91"/>
    </row>
    <row r="502" spans="1:10" s="18" customFormat="1" ht="18.75" customHeight="1" x14ac:dyDescent="0.3">
      <c r="A502" s="19">
        <v>496</v>
      </c>
      <c r="B502" s="20">
        <v>2005224531</v>
      </c>
      <c r="C502" s="21" t="s">
        <v>9</v>
      </c>
      <c r="D502" s="22" t="s">
        <v>117</v>
      </c>
      <c r="E502" s="20" t="s">
        <v>1090</v>
      </c>
      <c r="F502" s="23" t="s">
        <v>567</v>
      </c>
      <c r="G502" s="30" t="s">
        <v>547</v>
      </c>
      <c r="H502" s="30">
        <f>VLOOKUP(B502,'Dữ liệu TQNM'!$B$7:$F$769,5,0)</f>
        <v>3</v>
      </c>
      <c r="I502" s="30">
        <f>COUNTIF('Nộp báo cáo'!$A$3:$A$1993,'Tổng 24-25'!B502)</f>
        <v>3</v>
      </c>
      <c r="J502" s="91"/>
    </row>
    <row r="503" spans="1:10" s="18" customFormat="1" ht="18.75" customHeight="1" x14ac:dyDescent="0.3">
      <c r="A503" s="19">
        <v>497</v>
      </c>
      <c r="B503" s="20">
        <v>2005224589</v>
      </c>
      <c r="C503" s="21" t="s">
        <v>622</v>
      </c>
      <c r="D503" s="22" t="s">
        <v>306</v>
      </c>
      <c r="E503" s="20" t="s">
        <v>970</v>
      </c>
      <c r="F503" s="23" t="s">
        <v>567</v>
      </c>
      <c r="G503" s="30" t="s">
        <v>547</v>
      </c>
      <c r="H503" s="30">
        <f>VLOOKUP(B503,'Dữ liệu TQNM'!$B$7:$F$769,5,0)</f>
        <v>2</v>
      </c>
      <c r="I503" s="30">
        <f>COUNTIF('Nộp báo cáo'!$A$3:$A$1993,'Tổng 24-25'!B503)</f>
        <v>3</v>
      </c>
      <c r="J503" s="91"/>
    </row>
    <row r="504" spans="1:10" s="18" customFormat="1" ht="18.75" customHeight="1" x14ac:dyDescent="0.3">
      <c r="A504" s="19">
        <v>498</v>
      </c>
      <c r="B504" s="20">
        <v>2005225733</v>
      </c>
      <c r="C504" s="21" t="s">
        <v>623</v>
      </c>
      <c r="D504" s="22" t="s">
        <v>280</v>
      </c>
      <c r="E504" s="20" t="s">
        <v>492</v>
      </c>
      <c r="F504" s="23" t="s">
        <v>567</v>
      </c>
      <c r="G504" s="30" t="s">
        <v>547</v>
      </c>
      <c r="H504" s="30">
        <f>VLOOKUP(B504,'Dữ liệu TQNM'!$B$7:$F$769,5,0)</f>
        <v>2</v>
      </c>
      <c r="I504" s="30">
        <f>COUNTIF('Nộp báo cáo'!$A$3:$A$1993,'Tổng 24-25'!B504)</f>
        <v>4</v>
      </c>
      <c r="J504" s="91"/>
    </row>
    <row r="505" spans="1:10" s="18" customFormat="1" ht="18.75" customHeight="1" x14ac:dyDescent="0.3">
      <c r="A505" s="19">
        <v>499</v>
      </c>
      <c r="B505" s="20">
        <v>2005225739</v>
      </c>
      <c r="C505" s="21" t="s">
        <v>624</v>
      </c>
      <c r="D505" s="22" t="s">
        <v>280</v>
      </c>
      <c r="E505" s="20" t="s">
        <v>977</v>
      </c>
      <c r="F505" s="23" t="s">
        <v>567</v>
      </c>
      <c r="G505" s="30" t="s">
        <v>547</v>
      </c>
      <c r="H505" s="30">
        <f>VLOOKUP(B505,'Dữ liệu TQNM'!$B$7:$F$769,5,0)</f>
        <v>3</v>
      </c>
      <c r="I505" s="30">
        <f>COUNTIF('Nộp báo cáo'!$A$3:$A$1993,'Tổng 24-25'!B505)</f>
        <v>3</v>
      </c>
      <c r="J505" s="91"/>
    </row>
    <row r="506" spans="1:10" s="18" customFormat="1" ht="18.75" customHeight="1" x14ac:dyDescent="0.3">
      <c r="A506" s="19">
        <v>500</v>
      </c>
      <c r="B506" s="20">
        <v>2005225854</v>
      </c>
      <c r="C506" s="21" t="s">
        <v>626</v>
      </c>
      <c r="D506" s="22" t="s">
        <v>627</v>
      </c>
      <c r="E506" s="20" t="s">
        <v>1187</v>
      </c>
      <c r="F506" s="23" t="s">
        <v>567</v>
      </c>
      <c r="G506" s="30" t="s">
        <v>547</v>
      </c>
      <c r="H506" s="30">
        <f>VLOOKUP(B506,'Dữ liệu TQNM'!$B$7:$F$769,5,0)</f>
        <v>2</v>
      </c>
      <c r="I506" s="30">
        <f>COUNTIF('Nộp báo cáo'!$A$3:$A$1993,'Tổng 24-25'!B506)</f>
        <v>3</v>
      </c>
      <c r="J506" s="91"/>
    </row>
    <row r="507" spans="1:10" ht="18.75" customHeight="1" x14ac:dyDescent="0.3">
      <c r="A507" s="31">
        <v>501</v>
      </c>
      <c r="B507" s="107">
        <v>2005225981</v>
      </c>
      <c r="C507" s="33" t="s">
        <v>1188</v>
      </c>
      <c r="D507" s="34" t="s">
        <v>56</v>
      </c>
      <c r="E507" s="32" t="s">
        <v>716</v>
      </c>
      <c r="F507" s="35" t="s">
        <v>567</v>
      </c>
      <c r="G507" s="36" t="s">
        <v>547</v>
      </c>
      <c r="H507" s="30">
        <f>VLOOKUP(B507,'Dữ liệu TQNM'!$B$7:$F$769,5,0)</f>
        <v>0</v>
      </c>
      <c r="I507" s="30">
        <f>COUNTIF('Nộp báo cáo'!$A$3:$A$1993,'Tổng 24-25'!B507)</f>
        <v>2</v>
      </c>
      <c r="J507" s="95" t="s">
        <v>2041</v>
      </c>
    </row>
    <row r="508" spans="1:10" ht="18.75" customHeight="1" x14ac:dyDescent="0.3">
      <c r="A508" s="31">
        <v>502</v>
      </c>
      <c r="B508" s="107">
        <v>2005226113</v>
      </c>
      <c r="C508" s="33" t="s">
        <v>507</v>
      </c>
      <c r="D508" s="34" t="s">
        <v>135</v>
      </c>
      <c r="E508" s="32" t="s">
        <v>1189</v>
      </c>
      <c r="F508" s="35" t="s">
        <v>567</v>
      </c>
      <c r="G508" s="36" t="s">
        <v>547</v>
      </c>
      <c r="H508" s="30">
        <f>VLOOKUP(B508,'Dữ liệu TQNM'!$B$7:$F$769,5,0)</f>
        <v>2</v>
      </c>
      <c r="I508" s="30">
        <f>COUNTIF('Nộp báo cáo'!$A$3:$A$1993,'Tổng 24-25'!B508)</f>
        <v>3</v>
      </c>
      <c r="J508" s="91"/>
    </row>
    <row r="509" spans="1:10" s="18" customFormat="1" ht="18.75" customHeight="1" x14ac:dyDescent="0.3">
      <c r="A509" s="19">
        <v>503</v>
      </c>
      <c r="B509" s="20">
        <v>2005220274</v>
      </c>
      <c r="C509" s="21" t="s">
        <v>631</v>
      </c>
      <c r="D509" s="22" t="s">
        <v>632</v>
      </c>
      <c r="E509" s="20" t="s">
        <v>213</v>
      </c>
      <c r="F509" s="23" t="s">
        <v>196</v>
      </c>
      <c r="G509" s="30" t="s">
        <v>547</v>
      </c>
      <c r="H509" s="30">
        <f>VLOOKUP(B509,'Dữ liệu TQNM'!$B$7:$F$769,5,0)</f>
        <v>2</v>
      </c>
      <c r="I509" s="30">
        <f>COUNTIF('Nộp báo cáo'!$A$3:$A$1993,'Tổng 24-25'!B509)</f>
        <v>2</v>
      </c>
      <c r="J509" s="91"/>
    </row>
    <row r="510" spans="1:10" s="18" customFormat="1" ht="18.75" customHeight="1" x14ac:dyDescent="0.3">
      <c r="A510" s="19">
        <v>504</v>
      </c>
      <c r="B510" s="20">
        <v>2005220171</v>
      </c>
      <c r="C510" s="21" t="s">
        <v>629</v>
      </c>
      <c r="D510" s="22" t="s">
        <v>36</v>
      </c>
      <c r="E510" s="20" t="s">
        <v>630</v>
      </c>
      <c r="F510" s="23" t="s">
        <v>196</v>
      </c>
      <c r="G510" s="30" t="s">
        <v>547</v>
      </c>
      <c r="H510" s="30">
        <f>VLOOKUP(B510,'Dữ liệu TQNM'!$B$7:$F$769,5,0)</f>
        <v>3</v>
      </c>
      <c r="I510" s="30">
        <f>COUNTIF('Nộp báo cáo'!$A$3:$A$1993,'Tổng 24-25'!B510)</f>
        <v>2</v>
      </c>
      <c r="J510" s="91"/>
    </row>
    <row r="511" spans="1:10" s="18" customFormat="1" ht="18.75" customHeight="1" x14ac:dyDescent="0.3">
      <c r="A511" s="19">
        <v>505</v>
      </c>
      <c r="B511" s="20">
        <v>2005220253</v>
      </c>
      <c r="C511" s="21" t="s">
        <v>178</v>
      </c>
      <c r="D511" s="22" t="s">
        <v>170</v>
      </c>
      <c r="E511" s="20" t="s">
        <v>213</v>
      </c>
      <c r="F511" s="23" t="s">
        <v>196</v>
      </c>
      <c r="G511" s="30" t="s">
        <v>197</v>
      </c>
      <c r="H511" s="30">
        <f>VLOOKUP(B511,'Dữ liệu TQNM'!$B$7:$F$769,5,0)</f>
        <v>3</v>
      </c>
      <c r="I511" s="30">
        <f>COUNTIF('Nộp báo cáo'!$A$3:$A$1993,'Tổng 24-25'!B511)</f>
        <v>3</v>
      </c>
      <c r="J511" s="91"/>
    </row>
    <row r="512" spans="1:10" s="18" customFormat="1" ht="18.75" customHeight="1" x14ac:dyDescent="0.3">
      <c r="A512" s="19">
        <v>506</v>
      </c>
      <c r="B512" s="20">
        <v>2005220300</v>
      </c>
      <c r="C512" s="21" t="s">
        <v>267</v>
      </c>
      <c r="D512" s="22" t="s">
        <v>268</v>
      </c>
      <c r="E512" s="20" t="s">
        <v>269</v>
      </c>
      <c r="F512" s="23" t="s">
        <v>196</v>
      </c>
      <c r="G512" s="30" t="s">
        <v>197</v>
      </c>
      <c r="H512" s="30">
        <f>VLOOKUP(B512,'Dữ liệu TQNM'!$B$7:$F$769,5,0)</f>
        <v>3</v>
      </c>
      <c r="I512" s="30">
        <f>COUNTIF('Nộp báo cáo'!$A$3:$A$1993,'Tổng 24-25'!B512)</f>
        <v>2</v>
      </c>
      <c r="J512" s="91"/>
    </row>
    <row r="513" spans="1:10" ht="18.75" customHeight="1" x14ac:dyDescent="0.3">
      <c r="A513" s="31">
        <v>507</v>
      </c>
      <c r="B513" s="107">
        <v>2005220449</v>
      </c>
      <c r="C513" s="33" t="s">
        <v>74</v>
      </c>
      <c r="D513" s="34" t="s">
        <v>324</v>
      </c>
      <c r="E513" s="32" t="s">
        <v>1126</v>
      </c>
      <c r="F513" s="35" t="s">
        <v>196</v>
      </c>
      <c r="G513" s="36" t="s">
        <v>197</v>
      </c>
      <c r="H513" s="30">
        <f>VLOOKUP(B513,'Dữ liệu TQNM'!$B$7:$F$769,5,0)</f>
        <v>2</v>
      </c>
      <c r="I513" s="30">
        <f>COUNTIF('Nộp báo cáo'!$A$3:$A$1993,'Tổng 24-25'!B513)</f>
        <v>0</v>
      </c>
      <c r="J513" s="91"/>
    </row>
    <row r="514" spans="1:10" s="18" customFormat="1" ht="18.75" customHeight="1" x14ac:dyDescent="0.3">
      <c r="A514" s="19">
        <v>508</v>
      </c>
      <c r="B514" s="20">
        <v>2005220881</v>
      </c>
      <c r="C514" s="21" t="s">
        <v>214</v>
      </c>
      <c r="D514" s="22" t="s">
        <v>10</v>
      </c>
      <c r="E514" s="20" t="s">
        <v>215</v>
      </c>
      <c r="F514" s="23" t="s">
        <v>196</v>
      </c>
      <c r="G514" s="30" t="s">
        <v>197</v>
      </c>
      <c r="H514" s="30">
        <f>VLOOKUP(B514,'Dữ liệu TQNM'!$B$7:$F$769,5,0)</f>
        <v>2</v>
      </c>
      <c r="I514" s="30">
        <f>COUNTIF('Nộp báo cáo'!$A$3:$A$1993,'Tổng 24-25'!B514)</f>
        <v>2</v>
      </c>
      <c r="J514" s="91"/>
    </row>
    <row r="515" spans="1:10" s="18" customFormat="1" ht="18.75" customHeight="1" x14ac:dyDescent="0.3">
      <c r="A515" s="19">
        <v>509</v>
      </c>
      <c r="B515" s="20">
        <v>2005220627</v>
      </c>
      <c r="C515" s="21" t="s">
        <v>266</v>
      </c>
      <c r="D515" s="22" t="s">
        <v>217</v>
      </c>
      <c r="E515" s="20" t="s">
        <v>1100</v>
      </c>
      <c r="F515" s="23" t="s">
        <v>196</v>
      </c>
      <c r="G515" s="30" t="s">
        <v>197</v>
      </c>
      <c r="H515" s="30">
        <f>VLOOKUP(B515,'Dữ liệu TQNM'!$B$7:$F$769,5,0)</f>
        <v>2</v>
      </c>
      <c r="I515" s="30">
        <f>COUNTIF('Nộp báo cáo'!$A$3:$A$1993,'Tổng 24-25'!B515)</f>
        <v>3</v>
      </c>
      <c r="J515" s="91"/>
    </row>
    <row r="516" spans="1:10" s="18" customFormat="1" ht="18.75" customHeight="1" x14ac:dyDescent="0.3">
      <c r="A516" s="19">
        <v>510</v>
      </c>
      <c r="B516" s="20">
        <v>2005220628</v>
      </c>
      <c r="C516" s="21" t="s">
        <v>216</v>
      </c>
      <c r="D516" s="22" t="s">
        <v>217</v>
      </c>
      <c r="E516" s="20" t="s">
        <v>218</v>
      </c>
      <c r="F516" s="23" t="s">
        <v>196</v>
      </c>
      <c r="G516" s="30" t="s">
        <v>197</v>
      </c>
      <c r="H516" s="30">
        <f>VLOOKUP(B516,'Dữ liệu TQNM'!$B$7:$F$769,5,0)</f>
        <v>3</v>
      </c>
      <c r="I516" s="30">
        <f>COUNTIF('Nộp báo cáo'!$A$3:$A$1993,'Tổng 24-25'!B516)</f>
        <v>3</v>
      </c>
      <c r="J516" s="91"/>
    </row>
    <row r="517" spans="1:10" s="18" customFormat="1" ht="18.75" customHeight="1" x14ac:dyDescent="0.3">
      <c r="A517" s="19">
        <v>511</v>
      </c>
      <c r="B517" s="20">
        <v>2005220823</v>
      </c>
      <c r="C517" s="21" t="s">
        <v>270</v>
      </c>
      <c r="D517" s="22" t="s">
        <v>271</v>
      </c>
      <c r="E517" s="20" t="s">
        <v>1190</v>
      </c>
      <c r="F517" s="23" t="s">
        <v>196</v>
      </c>
      <c r="G517" s="30" t="s">
        <v>197</v>
      </c>
      <c r="H517" s="30">
        <f>VLOOKUP(B517,'Dữ liệu TQNM'!$B$7:$F$769,5,0)</f>
        <v>3</v>
      </c>
      <c r="I517" s="30">
        <f>COUNTIF('Nộp báo cáo'!$A$3:$A$1993,'Tổng 24-25'!B517)</f>
        <v>0</v>
      </c>
      <c r="J517" s="91"/>
    </row>
    <row r="518" spans="1:10" s="18" customFormat="1" ht="18.75" customHeight="1" x14ac:dyDescent="0.3">
      <c r="A518" s="19">
        <v>512</v>
      </c>
      <c r="B518" s="20">
        <v>2005221125</v>
      </c>
      <c r="C518" s="21" t="s">
        <v>219</v>
      </c>
      <c r="D518" s="22" t="s">
        <v>220</v>
      </c>
      <c r="E518" s="20" t="s">
        <v>962</v>
      </c>
      <c r="F518" s="23" t="s">
        <v>196</v>
      </c>
      <c r="G518" s="30" t="s">
        <v>197</v>
      </c>
      <c r="H518" s="30">
        <f>VLOOKUP(B518,'Dữ liệu TQNM'!$B$7:$F$769,5,0)</f>
        <v>3</v>
      </c>
      <c r="I518" s="30">
        <f>COUNTIF('Nộp báo cáo'!$A$3:$A$1993,'Tổng 24-25'!B518)</f>
        <v>3</v>
      </c>
      <c r="J518" s="91"/>
    </row>
    <row r="519" spans="1:10" ht="18.75" customHeight="1" x14ac:dyDescent="0.3">
      <c r="A519" s="31">
        <v>513</v>
      </c>
      <c r="B519" s="107">
        <v>2005221266</v>
      </c>
      <c r="C519" s="33" t="s">
        <v>121</v>
      </c>
      <c r="D519" s="34" t="s">
        <v>172</v>
      </c>
      <c r="E519" s="32" t="s">
        <v>150</v>
      </c>
      <c r="F519" s="35" t="s">
        <v>196</v>
      </c>
      <c r="G519" s="36" t="s">
        <v>197</v>
      </c>
      <c r="H519" s="30">
        <f>VLOOKUP(B519,'Dữ liệu TQNM'!$B$7:$F$769,5,0)</f>
        <v>0</v>
      </c>
      <c r="I519" s="30">
        <f>COUNTIF('Nộp báo cáo'!$A$3:$A$1993,'Tổng 24-25'!B519)</f>
        <v>0</v>
      </c>
      <c r="J519" s="91"/>
    </row>
    <row r="520" spans="1:10" s="18" customFormat="1" ht="18.75" customHeight="1" x14ac:dyDescent="0.3">
      <c r="A520" s="19">
        <v>514</v>
      </c>
      <c r="B520" s="20">
        <v>2005221311</v>
      </c>
      <c r="C520" s="21" t="s">
        <v>221</v>
      </c>
      <c r="D520" s="22" t="s">
        <v>222</v>
      </c>
      <c r="E520" s="20" t="s">
        <v>1191</v>
      </c>
      <c r="F520" s="23" t="s">
        <v>196</v>
      </c>
      <c r="G520" s="30" t="s">
        <v>197</v>
      </c>
      <c r="H520" s="30">
        <f>VLOOKUP(B520,'Dữ liệu TQNM'!$B$7:$F$769,5,0)</f>
        <v>2</v>
      </c>
      <c r="I520" s="30">
        <f>COUNTIF('Nộp báo cáo'!$A$3:$A$1993,'Tổng 24-25'!B520)</f>
        <v>3</v>
      </c>
      <c r="J520" s="91"/>
    </row>
    <row r="521" spans="1:10" s="18" customFormat="1" ht="18.75" customHeight="1" x14ac:dyDescent="0.3">
      <c r="A521" s="19">
        <v>515</v>
      </c>
      <c r="B521" s="20">
        <v>2005221176</v>
      </c>
      <c r="C521" s="21" t="s">
        <v>223</v>
      </c>
      <c r="D521" s="22" t="s">
        <v>75</v>
      </c>
      <c r="E521" s="20" t="s">
        <v>224</v>
      </c>
      <c r="F521" s="23" t="s">
        <v>196</v>
      </c>
      <c r="G521" s="30" t="s">
        <v>197</v>
      </c>
      <c r="H521" s="30">
        <f>VLOOKUP(B521,'Dữ liệu TQNM'!$B$7:$F$769,5,0)</f>
        <v>2</v>
      </c>
      <c r="I521" s="30">
        <f>COUNTIF('Nộp báo cáo'!$A$3:$A$1993,'Tổng 24-25'!B521)</f>
        <v>3</v>
      </c>
      <c r="J521" s="91"/>
    </row>
    <row r="522" spans="1:10" s="18" customFormat="1" ht="18.75" customHeight="1" x14ac:dyDescent="0.3">
      <c r="A522" s="19">
        <v>516</v>
      </c>
      <c r="B522" s="20">
        <v>2005221199</v>
      </c>
      <c r="C522" s="21" t="s">
        <v>225</v>
      </c>
      <c r="D522" s="22" t="s">
        <v>226</v>
      </c>
      <c r="E522" s="20" t="s">
        <v>1110</v>
      </c>
      <c r="F522" s="23" t="s">
        <v>196</v>
      </c>
      <c r="G522" s="30" t="s">
        <v>197</v>
      </c>
      <c r="H522" s="30">
        <f>VLOOKUP(B522,'Dữ liệu TQNM'!$B$7:$F$769,5,0)</f>
        <v>3</v>
      </c>
      <c r="I522" s="30">
        <f>COUNTIF('Nộp báo cáo'!$A$3:$A$1993,'Tổng 24-25'!B522)</f>
        <v>3</v>
      </c>
      <c r="J522" s="91"/>
    </row>
    <row r="523" spans="1:10" s="18" customFormat="1" ht="18.75" customHeight="1" x14ac:dyDescent="0.3">
      <c r="A523" s="19">
        <v>517</v>
      </c>
      <c r="B523" s="20">
        <v>2005221487</v>
      </c>
      <c r="C523" s="21" t="s">
        <v>227</v>
      </c>
      <c r="D523" s="22" t="s">
        <v>81</v>
      </c>
      <c r="E523" s="20" t="s">
        <v>228</v>
      </c>
      <c r="F523" s="23" t="s">
        <v>196</v>
      </c>
      <c r="G523" s="30" t="s">
        <v>197</v>
      </c>
      <c r="H523" s="30">
        <f>VLOOKUP(B523,'Dữ liệu TQNM'!$B$7:$F$769,5,0)</f>
        <v>2</v>
      </c>
      <c r="I523" s="30">
        <f>COUNTIF('Nộp báo cáo'!$A$3:$A$1993,'Tổng 24-25'!B523)</f>
        <v>3</v>
      </c>
      <c r="J523" s="91"/>
    </row>
    <row r="524" spans="1:10" ht="18.75" customHeight="1" x14ac:dyDescent="0.3">
      <c r="A524" s="31">
        <v>518</v>
      </c>
      <c r="B524" s="107">
        <v>2005221642</v>
      </c>
      <c r="C524" s="33" t="s">
        <v>1192</v>
      </c>
      <c r="D524" s="34" t="s">
        <v>120</v>
      </c>
      <c r="E524" s="32" t="s">
        <v>159</v>
      </c>
      <c r="F524" s="35" t="s">
        <v>196</v>
      </c>
      <c r="G524" s="36" t="s">
        <v>197</v>
      </c>
      <c r="H524" s="30">
        <f>VLOOKUP(B524,'Dữ liệu TQNM'!$B$7:$F$769,5,0)</f>
        <v>0</v>
      </c>
      <c r="I524" s="30">
        <f>COUNTIF('Nộp báo cáo'!$A$3:$A$1993,'Tổng 24-25'!B524)</f>
        <v>0</v>
      </c>
      <c r="J524" s="91"/>
    </row>
    <row r="525" spans="1:10" s="18" customFormat="1" ht="18.75" customHeight="1" x14ac:dyDescent="0.3">
      <c r="A525" s="19">
        <v>519</v>
      </c>
      <c r="B525" s="20">
        <v>2005222065</v>
      </c>
      <c r="C525" s="21" t="s">
        <v>229</v>
      </c>
      <c r="D525" s="22" t="s">
        <v>230</v>
      </c>
      <c r="E525" s="20" t="s">
        <v>1134</v>
      </c>
      <c r="F525" s="23" t="s">
        <v>196</v>
      </c>
      <c r="G525" s="30" t="s">
        <v>197</v>
      </c>
      <c r="H525" s="30">
        <f>VLOOKUP(B525,'Dữ liệu TQNM'!$B$7:$F$769,5,0)</f>
        <v>2</v>
      </c>
      <c r="I525" s="30">
        <f>COUNTIF('Nộp báo cáo'!$A$3:$A$1993,'Tổng 24-25'!B525)</f>
        <v>3</v>
      </c>
      <c r="J525" s="91"/>
    </row>
    <row r="526" spans="1:10" s="18" customFormat="1" ht="18.75" customHeight="1" x14ac:dyDescent="0.3">
      <c r="A526" s="19">
        <v>520</v>
      </c>
      <c r="B526" s="20">
        <v>2005222140</v>
      </c>
      <c r="C526" s="21" t="s">
        <v>231</v>
      </c>
      <c r="D526" s="22" t="s">
        <v>232</v>
      </c>
      <c r="E526" s="20" t="s">
        <v>233</v>
      </c>
      <c r="F526" s="23" t="s">
        <v>196</v>
      </c>
      <c r="G526" s="30" t="s">
        <v>197</v>
      </c>
      <c r="H526" s="30">
        <f>VLOOKUP(B526,'Dữ liệu TQNM'!$B$7:$F$769,5,0)</f>
        <v>1</v>
      </c>
      <c r="I526" s="30">
        <f>COUNTIF('Nộp báo cáo'!$A$3:$A$1993,'Tổng 24-25'!B526)</f>
        <v>0</v>
      </c>
      <c r="J526" s="91"/>
    </row>
    <row r="527" spans="1:10" s="18" customFormat="1" ht="18.75" customHeight="1" x14ac:dyDescent="0.3">
      <c r="A527" s="19">
        <v>521</v>
      </c>
      <c r="B527" s="20">
        <v>2005222253</v>
      </c>
      <c r="C527" s="21" t="s">
        <v>201</v>
      </c>
      <c r="D527" s="22" t="s">
        <v>202</v>
      </c>
      <c r="E527" s="20" t="s">
        <v>203</v>
      </c>
      <c r="F527" s="23" t="s">
        <v>196</v>
      </c>
      <c r="G527" s="30" t="s">
        <v>197</v>
      </c>
      <c r="H527" s="30">
        <f>VLOOKUP(B527,'Dữ liệu TQNM'!$B$7:$F$769,5,0)</f>
        <v>4</v>
      </c>
      <c r="I527" s="30">
        <f>COUNTIF('Nộp báo cáo'!$A$3:$A$1993,'Tổng 24-25'!B527)</f>
        <v>3</v>
      </c>
      <c r="J527" s="91"/>
    </row>
    <row r="528" spans="1:10" s="18" customFormat="1" ht="18.75" customHeight="1" x14ac:dyDescent="0.3">
      <c r="A528" s="19">
        <v>522</v>
      </c>
      <c r="B528" s="20">
        <v>2005222347</v>
      </c>
      <c r="C528" s="21" t="s">
        <v>234</v>
      </c>
      <c r="D528" s="22" t="s">
        <v>29</v>
      </c>
      <c r="E528" s="20" t="s">
        <v>235</v>
      </c>
      <c r="F528" s="23" t="s">
        <v>196</v>
      </c>
      <c r="G528" s="30" t="s">
        <v>197</v>
      </c>
      <c r="H528" s="30">
        <f>VLOOKUP(B528,'Dữ liệu TQNM'!$B$7:$F$769,5,0)</f>
        <v>2</v>
      </c>
      <c r="I528" s="30">
        <f>COUNTIF('Nộp báo cáo'!$A$3:$A$1993,'Tổng 24-25'!B528)</f>
        <v>3</v>
      </c>
      <c r="J528" s="91"/>
    </row>
    <row r="529" spans="1:10" s="18" customFormat="1" ht="18.75" customHeight="1" x14ac:dyDescent="0.3">
      <c r="A529" s="19">
        <v>523</v>
      </c>
      <c r="B529" s="20">
        <v>2005222582</v>
      </c>
      <c r="C529" s="21" t="s">
        <v>236</v>
      </c>
      <c r="D529" s="22" t="s">
        <v>237</v>
      </c>
      <c r="E529" s="20" t="s">
        <v>1052</v>
      </c>
      <c r="F529" s="23" t="s">
        <v>196</v>
      </c>
      <c r="G529" s="30" t="s">
        <v>197</v>
      </c>
      <c r="H529" s="30">
        <f>VLOOKUP(B529,'Dữ liệu TQNM'!$B$7:$F$769,5,0)</f>
        <v>2</v>
      </c>
      <c r="I529" s="30">
        <f>COUNTIF('Nộp báo cáo'!$A$3:$A$1993,'Tổng 24-25'!B529)</f>
        <v>3</v>
      </c>
      <c r="J529" s="91"/>
    </row>
    <row r="530" spans="1:10" s="18" customFormat="1" ht="18.75" customHeight="1" x14ac:dyDescent="0.3">
      <c r="A530" s="19">
        <v>524</v>
      </c>
      <c r="B530" s="20">
        <v>2005222625</v>
      </c>
      <c r="C530" s="21" t="s">
        <v>238</v>
      </c>
      <c r="D530" s="22" t="s">
        <v>239</v>
      </c>
      <c r="E530" s="20" t="s">
        <v>1193</v>
      </c>
      <c r="F530" s="23" t="s">
        <v>196</v>
      </c>
      <c r="G530" s="30" t="s">
        <v>197</v>
      </c>
      <c r="H530" s="30">
        <f>VLOOKUP(B530,'Dữ liệu TQNM'!$B$7:$F$769,5,0)</f>
        <v>3</v>
      </c>
      <c r="I530" s="30">
        <f>COUNTIF('Nộp báo cáo'!$A$3:$A$1993,'Tổng 24-25'!B530)</f>
        <v>0</v>
      </c>
      <c r="J530" s="91"/>
    </row>
    <row r="531" spans="1:10" s="18" customFormat="1" ht="18.75" customHeight="1" x14ac:dyDescent="0.3">
      <c r="A531" s="19">
        <v>525</v>
      </c>
      <c r="B531" s="20">
        <v>2005222757</v>
      </c>
      <c r="C531" s="21" t="s">
        <v>272</v>
      </c>
      <c r="D531" s="22" t="s">
        <v>152</v>
      </c>
      <c r="E531" s="20" t="s">
        <v>273</v>
      </c>
      <c r="F531" s="23" t="s">
        <v>196</v>
      </c>
      <c r="G531" s="30" t="s">
        <v>197</v>
      </c>
      <c r="H531" s="30">
        <f>VLOOKUP(B531,'Dữ liệu TQNM'!$B$7:$F$769,5,0)</f>
        <v>4</v>
      </c>
      <c r="I531" s="30">
        <f>COUNTIF('Nộp báo cáo'!$A$3:$A$1993,'Tổng 24-25'!B531)</f>
        <v>3</v>
      </c>
      <c r="J531" s="91"/>
    </row>
    <row r="532" spans="1:10" s="18" customFormat="1" ht="18.75" customHeight="1" x14ac:dyDescent="0.3">
      <c r="A532" s="19">
        <v>526</v>
      </c>
      <c r="B532" s="20">
        <v>2005222992</v>
      </c>
      <c r="C532" s="21" t="s">
        <v>240</v>
      </c>
      <c r="D532" s="22" t="s">
        <v>241</v>
      </c>
      <c r="E532" s="20" t="s">
        <v>1186</v>
      </c>
      <c r="F532" s="23" t="s">
        <v>196</v>
      </c>
      <c r="G532" s="30" t="s">
        <v>197</v>
      </c>
      <c r="H532" s="30">
        <f>VLOOKUP(B532,'Dữ liệu TQNM'!$B$7:$F$769,5,0)</f>
        <v>2</v>
      </c>
      <c r="I532" s="30">
        <f>COUNTIF('Nộp báo cáo'!$A$3:$A$1993,'Tổng 24-25'!B532)</f>
        <v>1</v>
      </c>
      <c r="J532" s="91"/>
    </row>
    <row r="533" spans="1:10" s="18" customFormat="1" ht="18.75" customHeight="1" x14ac:dyDescent="0.3">
      <c r="A533" s="19">
        <v>527</v>
      </c>
      <c r="B533" s="20">
        <v>2005223088</v>
      </c>
      <c r="C533" s="21" t="s">
        <v>242</v>
      </c>
      <c r="D533" s="22" t="s">
        <v>51</v>
      </c>
      <c r="E533" s="20" t="s">
        <v>243</v>
      </c>
      <c r="F533" s="23" t="s">
        <v>196</v>
      </c>
      <c r="G533" s="30" t="s">
        <v>197</v>
      </c>
      <c r="H533" s="30">
        <f>VLOOKUP(B533,'Dữ liệu TQNM'!$B$7:$F$769,5,0)</f>
        <v>2</v>
      </c>
      <c r="I533" s="30">
        <f>COUNTIF('Nộp báo cáo'!$A$3:$A$1993,'Tổng 24-25'!B533)</f>
        <v>3</v>
      </c>
      <c r="J533" s="91"/>
    </row>
    <row r="534" spans="1:10" s="18" customFormat="1" ht="18.75" customHeight="1" x14ac:dyDescent="0.3">
      <c r="A534" s="19">
        <v>528</v>
      </c>
      <c r="B534" s="20">
        <v>2005223092</v>
      </c>
      <c r="C534" s="21" t="s">
        <v>244</v>
      </c>
      <c r="D534" s="22" t="s">
        <v>51</v>
      </c>
      <c r="E534" s="20" t="s">
        <v>1179</v>
      </c>
      <c r="F534" s="23" t="s">
        <v>196</v>
      </c>
      <c r="G534" s="30" t="s">
        <v>197</v>
      </c>
      <c r="H534" s="30">
        <f>VLOOKUP(B534,'Dữ liệu TQNM'!$B$7:$F$769,5,0)</f>
        <v>2</v>
      </c>
      <c r="I534" s="30">
        <f>COUNTIF('Nộp báo cáo'!$A$3:$A$1993,'Tổng 24-25'!B534)</f>
        <v>3</v>
      </c>
      <c r="J534" s="91"/>
    </row>
    <row r="535" spans="1:10" s="18" customFormat="1" ht="18.75" customHeight="1" x14ac:dyDescent="0.3">
      <c r="A535" s="19">
        <v>529</v>
      </c>
      <c r="B535" s="20">
        <v>2005223089</v>
      </c>
      <c r="C535" s="21" t="s">
        <v>274</v>
      </c>
      <c r="D535" s="22" t="s">
        <v>51</v>
      </c>
      <c r="E535" s="20" t="s">
        <v>977</v>
      </c>
      <c r="F535" s="23" t="s">
        <v>196</v>
      </c>
      <c r="G535" s="30" t="s">
        <v>197</v>
      </c>
      <c r="H535" s="30">
        <f>VLOOKUP(B535,'Dữ liệu TQNM'!$B$7:$F$769,5,0)</f>
        <v>2</v>
      </c>
      <c r="I535" s="30">
        <f>COUNTIF('Nộp báo cáo'!$A$3:$A$1993,'Tổng 24-25'!B535)</f>
        <v>2</v>
      </c>
      <c r="J535" s="91"/>
    </row>
    <row r="536" spans="1:10" s="18" customFormat="1" ht="18.75" customHeight="1" x14ac:dyDescent="0.3">
      <c r="A536" s="19">
        <v>530</v>
      </c>
      <c r="B536" s="20">
        <v>2005223139</v>
      </c>
      <c r="C536" s="21" t="s">
        <v>204</v>
      </c>
      <c r="D536" s="22" t="s">
        <v>205</v>
      </c>
      <c r="E536" s="20" t="s">
        <v>206</v>
      </c>
      <c r="F536" s="23" t="s">
        <v>196</v>
      </c>
      <c r="G536" s="30" t="s">
        <v>197</v>
      </c>
      <c r="H536" s="30">
        <f>VLOOKUP(B536,'Dữ liệu TQNM'!$B$7:$F$769,5,0)</f>
        <v>4</v>
      </c>
      <c r="I536" s="30">
        <f>COUNTIF('Nộp báo cáo'!$A$3:$A$1993,'Tổng 24-25'!B536)</f>
        <v>2</v>
      </c>
      <c r="J536" s="91"/>
    </row>
    <row r="537" spans="1:10" ht="18.75" customHeight="1" x14ac:dyDescent="0.3">
      <c r="A537" s="31">
        <v>531</v>
      </c>
      <c r="B537" s="107">
        <v>2005223353</v>
      </c>
      <c r="C537" s="33" t="s">
        <v>1194</v>
      </c>
      <c r="D537" s="34" t="s">
        <v>76</v>
      </c>
      <c r="E537" s="32" t="s">
        <v>1113</v>
      </c>
      <c r="F537" s="35" t="s">
        <v>196</v>
      </c>
      <c r="G537" s="36" t="s">
        <v>197</v>
      </c>
      <c r="H537" s="30">
        <f>VLOOKUP(B537,'Dữ liệu TQNM'!$B$7:$F$769,5,0)</f>
        <v>0</v>
      </c>
      <c r="I537" s="30">
        <f>COUNTIF('Nộp báo cáo'!$A$3:$A$1993,'Tổng 24-25'!B537)</f>
        <v>0</v>
      </c>
      <c r="J537" s="91"/>
    </row>
    <row r="538" spans="1:10" s="18" customFormat="1" ht="18.75" customHeight="1" x14ac:dyDescent="0.3">
      <c r="A538" s="19">
        <v>532</v>
      </c>
      <c r="B538" s="20">
        <v>2005223322</v>
      </c>
      <c r="C538" s="21" t="s">
        <v>245</v>
      </c>
      <c r="D538" s="22" t="s">
        <v>76</v>
      </c>
      <c r="E538" s="20" t="s">
        <v>177</v>
      </c>
      <c r="F538" s="23" t="s">
        <v>196</v>
      </c>
      <c r="G538" s="30" t="s">
        <v>197</v>
      </c>
      <c r="H538" s="30">
        <f>VLOOKUP(B538,'Dữ liệu TQNM'!$B$7:$F$769,5,0)</f>
        <v>2</v>
      </c>
      <c r="I538" s="30">
        <f>COUNTIF('Nộp báo cáo'!$A$3:$A$1993,'Tổng 24-25'!B538)</f>
        <v>3</v>
      </c>
      <c r="J538" s="91"/>
    </row>
    <row r="539" spans="1:10" s="18" customFormat="1" ht="18.75" customHeight="1" x14ac:dyDescent="0.3">
      <c r="A539" s="19">
        <v>533</v>
      </c>
      <c r="B539" s="20">
        <v>2005223327</v>
      </c>
      <c r="C539" s="21" t="s">
        <v>236</v>
      </c>
      <c r="D539" s="22" t="s">
        <v>76</v>
      </c>
      <c r="E539" s="20" t="s">
        <v>247</v>
      </c>
      <c r="F539" s="23" t="s">
        <v>196</v>
      </c>
      <c r="G539" s="30" t="s">
        <v>197</v>
      </c>
      <c r="H539" s="30">
        <f>VLOOKUP(B539,'Dữ liệu TQNM'!$B$7:$F$769,5,0)</f>
        <v>2</v>
      </c>
      <c r="I539" s="30">
        <f>COUNTIF('Nộp báo cáo'!$A$3:$A$1993,'Tổng 24-25'!B539)</f>
        <v>3</v>
      </c>
      <c r="J539" s="91"/>
    </row>
    <row r="540" spans="1:10" s="18" customFormat="1" ht="18.75" customHeight="1" x14ac:dyDescent="0.3">
      <c r="A540" s="19">
        <v>534</v>
      </c>
      <c r="B540" s="20">
        <v>2005223365</v>
      </c>
      <c r="C540" s="21" t="s">
        <v>246</v>
      </c>
      <c r="D540" s="22" t="s">
        <v>76</v>
      </c>
      <c r="E540" s="20" t="s">
        <v>155</v>
      </c>
      <c r="F540" s="23" t="s">
        <v>196</v>
      </c>
      <c r="G540" s="30" t="s">
        <v>197</v>
      </c>
      <c r="H540" s="30">
        <f>VLOOKUP(B540,'Dữ liệu TQNM'!$B$7:$F$769,5,0)</f>
        <v>2</v>
      </c>
      <c r="I540" s="30">
        <f>COUNTIF('Nộp báo cáo'!$A$3:$A$1993,'Tổng 24-25'!B540)</f>
        <v>3</v>
      </c>
      <c r="J540" s="91"/>
    </row>
    <row r="541" spans="1:10" s="18" customFormat="1" ht="18.75" customHeight="1" x14ac:dyDescent="0.3">
      <c r="A541" s="19">
        <v>535</v>
      </c>
      <c r="B541" s="20">
        <v>2005223551</v>
      </c>
      <c r="C541" s="21" t="s">
        <v>277</v>
      </c>
      <c r="D541" s="22" t="s">
        <v>278</v>
      </c>
      <c r="E541" s="20" t="s">
        <v>1195</v>
      </c>
      <c r="F541" s="23" t="s">
        <v>196</v>
      </c>
      <c r="G541" s="30" t="s">
        <v>197</v>
      </c>
      <c r="H541" s="30">
        <f>VLOOKUP(B541,'Dữ liệu TQNM'!$B$7:$F$769,5,0)</f>
        <v>2</v>
      </c>
      <c r="I541" s="30">
        <f>COUNTIF('Nộp báo cáo'!$A$3:$A$1993,'Tổng 24-25'!B541)</f>
        <v>3</v>
      </c>
      <c r="J541" s="91"/>
    </row>
    <row r="542" spans="1:10" s="18" customFormat="1" ht="18.75" customHeight="1" x14ac:dyDescent="0.3">
      <c r="A542" s="19">
        <v>536</v>
      </c>
      <c r="B542" s="20">
        <v>2005223568</v>
      </c>
      <c r="C542" s="21" t="s">
        <v>248</v>
      </c>
      <c r="D542" s="22" t="s">
        <v>249</v>
      </c>
      <c r="E542" s="20" t="s">
        <v>250</v>
      </c>
      <c r="F542" s="23" t="s">
        <v>196</v>
      </c>
      <c r="G542" s="30" t="s">
        <v>197</v>
      </c>
      <c r="H542" s="30">
        <f>VLOOKUP(B542,'Dữ liệu TQNM'!$B$7:$F$769,5,0)</f>
        <v>2</v>
      </c>
      <c r="I542" s="30">
        <f>COUNTIF('Nộp báo cáo'!$A$3:$A$1993,'Tổng 24-25'!B542)</f>
        <v>3</v>
      </c>
      <c r="J542" s="91"/>
    </row>
    <row r="543" spans="1:10" s="18" customFormat="1" ht="18.75" customHeight="1" x14ac:dyDescent="0.3">
      <c r="A543" s="19">
        <v>537</v>
      </c>
      <c r="B543" s="20">
        <v>2005223652</v>
      </c>
      <c r="C543" s="21" t="s">
        <v>223</v>
      </c>
      <c r="D543" s="22" t="s">
        <v>251</v>
      </c>
      <c r="E543" s="20" t="s">
        <v>954</v>
      </c>
      <c r="F543" s="23" t="s">
        <v>196</v>
      </c>
      <c r="G543" s="30" t="s">
        <v>197</v>
      </c>
      <c r="H543" s="30">
        <f>VLOOKUP(B543,'Dữ liệu TQNM'!$B$7:$F$769,5,0)</f>
        <v>2</v>
      </c>
      <c r="I543" s="30">
        <f>COUNTIF('Nộp báo cáo'!$A$3:$A$1993,'Tổng 24-25'!B543)</f>
        <v>3</v>
      </c>
      <c r="J543" s="91"/>
    </row>
    <row r="544" spans="1:10" s="18" customFormat="1" ht="18.75" customHeight="1" x14ac:dyDescent="0.3">
      <c r="A544" s="19">
        <v>538</v>
      </c>
      <c r="B544" s="20">
        <v>2005223855</v>
      </c>
      <c r="C544" s="21" t="s">
        <v>195</v>
      </c>
      <c r="D544" s="22" t="s">
        <v>31</v>
      </c>
      <c r="E544" s="20" t="s">
        <v>1196</v>
      </c>
      <c r="F544" s="23" t="s">
        <v>196</v>
      </c>
      <c r="G544" s="30" t="s">
        <v>197</v>
      </c>
      <c r="H544" s="30">
        <f>VLOOKUP(B544,'Dữ liệu TQNM'!$B$7:$F$769,5,0)</f>
        <v>2</v>
      </c>
      <c r="I544" s="30">
        <f>COUNTIF('Nộp báo cáo'!$A$3:$A$1993,'Tổng 24-25'!B544)</f>
        <v>3</v>
      </c>
      <c r="J544" s="91"/>
    </row>
    <row r="545" spans="1:10" s="18" customFormat="1" ht="18.75" customHeight="1" x14ac:dyDescent="0.3">
      <c r="A545" s="19">
        <v>539</v>
      </c>
      <c r="B545" s="20">
        <v>2005223997</v>
      </c>
      <c r="C545" s="21" t="s">
        <v>198</v>
      </c>
      <c r="D545" s="22" t="s">
        <v>147</v>
      </c>
      <c r="E545" s="20" t="s">
        <v>179</v>
      </c>
      <c r="F545" s="23" t="s">
        <v>196</v>
      </c>
      <c r="G545" s="30" t="s">
        <v>197</v>
      </c>
      <c r="H545" s="30">
        <f>VLOOKUP(B545,'Dữ liệu TQNM'!$B$7:$F$769,5,0)</f>
        <v>3</v>
      </c>
      <c r="I545" s="30">
        <f>COUNTIF('Nộp báo cáo'!$A$3:$A$1993,'Tổng 24-25'!B545)</f>
        <v>3</v>
      </c>
      <c r="J545" s="91"/>
    </row>
    <row r="546" spans="1:10" s="18" customFormat="1" ht="18.75" customHeight="1" x14ac:dyDescent="0.3">
      <c r="A546" s="19">
        <v>540</v>
      </c>
      <c r="B546" s="20">
        <v>2005224071</v>
      </c>
      <c r="C546" s="21" t="s">
        <v>199</v>
      </c>
      <c r="D546" s="22" t="s">
        <v>65</v>
      </c>
      <c r="E546" s="20" t="s">
        <v>200</v>
      </c>
      <c r="F546" s="23" t="s">
        <v>196</v>
      </c>
      <c r="G546" s="30" t="s">
        <v>197</v>
      </c>
      <c r="H546" s="30">
        <f>VLOOKUP(B546,'Dữ liệu TQNM'!$B$7:$F$769,5,0)</f>
        <v>3</v>
      </c>
      <c r="I546" s="30">
        <f>COUNTIF('Nộp báo cáo'!$A$3:$A$1993,'Tổng 24-25'!B546)</f>
        <v>3</v>
      </c>
      <c r="J546" s="91"/>
    </row>
    <row r="547" spans="1:10" s="18" customFormat="1" ht="18.75" customHeight="1" x14ac:dyDescent="0.3">
      <c r="A547" s="19">
        <v>541</v>
      </c>
      <c r="B547" s="20">
        <v>2005224093</v>
      </c>
      <c r="C547" s="21" t="s">
        <v>275</v>
      </c>
      <c r="D547" s="22" t="s">
        <v>65</v>
      </c>
      <c r="E547" s="20" t="s">
        <v>276</v>
      </c>
      <c r="F547" s="23" t="s">
        <v>196</v>
      </c>
      <c r="G547" s="30" t="s">
        <v>197</v>
      </c>
      <c r="H547" s="30">
        <f>VLOOKUP(B547,'Dữ liệu TQNM'!$B$7:$F$769,5,0)</f>
        <v>3</v>
      </c>
      <c r="I547" s="30">
        <f>COUNTIF('Nộp báo cáo'!$A$3:$A$1993,'Tổng 24-25'!B547)</f>
        <v>3</v>
      </c>
      <c r="J547" s="91"/>
    </row>
    <row r="548" spans="1:10" s="18" customFormat="1" ht="18.75" customHeight="1" x14ac:dyDescent="0.3">
      <c r="A548" s="19">
        <v>542</v>
      </c>
      <c r="B548" s="20">
        <v>2005224086</v>
      </c>
      <c r="C548" s="21" t="s">
        <v>252</v>
      </c>
      <c r="D548" s="22" t="s">
        <v>65</v>
      </c>
      <c r="E548" s="20" t="s">
        <v>941</v>
      </c>
      <c r="F548" s="23" t="s">
        <v>196</v>
      </c>
      <c r="G548" s="30" t="s">
        <v>197</v>
      </c>
      <c r="H548" s="30">
        <f>VLOOKUP(B548,'Dữ liệu TQNM'!$B$7:$F$769,5,0)</f>
        <v>2</v>
      </c>
      <c r="I548" s="30">
        <f>COUNTIF('Nộp báo cáo'!$A$3:$A$1993,'Tổng 24-25'!B548)</f>
        <v>3</v>
      </c>
      <c r="J548" s="91"/>
    </row>
    <row r="549" spans="1:10" s="18" customFormat="1" ht="18.75" customHeight="1" x14ac:dyDescent="0.3">
      <c r="A549" s="19">
        <v>543</v>
      </c>
      <c r="B549" s="20">
        <v>2005224215</v>
      </c>
      <c r="C549" s="21" t="s">
        <v>82</v>
      </c>
      <c r="D549" s="22" t="s">
        <v>208</v>
      </c>
      <c r="E549" s="20" t="s">
        <v>253</v>
      </c>
      <c r="F549" s="23" t="s">
        <v>196</v>
      </c>
      <c r="G549" s="30" t="s">
        <v>197</v>
      </c>
      <c r="H549" s="30">
        <f>VLOOKUP(B549,'Dữ liệu TQNM'!$B$7:$F$769,5,0)</f>
        <v>2</v>
      </c>
      <c r="I549" s="30">
        <f>COUNTIF('Nộp báo cáo'!$A$3:$A$1993,'Tổng 24-25'!B549)</f>
        <v>3</v>
      </c>
      <c r="J549" s="91"/>
    </row>
    <row r="550" spans="1:10" s="18" customFormat="1" ht="18.75" customHeight="1" x14ac:dyDescent="0.3">
      <c r="A550" s="19">
        <v>544</v>
      </c>
      <c r="B550" s="20">
        <v>2005224214</v>
      </c>
      <c r="C550" s="21" t="s">
        <v>207</v>
      </c>
      <c r="D550" s="22" t="s">
        <v>208</v>
      </c>
      <c r="E550" s="20" t="s">
        <v>209</v>
      </c>
      <c r="F550" s="23" t="s">
        <v>196</v>
      </c>
      <c r="G550" s="30" t="s">
        <v>197</v>
      </c>
      <c r="H550" s="30">
        <f>VLOOKUP(B550,'Dữ liệu TQNM'!$B$7:$F$769,5,0)</f>
        <v>2</v>
      </c>
      <c r="I550" s="30">
        <f>COUNTIF('Nộp báo cáo'!$A$3:$A$1993,'Tổng 24-25'!B550)</f>
        <v>1</v>
      </c>
      <c r="J550" s="91"/>
    </row>
    <row r="551" spans="1:10" ht="18.75" customHeight="1" x14ac:dyDescent="0.3">
      <c r="A551" s="31">
        <v>545</v>
      </c>
      <c r="B551" s="107">
        <v>2005224313</v>
      </c>
      <c r="C551" s="33" t="s">
        <v>1197</v>
      </c>
      <c r="D551" s="34" t="s">
        <v>1198</v>
      </c>
      <c r="E551" s="32" t="s">
        <v>908</v>
      </c>
      <c r="F551" s="35" t="s">
        <v>196</v>
      </c>
      <c r="G551" s="36" t="s">
        <v>197</v>
      </c>
      <c r="H551" s="30">
        <f>VLOOKUP(B551,'Dữ liệu TQNM'!$B$7:$F$769,5,0)</f>
        <v>0</v>
      </c>
      <c r="I551" s="30">
        <f>COUNTIF('Nộp báo cáo'!$A$3:$A$1993,'Tổng 24-25'!B551)</f>
        <v>0</v>
      </c>
      <c r="J551" s="91"/>
    </row>
    <row r="552" spans="1:10" s="18" customFormat="1" ht="18.75" customHeight="1" x14ac:dyDescent="0.3">
      <c r="A552" s="19">
        <v>546</v>
      </c>
      <c r="B552" s="20">
        <v>2005224836</v>
      </c>
      <c r="C552" s="21" t="s">
        <v>223</v>
      </c>
      <c r="D552" s="22" t="s">
        <v>254</v>
      </c>
      <c r="E552" s="20" t="s">
        <v>255</v>
      </c>
      <c r="F552" s="23" t="s">
        <v>196</v>
      </c>
      <c r="G552" s="30" t="s">
        <v>197</v>
      </c>
      <c r="H552" s="30">
        <f>VLOOKUP(B552,'Dữ liệu TQNM'!$B$7:$F$769,5,0)</f>
        <v>2</v>
      </c>
      <c r="I552" s="30">
        <f>COUNTIF('Nộp báo cáo'!$A$3:$A$1993,'Tổng 24-25'!B552)</f>
        <v>3</v>
      </c>
      <c r="J552" s="91"/>
    </row>
    <row r="553" spans="1:10" s="18" customFormat="1" ht="18.75" customHeight="1" x14ac:dyDescent="0.3">
      <c r="A553" s="19">
        <v>547</v>
      </c>
      <c r="B553" s="20">
        <v>2005224932</v>
      </c>
      <c r="C553" s="21" t="s">
        <v>210</v>
      </c>
      <c r="D553" s="22" t="s">
        <v>211</v>
      </c>
      <c r="E553" s="20" t="s">
        <v>212</v>
      </c>
      <c r="F553" s="23" t="s">
        <v>196</v>
      </c>
      <c r="G553" s="30" t="s">
        <v>197</v>
      </c>
      <c r="H553" s="30">
        <f>VLOOKUP(B553,'Dữ liệu TQNM'!$B$7:$F$769,5,0)</f>
        <v>3</v>
      </c>
      <c r="I553" s="30">
        <f>COUNTIF('Nộp báo cáo'!$A$3:$A$1993,'Tổng 24-25'!B553)</f>
        <v>4</v>
      </c>
      <c r="J553" s="91"/>
    </row>
    <row r="554" spans="1:10" s="18" customFormat="1" ht="18.75" customHeight="1" x14ac:dyDescent="0.3">
      <c r="A554" s="19">
        <v>548</v>
      </c>
      <c r="B554" s="20">
        <v>2005225103</v>
      </c>
      <c r="C554" s="21" t="s">
        <v>256</v>
      </c>
      <c r="D554" s="22" t="s">
        <v>125</v>
      </c>
      <c r="E554" s="20" t="s">
        <v>1168</v>
      </c>
      <c r="F554" s="23" t="s">
        <v>196</v>
      </c>
      <c r="G554" s="30" t="s">
        <v>197</v>
      </c>
      <c r="H554" s="30">
        <f>VLOOKUP(B554,'Dữ liệu TQNM'!$B$7:$F$769,5,0)</f>
        <v>3</v>
      </c>
      <c r="I554" s="30">
        <f>COUNTIF('Nộp báo cáo'!$A$3:$A$1993,'Tổng 24-25'!B554)</f>
        <v>0</v>
      </c>
      <c r="J554" s="91"/>
    </row>
    <row r="555" spans="1:10" ht="18.75" customHeight="1" x14ac:dyDescent="0.3">
      <c r="A555" s="31">
        <v>549</v>
      </c>
      <c r="B555" s="107">
        <v>2005224362</v>
      </c>
      <c r="C555" s="33" t="s">
        <v>156</v>
      </c>
      <c r="D555" s="34" t="s">
        <v>54</v>
      </c>
      <c r="E555" s="32" t="s">
        <v>166</v>
      </c>
      <c r="F555" s="35" t="s">
        <v>196</v>
      </c>
      <c r="G555" s="36" t="s">
        <v>197</v>
      </c>
      <c r="H555" s="30">
        <f>VLOOKUP(B555,'Dữ liệu TQNM'!$B$7:$F$769,5,0)</f>
        <v>0</v>
      </c>
      <c r="I555" s="30">
        <f>COUNTIF('Nộp báo cáo'!$A$3:$A$1993,'Tổng 24-25'!B555)</f>
        <v>0</v>
      </c>
      <c r="J555" s="91"/>
    </row>
    <row r="556" spans="1:10" ht="18.75" customHeight="1" x14ac:dyDescent="0.3">
      <c r="A556" s="31">
        <v>550</v>
      </c>
      <c r="B556" s="107">
        <v>2005224383</v>
      </c>
      <c r="C556" s="33" t="s">
        <v>1199</v>
      </c>
      <c r="D556" s="34" t="s">
        <v>1072</v>
      </c>
      <c r="E556" s="32" t="s">
        <v>1029</v>
      </c>
      <c r="F556" s="35" t="s">
        <v>196</v>
      </c>
      <c r="G556" s="36" t="s">
        <v>197</v>
      </c>
      <c r="H556" s="30">
        <f>VLOOKUP(B556,'Dữ liệu TQNM'!$B$7:$F$769,5,0)</f>
        <v>0</v>
      </c>
      <c r="I556" s="30">
        <f>COUNTIF('Nộp báo cáo'!$A$3:$A$1993,'Tổng 24-25'!B556)</f>
        <v>0</v>
      </c>
      <c r="J556" s="91"/>
    </row>
    <row r="557" spans="1:10" s="18" customFormat="1" ht="18.75" customHeight="1" x14ac:dyDescent="0.3">
      <c r="A557" s="19">
        <v>551</v>
      </c>
      <c r="B557" s="20">
        <v>2005225378</v>
      </c>
      <c r="C557" s="21" t="s">
        <v>257</v>
      </c>
      <c r="D557" s="22" t="s">
        <v>258</v>
      </c>
      <c r="E557" s="20" t="s">
        <v>164</v>
      </c>
      <c r="F557" s="23" t="s">
        <v>196</v>
      </c>
      <c r="G557" s="30" t="s">
        <v>197</v>
      </c>
      <c r="H557" s="30">
        <f>VLOOKUP(B557,'Dữ liệu TQNM'!$B$7:$F$769,5,0)</f>
        <v>3</v>
      </c>
      <c r="I557" s="30">
        <f>COUNTIF('Nộp báo cáo'!$A$3:$A$1993,'Tổng 24-25'!B557)</f>
        <v>3</v>
      </c>
      <c r="J557" s="91"/>
    </row>
    <row r="558" spans="1:10" s="18" customFormat="1" ht="18.75" customHeight="1" x14ac:dyDescent="0.3">
      <c r="A558" s="19">
        <v>552</v>
      </c>
      <c r="B558" s="20">
        <v>2005225595</v>
      </c>
      <c r="C558" s="21" t="s">
        <v>259</v>
      </c>
      <c r="D558" s="22" t="s">
        <v>115</v>
      </c>
      <c r="E558" s="20" t="s">
        <v>260</v>
      </c>
      <c r="F558" s="23" t="s">
        <v>196</v>
      </c>
      <c r="G558" s="30" t="s">
        <v>197</v>
      </c>
      <c r="H558" s="30">
        <f>VLOOKUP(B558,'Dữ liệu TQNM'!$B$7:$F$769,5,0)</f>
        <v>2</v>
      </c>
      <c r="I558" s="30">
        <f>COUNTIF('Nộp báo cáo'!$A$3:$A$1993,'Tổng 24-25'!B558)</f>
        <v>3</v>
      </c>
      <c r="J558" s="91"/>
    </row>
    <row r="559" spans="1:10" s="18" customFormat="1" ht="18.75" customHeight="1" x14ac:dyDescent="0.3">
      <c r="A559" s="19">
        <v>553</v>
      </c>
      <c r="B559" s="20">
        <v>2005225743</v>
      </c>
      <c r="C559" s="21" t="s">
        <v>279</v>
      </c>
      <c r="D559" s="22" t="s">
        <v>280</v>
      </c>
      <c r="E559" s="20" t="s">
        <v>193</v>
      </c>
      <c r="F559" s="23" t="s">
        <v>196</v>
      </c>
      <c r="G559" s="30" t="s">
        <v>197</v>
      </c>
      <c r="H559" s="30">
        <f>VLOOKUP(B559,'Dữ liệu TQNM'!$B$7:$F$769,5,0)</f>
        <v>2</v>
      </c>
      <c r="I559" s="30">
        <f>COUNTIF('Nộp báo cáo'!$A$3:$A$1993,'Tổng 24-25'!B559)</f>
        <v>4</v>
      </c>
      <c r="J559" s="91"/>
    </row>
    <row r="560" spans="1:10" s="18" customFormat="1" ht="18.75" customHeight="1" x14ac:dyDescent="0.3">
      <c r="A560" s="19">
        <v>554</v>
      </c>
      <c r="B560" s="20">
        <v>2005225793</v>
      </c>
      <c r="C560" s="21" t="s">
        <v>261</v>
      </c>
      <c r="D560" s="22" t="s">
        <v>262</v>
      </c>
      <c r="E560" s="20" t="s">
        <v>263</v>
      </c>
      <c r="F560" s="23" t="s">
        <v>196</v>
      </c>
      <c r="G560" s="30" t="s">
        <v>197</v>
      </c>
      <c r="H560" s="30">
        <f>VLOOKUP(B560,'Dữ liệu TQNM'!$B$7:$F$769,5,0)</f>
        <v>3</v>
      </c>
      <c r="I560" s="30">
        <f>COUNTIF('Nộp báo cáo'!$A$3:$A$1993,'Tổng 24-25'!B560)</f>
        <v>3</v>
      </c>
      <c r="J560" s="91"/>
    </row>
    <row r="561" spans="1:10" s="18" customFormat="1" ht="18.75" customHeight="1" x14ac:dyDescent="0.3">
      <c r="A561" s="19">
        <v>555</v>
      </c>
      <c r="B561" s="20">
        <v>2005225998</v>
      </c>
      <c r="C561" s="21" t="s">
        <v>281</v>
      </c>
      <c r="D561" s="22" t="s">
        <v>56</v>
      </c>
      <c r="E561" s="20" t="s">
        <v>982</v>
      </c>
      <c r="F561" s="23" t="s">
        <v>196</v>
      </c>
      <c r="G561" s="30" t="s">
        <v>197</v>
      </c>
      <c r="H561" s="30">
        <f>VLOOKUP(B561,'Dữ liệu TQNM'!$B$7:$F$769,5,0)</f>
        <v>2</v>
      </c>
      <c r="I561" s="30">
        <f>COUNTIF('Nộp báo cáo'!$A$3:$A$1993,'Tổng 24-25'!B561)</f>
        <v>3</v>
      </c>
      <c r="J561" s="91"/>
    </row>
    <row r="562" spans="1:10" s="18" customFormat="1" ht="18.75" customHeight="1" x14ac:dyDescent="0.3">
      <c r="A562" s="19">
        <v>556</v>
      </c>
      <c r="B562" s="20">
        <v>2005226119</v>
      </c>
      <c r="C562" s="21" t="s">
        <v>264</v>
      </c>
      <c r="D562" s="22" t="s">
        <v>135</v>
      </c>
      <c r="E562" s="20" t="s">
        <v>265</v>
      </c>
      <c r="F562" s="23" t="s">
        <v>196</v>
      </c>
      <c r="G562" s="30" t="s">
        <v>197</v>
      </c>
      <c r="H562" s="30">
        <f>VLOOKUP(B562,'Dữ liệu TQNM'!$B$7:$F$769,5,0)</f>
        <v>4</v>
      </c>
      <c r="I562" s="30">
        <f>COUNTIF('Nộp báo cáo'!$A$3:$A$1993,'Tổng 24-25'!B562)</f>
        <v>3</v>
      </c>
      <c r="J562" s="91"/>
    </row>
    <row r="563" spans="1:10" s="18" customFormat="1" ht="18.75" customHeight="1" x14ac:dyDescent="0.3">
      <c r="A563" s="19">
        <v>557</v>
      </c>
      <c r="B563" s="20">
        <v>2005220251</v>
      </c>
      <c r="C563" s="21" t="s">
        <v>95</v>
      </c>
      <c r="D563" s="22" t="s">
        <v>170</v>
      </c>
      <c r="E563" s="20" t="s">
        <v>282</v>
      </c>
      <c r="F563" s="23" t="s">
        <v>283</v>
      </c>
      <c r="G563" s="30" t="s">
        <v>197</v>
      </c>
      <c r="H563" s="30">
        <f>VLOOKUP(B563,'Dữ liệu TQNM'!$B$7:$F$769,5,0)</f>
        <v>3</v>
      </c>
      <c r="I563" s="30">
        <f>COUNTIF('Nộp báo cáo'!$A$3:$A$1993,'Tổng 24-25'!B563)</f>
        <v>3</v>
      </c>
      <c r="J563" s="91"/>
    </row>
    <row r="564" spans="1:10" ht="18.75" customHeight="1" x14ac:dyDescent="0.3">
      <c r="A564" s="31">
        <v>558</v>
      </c>
      <c r="B564" s="107">
        <v>2005220377</v>
      </c>
      <c r="C564" s="33" t="s">
        <v>1200</v>
      </c>
      <c r="D564" s="34" t="s">
        <v>570</v>
      </c>
      <c r="E564" s="32" t="s">
        <v>285</v>
      </c>
      <c r="F564" s="35" t="s">
        <v>283</v>
      </c>
      <c r="G564" s="36" t="s">
        <v>197</v>
      </c>
      <c r="H564" s="30">
        <f>VLOOKUP(B564,'Dữ liệu TQNM'!$B$7:$F$769,5,0)</f>
        <v>0</v>
      </c>
      <c r="I564" s="30">
        <f>COUNTIF('Nộp báo cáo'!$A$3:$A$1993,'Tổng 24-25'!B564)</f>
        <v>2</v>
      </c>
      <c r="J564" s="104" t="s">
        <v>2041</v>
      </c>
    </row>
    <row r="565" spans="1:10" ht="18.75" customHeight="1" x14ac:dyDescent="0.3">
      <c r="A565" s="31">
        <v>559</v>
      </c>
      <c r="B565" s="107">
        <v>2005220908</v>
      </c>
      <c r="C565" s="33" t="s">
        <v>1201</v>
      </c>
      <c r="D565" s="34" t="s">
        <v>10</v>
      </c>
      <c r="E565" s="32" t="s">
        <v>1202</v>
      </c>
      <c r="F565" s="35" t="s">
        <v>283</v>
      </c>
      <c r="G565" s="36" t="s">
        <v>197</v>
      </c>
      <c r="H565" s="30">
        <f>VLOOKUP(B565,'Dữ liệu TQNM'!$B$7:$F$769,5,0)</f>
        <v>0</v>
      </c>
      <c r="I565" s="30">
        <f>COUNTIF('Nộp báo cáo'!$A$3:$A$1993,'Tổng 24-25'!B565)</f>
        <v>0</v>
      </c>
      <c r="J565" s="91"/>
    </row>
    <row r="566" spans="1:10" ht="18.75" customHeight="1" x14ac:dyDescent="0.3">
      <c r="A566" s="31">
        <v>560</v>
      </c>
      <c r="B566" s="107">
        <v>2005220925</v>
      </c>
      <c r="C566" s="33" t="s">
        <v>1203</v>
      </c>
      <c r="D566" s="34" t="s">
        <v>10</v>
      </c>
      <c r="E566" s="32" t="s">
        <v>651</v>
      </c>
      <c r="F566" s="35" t="s">
        <v>283</v>
      </c>
      <c r="G566" s="36" t="s">
        <v>197</v>
      </c>
      <c r="H566" s="30">
        <f>VLOOKUP(B566,'Dữ liệu TQNM'!$B$7:$F$769,5,0)</f>
        <v>0</v>
      </c>
      <c r="I566" s="30">
        <f>COUNTIF('Nộp báo cáo'!$A$3:$A$1993,'Tổng 24-25'!B566)</f>
        <v>0</v>
      </c>
      <c r="J566" s="91"/>
    </row>
    <row r="567" spans="1:10" s="18" customFormat="1" ht="18.75" customHeight="1" x14ac:dyDescent="0.3">
      <c r="A567" s="19">
        <v>561</v>
      </c>
      <c r="B567" s="20">
        <v>2005220875</v>
      </c>
      <c r="C567" s="21" t="s">
        <v>284</v>
      </c>
      <c r="D567" s="22" t="s">
        <v>10</v>
      </c>
      <c r="E567" s="20" t="s">
        <v>1204</v>
      </c>
      <c r="F567" s="23" t="s">
        <v>283</v>
      </c>
      <c r="G567" s="30" t="s">
        <v>197</v>
      </c>
      <c r="H567" s="30">
        <f>VLOOKUP(B567,'Dữ liệu TQNM'!$B$7:$F$769,5,0)</f>
        <v>3</v>
      </c>
      <c r="I567" s="30">
        <f>COUNTIF('Nộp báo cáo'!$A$3:$A$1993,'Tổng 24-25'!B567)</f>
        <v>3</v>
      </c>
      <c r="J567" s="91"/>
    </row>
    <row r="568" spans="1:10" ht="18.75" customHeight="1" x14ac:dyDescent="0.3">
      <c r="A568" s="31">
        <v>562</v>
      </c>
      <c r="B568" s="107">
        <v>2005221012</v>
      </c>
      <c r="C568" s="33" t="s">
        <v>1205</v>
      </c>
      <c r="D568" s="34" t="s">
        <v>770</v>
      </c>
      <c r="E568" s="32" t="s">
        <v>285</v>
      </c>
      <c r="F568" s="35" t="s">
        <v>283</v>
      </c>
      <c r="G568" s="36" t="s">
        <v>197</v>
      </c>
      <c r="H568" s="30">
        <f>VLOOKUP(B568,'Dữ liệu TQNM'!$B$7:$F$769,5,0)</f>
        <v>0</v>
      </c>
      <c r="I568" s="30">
        <f>COUNTIF('Nộp báo cáo'!$A$3:$A$1993,'Tổng 24-25'!B568)</f>
        <v>0</v>
      </c>
      <c r="J568" s="91"/>
    </row>
    <row r="569" spans="1:10" ht="18.75" customHeight="1" x14ac:dyDescent="0.3">
      <c r="A569" s="31">
        <v>563</v>
      </c>
      <c r="B569" s="107">
        <v>2005220812</v>
      </c>
      <c r="C569" s="33" t="s">
        <v>614</v>
      </c>
      <c r="D569" s="34" t="s">
        <v>271</v>
      </c>
      <c r="E569" s="32" t="s">
        <v>615</v>
      </c>
      <c r="F569" s="35" t="s">
        <v>283</v>
      </c>
      <c r="G569" s="36" t="s">
        <v>197</v>
      </c>
      <c r="H569" s="30">
        <f>VLOOKUP(B569,'Dữ liệu TQNM'!$B$7:$F$769,5,0)</f>
        <v>1</v>
      </c>
      <c r="I569" s="30">
        <f>COUNTIF('Nộp báo cáo'!$A$3:$A$1993,'Tổng 24-25'!B569)</f>
        <v>2</v>
      </c>
      <c r="J569" s="91"/>
    </row>
    <row r="570" spans="1:10" ht="18.75" customHeight="1" x14ac:dyDescent="0.3">
      <c r="A570" s="31">
        <v>564</v>
      </c>
      <c r="B570" s="107">
        <v>2005220785</v>
      </c>
      <c r="C570" s="33" t="s">
        <v>1206</v>
      </c>
      <c r="D570" s="34" t="s">
        <v>84</v>
      </c>
      <c r="E570" s="32" t="s">
        <v>185</v>
      </c>
      <c r="F570" s="35" t="s">
        <v>283</v>
      </c>
      <c r="G570" s="36" t="s">
        <v>197</v>
      </c>
      <c r="H570" s="30">
        <f>VLOOKUP(B570,'Dữ liệu TQNM'!$B$7:$F$769,5,0)</f>
        <v>2</v>
      </c>
      <c r="I570" s="30">
        <f>COUNTIF('Nộp báo cáo'!$A$3:$A$1993,'Tổng 24-25'!B570)</f>
        <v>3</v>
      </c>
      <c r="J570" s="91"/>
    </row>
    <row r="571" spans="1:10" ht="18.75" customHeight="1" x14ac:dyDescent="0.3">
      <c r="A571" s="31">
        <v>565</v>
      </c>
      <c r="B571" s="107">
        <v>2005221274</v>
      </c>
      <c r="C571" s="33" t="s">
        <v>1207</v>
      </c>
      <c r="D571" s="34" t="s">
        <v>172</v>
      </c>
      <c r="E571" s="32" t="s">
        <v>359</v>
      </c>
      <c r="F571" s="35" t="s">
        <v>283</v>
      </c>
      <c r="G571" s="36" t="s">
        <v>197</v>
      </c>
      <c r="H571" s="30">
        <f>VLOOKUP(B571,'Dữ liệu TQNM'!$B$7:$F$769,5,0)</f>
        <v>0</v>
      </c>
      <c r="I571" s="30">
        <f>COUNTIF('Nộp báo cáo'!$A$3:$A$1993,'Tổng 24-25'!B571)</f>
        <v>0</v>
      </c>
      <c r="J571" s="91"/>
    </row>
    <row r="572" spans="1:10" s="18" customFormat="1" ht="18.75" customHeight="1" x14ac:dyDescent="0.3">
      <c r="A572" s="19">
        <v>566</v>
      </c>
      <c r="B572" s="20">
        <v>2005221364</v>
      </c>
      <c r="C572" s="21" t="s">
        <v>45</v>
      </c>
      <c r="D572" s="22" t="s">
        <v>105</v>
      </c>
      <c r="E572" s="20" t="s">
        <v>285</v>
      </c>
      <c r="F572" s="23" t="s">
        <v>283</v>
      </c>
      <c r="G572" s="30" t="s">
        <v>197</v>
      </c>
      <c r="H572" s="30">
        <f>VLOOKUP(B572,'Dữ liệu TQNM'!$B$7:$F$769,5,0)</f>
        <v>3</v>
      </c>
      <c r="I572" s="30">
        <f>COUNTIF('Nộp báo cáo'!$A$3:$A$1993,'Tổng 24-25'!B572)</f>
        <v>1</v>
      </c>
      <c r="J572" s="91"/>
    </row>
    <row r="573" spans="1:10" ht="18.75" customHeight="1" x14ac:dyDescent="0.3">
      <c r="A573" s="31">
        <v>567</v>
      </c>
      <c r="B573" s="107">
        <v>2005221545</v>
      </c>
      <c r="C573" s="33" t="s">
        <v>1208</v>
      </c>
      <c r="D573" s="34" t="s">
        <v>1209</v>
      </c>
      <c r="E573" s="32" t="s">
        <v>689</v>
      </c>
      <c r="F573" s="35" t="s">
        <v>283</v>
      </c>
      <c r="G573" s="36" t="s">
        <v>197</v>
      </c>
      <c r="H573" s="30">
        <f>VLOOKUP(B573,'Dữ liệu TQNM'!$B$7:$F$769,5,0)</f>
        <v>0</v>
      </c>
      <c r="I573" s="30">
        <f>COUNTIF('Nộp báo cáo'!$A$3:$A$1993,'Tổng 24-25'!B573)</f>
        <v>0</v>
      </c>
      <c r="J573" s="91"/>
    </row>
    <row r="574" spans="1:10" s="18" customFormat="1" ht="18.75" customHeight="1" x14ac:dyDescent="0.3">
      <c r="A574" s="19">
        <v>568</v>
      </c>
      <c r="B574" s="20">
        <v>2005221587</v>
      </c>
      <c r="C574" s="21" t="s">
        <v>286</v>
      </c>
      <c r="D574" s="22" t="s">
        <v>120</v>
      </c>
      <c r="E574" s="20" t="s">
        <v>287</v>
      </c>
      <c r="F574" s="23" t="s">
        <v>283</v>
      </c>
      <c r="G574" s="30" t="s">
        <v>197</v>
      </c>
      <c r="H574" s="30">
        <f>VLOOKUP(B574,'Dữ liệu TQNM'!$B$7:$F$769,5,0)</f>
        <v>2</v>
      </c>
      <c r="I574" s="30">
        <f>COUNTIF('Nộp báo cáo'!$A$3:$A$1993,'Tổng 24-25'!B574)</f>
        <v>3</v>
      </c>
      <c r="J574" s="91"/>
    </row>
    <row r="575" spans="1:10" s="18" customFormat="1" ht="18.75" customHeight="1" x14ac:dyDescent="0.3">
      <c r="A575" s="19">
        <v>569</v>
      </c>
      <c r="B575" s="20">
        <v>2005221866</v>
      </c>
      <c r="C575" s="21" t="s">
        <v>288</v>
      </c>
      <c r="D575" s="22" t="s">
        <v>289</v>
      </c>
      <c r="E575" s="20" t="s">
        <v>971</v>
      </c>
      <c r="F575" s="23" t="s">
        <v>283</v>
      </c>
      <c r="G575" s="30" t="s">
        <v>197</v>
      </c>
      <c r="H575" s="30">
        <f>VLOOKUP(B575,'Dữ liệu TQNM'!$B$7:$F$769,5,0)</f>
        <v>3</v>
      </c>
      <c r="I575" s="30">
        <f>COUNTIF('Nộp báo cáo'!$A$3:$A$1993,'Tổng 24-25'!B575)</f>
        <v>4</v>
      </c>
      <c r="J575" s="91"/>
    </row>
    <row r="576" spans="1:10" ht="18.75" customHeight="1" x14ac:dyDescent="0.3">
      <c r="A576" s="31">
        <v>570</v>
      </c>
      <c r="B576" s="107">
        <v>2005221990</v>
      </c>
      <c r="C576" s="33" t="s">
        <v>1210</v>
      </c>
      <c r="D576" s="34" t="s">
        <v>47</v>
      </c>
      <c r="E576" s="32" t="s">
        <v>1211</v>
      </c>
      <c r="F576" s="35" t="s">
        <v>283</v>
      </c>
      <c r="G576" s="36" t="s">
        <v>197</v>
      </c>
      <c r="H576" s="30">
        <f>VLOOKUP(B576,'Dữ liệu TQNM'!$B$7:$F$769,5,0)</f>
        <v>0</v>
      </c>
      <c r="I576" s="30">
        <f>COUNTIF('Nộp báo cáo'!$A$3:$A$1993,'Tổng 24-25'!B576)</f>
        <v>0</v>
      </c>
      <c r="J576" s="91"/>
    </row>
    <row r="577" spans="1:10" ht="18.75" customHeight="1" x14ac:dyDescent="0.3">
      <c r="A577" s="31">
        <v>571</v>
      </c>
      <c r="B577" s="107">
        <v>2005222108</v>
      </c>
      <c r="C577" s="33" t="s">
        <v>1212</v>
      </c>
      <c r="D577" s="34" t="s">
        <v>747</v>
      </c>
      <c r="E577" s="32" t="s">
        <v>1040</v>
      </c>
      <c r="F577" s="35" t="s">
        <v>283</v>
      </c>
      <c r="G577" s="36" t="s">
        <v>197</v>
      </c>
      <c r="H577" s="30">
        <f>VLOOKUP(B577,'Dữ liệu TQNM'!$B$7:$F$769,5,0)</f>
        <v>0</v>
      </c>
      <c r="I577" s="30">
        <f>COUNTIF('Nộp báo cáo'!$A$3:$A$1993,'Tổng 24-25'!B577)</f>
        <v>0</v>
      </c>
      <c r="J577" s="91"/>
    </row>
    <row r="578" spans="1:10" ht="18.75" customHeight="1" x14ac:dyDescent="0.3">
      <c r="A578" s="31">
        <v>572</v>
      </c>
      <c r="B578" s="107">
        <v>2005221940</v>
      </c>
      <c r="C578" s="33" t="s">
        <v>836</v>
      </c>
      <c r="D578" s="34" t="s">
        <v>904</v>
      </c>
      <c r="E578" s="32" t="s">
        <v>177</v>
      </c>
      <c r="F578" s="35" t="s">
        <v>283</v>
      </c>
      <c r="G578" s="36" t="s">
        <v>197</v>
      </c>
      <c r="H578" s="30">
        <f>VLOOKUP(B578,'Dữ liệu TQNM'!$B$7:$F$769,5,0)</f>
        <v>3</v>
      </c>
      <c r="I578" s="30">
        <f>COUNTIF('Nộp báo cáo'!$A$3:$A$1993,'Tổng 24-25'!B578)</f>
        <v>2</v>
      </c>
      <c r="J578" s="91"/>
    </row>
    <row r="579" spans="1:10" s="18" customFormat="1" ht="18.75" customHeight="1" x14ac:dyDescent="0.3">
      <c r="A579" s="19">
        <v>573</v>
      </c>
      <c r="B579" s="20">
        <v>2005222576</v>
      </c>
      <c r="C579" s="21" t="s">
        <v>290</v>
      </c>
      <c r="D579" s="22" t="s">
        <v>237</v>
      </c>
      <c r="E579" s="20" t="s">
        <v>291</v>
      </c>
      <c r="F579" s="23" t="s">
        <v>283</v>
      </c>
      <c r="G579" s="30" t="s">
        <v>197</v>
      </c>
      <c r="H579" s="30">
        <f>VLOOKUP(B579,'Dữ liệu TQNM'!$B$7:$F$769,5,0)</f>
        <v>2</v>
      </c>
      <c r="I579" s="30">
        <f>COUNTIF('Nộp báo cáo'!$A$3:$A$1993,'Tổng 24-25'!B579)</f>
        <v>2</v>
      </c>
      <c r="J579" s="91"/>
    </row>
    <row r="580" spans="1:10" s="18" customFormat="1" ht="18.75" customHeight="1" x14ac:dyDescent="0.3">
      <c r="A580" s="19">
        <v>574</v>
      </c>
      <c r="B580" s="20">
        <v>2005222886</v>
      </c>
      <c r="C580" s="21" t="s">
        <v>293</v>
      </c>
      <c r="D580" s="22" t="s">
        <v>92</v>
      </c>
      <c r="E580" s="20" t="s">
        <v>212</v>
      </c>
      <c r="F580" s="23" t="s">
        <v>283</v>
      </c>
      <c r="G580" s="30" t="s">
        <v>197</v>
      </c>
      <c r="H580" s="30">
        <f>VLOOKUP(B580,'Dữ liệu TQNM'!$B$7:$F$769,5,0)</f>
        <v>2</v>
      </c>
      <c r="I580" s="30">
        <f>COUNTIF('Nộp báo cáo'!$A$3:$A$1993,'Tổng 24-25'!B580)</f>
        <v>4</v>
      </c>
      <c r="J580" s="91"/>
    </row>
    <row r="581" spans="1:10" s="18" customFormat="1" ht="18.75" customHeight="1" x14ac:dyDescent="0.3">
      <c r="A581" s="19">
        <v>575</v>
      </c>
      <c r="B581" s="20">
        <v>2005222870</v>
      </c>
      <c r="C581" s="21" t="s">
        <v>95</v>
      </c>
      <c r="D581" s="22" t="s">
        <v>92</v>
      </c>
      <c r="E581" s="20" t="s">
        <v>983</v>
      </c>
      <c r="F581" s="23" t="s">
        <v>283</v>
      </c>
      <c r="G581" s="30" t="s">
        <v>197</v>
      </c>
      <c r="H581" s="30">
        <f>VLOOKUP(B581,'Dữ liệu TQNM'!$B$7:$F$769,5,0)</f>
        <v>3</v>
      </c>
      <c r="I581" s="30">
        <f>COUNTIF('Nộp báo cáo'!$A$3:$A$1993,'Tổng 24-25'!B581)</f>
        <v>3</v>
      </c>
      <c r="J581" s="91"/>
    </row>
    <row r="582" spans="1:10" s="18" customFormat="1" ht="18.75" customHeight="1" x14ac:dyDescent="0.3">
      <c r="A582" s="19">
        <v>576</v>
      </c>
      <c r="B582" s="20">
        <v>2005222893</v>
      </c>
      <c r="C582" s="21" t="s">
        <v>292</v>
      </c>
      <c r="D582" s="22" t="s">
        <v>92</v>
      </c>
      <c r="E582" s="20" t="s">
        <v>962</v>
      </c>
      <c r="F582" s="23" t="s">
        <v>283</v>
      </c>
      <c r="G582" s="30" t="s">
        <v>197</v>
      </c>
      <c r="H582" s="30">
        <f>VLOOKUP(B582,'Dữ liệu TQNM'!$B$7:$F$769,5,0)</f>
        <v>3</v>
      </c>
      <c r="I582" s="30">
        <f>COUNTIF('Nộp báo cáo'!$A$3:$A$1993,'Tổng 24-25'!B582)</f>
        <v>3</v>
      </c>
      <c r="J582" s="91"/>
    </row>
    <row r="583" spans="1:10" s="18" customFormat="1" ht="18.75" customHeight="1" x14ac:dyDescent="0.3">
      <c r="A583" s="19">
        <v>577</v>
      </c>
      <c r="B583" s="20">
        <v>2005222897</v>
      </c>
      <c r="C583" s="21" t="s">
        <v>293</v>
      </c>
      <c r="D583" s="22" t="s">
        <v>92</v>
      </c>
      <c r="E583" s="20" t="s">
        <v>1024</v>
      </c>
      <c r="F583" s="23" t="s">
        <v>283</v>
      </c>
      <c r="G583" s="30" t="s">
        <v>633</v>
      </c>
      <c r="H583" s="30">
        <f>VLOOKUP(B583,'Dữ liệu TQNM'!$B$7:$F$769,5,0)</f>
        <v>2</v>
      </c>
      <c r="I583" s="30">
        <f>COUNTIF('Nộp báo cáo'!$A$3:$A$1993,'Tổng 24-25'!B583)</f>
        <v>3</v>
      </c>
      <c r="J583" s="91"/>
    </row>
    <row r="584" spans="1:10" s="18" customFormat="1" ht="18.75" customHeight="1" x14ac:dyDescent="0.3">
      <c r="A584" s="19">
        <v>578</v>
      </c>
      <c r="B584" s="20">
        <v>2005222876</v>
      </c>
      <c r="C584" s="21" t="s">
        <v>635</v>
      </c>
      <c r="D584" s="22" t="s">
        <v>92</v>
      </c>
      <c r="E584" s="20" t="s">
        <v>345</v>
      </c>
      <c r="F584" s="23" t="s">
        <v>283</v>
      </c>
      <c r="G584" s="30" t="s">
        <v>633</v>
      </c>
      <c r="H584" s="30">
        <f>VLOOKUP(B584,'Dữ liệu TQNM'!$B$7:$F$769,5,0)</f>
        <v>3</v>
      </c>
      <c r="I584" s="30">
        <f>COUNTIF('Nộp báo cáo'!$A$3:$A$1993,'Tổng 24-25'!B584)</f>
        <v>3</v>
      </c>
      <c r="J584" s="91"/>
    </row>
    <row r="585" spans="1:10" s="18" customFormat="1" ht="18.75" customHeight="1" x14ac:dyDescent="0.3">
      <c r="A585" s="19">
        <v>579</v>
      </c>
      <c r="B585" s="20">
        <v>2005223187</v>
      </c>
      <c r="C585" s="21" t="s">
        <v>636</v>
      </c>
      <c r="D585" s="22" t="s">
        <v>637</v>
      </c>
      <c r="E585" s="20" t="s">
        <v>1213</v>
      </c>
      <c r="F585" s="23" t="s">
        <v>283</v>
      </c>
      <c r="G585" s="30" t="s">
        <v>633</v>
      </c>
      <c r="H585" s="30">
        <f>VLOOKUP(B585,'Dữ liệu TQNM'!$B$7:$F$769,5,0)</f>
        <v>3</v>
      </c>
      <c r="I585" s="30">
        <f>COUNTIF('Nộp báo cáo'!$A$3:$A$1993,'Tổng 24-25'!B585)</f>
        <v>3</v>
      </c>
      <c r="J585" s="91"/>
    </row>
    <row r="586" spans="1:10" s="18" customFormat="1" ht="18.75" customHeight="1" x14ac:dyDescent="0.3">
      <c r="A586" s="19">
        <v>580</v>
      </c>
      <c r="B586" s="20">
        <v>2005223358</v>
      </c>
      <c r="C586" s="21" t="s">
        <v>638</v>
      </c>
      <c r="D586" s="22" t="s">
        <v>76</v>
      </c>
      <c r="E586" s="20" t="s">
        <v>1005</v>
      </c>
      <c r="F586" s="23" t="s">
        <v>283</v>
      </c>
      <c r="G586" s="30" t="s">
        <v>633</v>
      </c>
      <c r="H586" s="30">
        <f>VLOOKUP(B586,'Dữ liệu TQNM'!$B$7:$F$769,5,0)</f>
        <v>2</v>
      </c>
      <c r="I586" s="30">
        <f>COUNTIF('Nộp báo cáo'!$A$3:$A$1993,'Tổng 24-25'!B586)</f>
        <v>3</v>
      </c>
      <c r="J586" s="91"/>
    </row>
    <row r="587" spans="1:10" s="18" customFormat="1" ht="18.75" customHeight="1" x14ac:dyDescent="0.3">
      <c r="A587" s="19">
        <v>581</v>
      </c>
      <c r="B587" s="20">
        <v>2005223352</v>
      </c>
      <c r="C587" s="21" t="s">
        <v>223</v>
      </c>
      <c r="D587" s="22" t="s">
        <v>76</v>
      </c>
      <c r="E587" s="20" t="s">
        <v>634</v>
      </c>
      <c r="F587" s="23" t="s">
        <v>283</v>
      </c>
      <c r="G587" s="30" t="s">
        <v>633</v>
      </c>
      <c r="H587" s="30">
        <f>VLOOKUP(B587,'Dữ liệu TQNM'!$B$7:$F$769,5,0)</f>
        <v>3</v>
      </c>
      <c r="I587" s="30">
        <f>COUNTIF('Nộp báo cáo'!$A$3:$A$1993,'Tổng 24-25'!B587)</f>
        <v>3</v>
      </c>
      <c r="J587" s="91"/>
    </row>
    <row r="588" spans="1:10" s="18" customFormat="1" ht="18.75" customHeight="1" x14ac:dyDescent="0.3">
      <c r="A588" s="19">
        <v>582</v>
      </c>
      <c r="B588" s="20">
        <v>2005222810</v>
      </c>
      <c r="C588" s="21" t="s">
        <v>299</v>
      </c>
      <c r="D588" s="22" t="s">
        <v>639</v>
      </c>
      <c r="E588" s="20" t="s">
        <v>640</v>
      </c>
      <c r="F588" s="23" t="s">
        <v>283</v>
      </c>
      <c r="G588" s="30" t="s">
        <v>633</v>
      </c>
      <c r="H588" s="30">
        <f>VLOOKUP(B588,'Dữ liệu TQNM'!$B$7:$F$769,5,0)</f>
        <v>2</v>
      </c>
      <c r="I588" s="30">
        <f>COUNTIF('Nộp báo cáo'!$A$3:$A$1993,'Tổng 24-25'!B588)</f>
        <v>3</v>
      </c>
      <c r="J588" s="91"/>
    </row>
    <row r="589" spans="1:10" ht="18.75" customHeight="1" x14ac:dyDescent="0.3">
      <c r="A589" s="31">
        <v>583</v>
      </c>
      <c r="B589" s="32">
        <v>2005223666</v>
      </c>
      <c r="C589" s="33" t="s">
        <v>665</v>
      </c>
      <c r="D589" s="34" t="s">
        <v>97</v>
      </c>
      <c r="E589" s="32" t="s">
        <v>666</v>
      </c>
      <c r="F589" s="35" t="s">
        <v>283</v>
      </c>
      <c r="G589" s="36" t="s">
        <v>633</v>
      </c>
      <c r="H589" s="30">
        <f>VLOOKUP(B589,'Dữ liệu TQNM'!$B$7:$F$769,5,0)</f>
        <v>2</v>
      </c>
      <c r="I589" s="30">
        <f>COUNTIF('Nộp báo cáo'!$A$3:$A$1993,'Tổng 24-25'!B589)</f>
        <v>0</v>
      </c>
      <c r="J589" s="91"/>
    </row>
    <row r="590" spans="1:10" s="18" customFormat="1" ht="18.75" customHeight="1" x14ac:dyDescent="0.3">
      <c r="A590" s="19">
        <v>584</v>
      </c>
      <c r="B590" s="20">
        <v>2005223802</v>
      </c>
      <c r="C590" s="21" t="s">
        <v>641</v>
      </c>
      <c r="D590" s="22" t="s">
        <v>642</v>
      </c>
      <c r="E590" s="20" t="s">
        <v>643</v>
      </c>
      <c r="F590" s="23" t="s">
        <v>283</v>
      </c>
      <c r="G590" s="30" t="s">
        <v>633</v>
      </c>
      <c r="H590" s="30">
        <f>VLOOKUP(B590,'Dữ liệu TQNM'!$B$7:$F$769,5,0)</f>
        <v>3</v>
      </c>
      <c r="I590" s="30">
        <f>COUNTIF('Nộp báo cáo'!$A$3:$A$1993,'Tổng 24-25'!B590)</f>
        <v>3</v>
      </c>
      <c r="J590" s="91"/>
    </row>
    <row r="591" spans="1:10" s="18" customFormat="1" ht="18.75" customHeight="1" x14ac:dyDescent="0.3">
      <c r="A591" s="19">
        <v>585</v>
      </c>
      <c r="B591" s="20">
        <v>2005223862</v>
      </c>
      <c r="C591" s="21" t="s">
        <v>199</v>
      </c>
      <c r="D591" s="22" t="s">
        <v>31</v>
      </c>
      <c r="E591" s="20" t="s">
        <v>575</v>
      </c>
      <c r="F591" s="23" t="s">
        <v>283</v>
      </c>
      <c r="G591" s="30" t="s">
        <v>633</v>
      </c>
      <c r="H591" s="30">
        <f>VLOOKUP(B591,'Dữ liệu TQNM'!$B$7:$F$769,5,0)</f>
        <v>3</v>
      </c>
      <c r="I591" s="30">
        <f>COUNTIF('Nộp báo cáo'!$A$3:$A$1993,'Tổng 24-25'!B591)</f>
        <v>3</v>
      </c>
      <c r="J591" s="91"/>
    </row>
    <row r="592" spans="1:10" s="18" customFormat="1" ht="18.75" customHeight="1" x14ac:dyDescent="0.3">
      <c r="A592" s="19">
        <v>586</v>
      </c>
      <c r="B592" s="20">
        <v>2005224143</v>
      </c>
      <c r="C592" s="21" t="s">
        <v>644</v>
      </c>
      <c r="D592" s="22" t="s">
        <v>422</v>
      </c>
      <c r="E592" s="20" t="s">
        <v>645</v>
      </c>
      <c r="F592" s="23" t="s">
        <v>283</v>
      </c>
      <c r="G592" s="30" t="s">
        <v>633</v>
      </c>
      <c r="H592" s="30">
        <f>VLOOKUP(B592,'Dữ liệu TQNM'!$B$7:$F$769,5,0)</f>
        <v>2</v>
      </c>
      <c r="I592" s="30">
        <f>COUNTIF('Nộp báo cáo'!$A$3:$A$1993,'Tổng 24-25'!B592)</f>
        <v>3</v>
      </c>
      <c r="J592" s="91"/>
    </row>
    <row r="593" spans="1:10" s="18" customFormat="1" ht="18.75" customHeight="1" x14ac:dyDescent="0.3">
      <c r="A593" s="19">
        <v>587</v>
      </c>
      <c r="B593" s="20">
        <v>2005224269</v>
      </c>
      <c r="C593" s="21" t="s">
        <v>646</v>
      </c>
      <c r="D593" s="22" t="s">
        <v>142</v>
      </c>
      <c r="E593" s="20" t="s">
        <v>263</v>
      </c>
      <c r="F593" s="23" t="s">
        <v>283</v>
      </c>
      <c r="G593" s="30" t="s">
        <v>633</v>
      </c>
      <c r="H593" s="30">
        <f>VLOOKUP(B593,'Dữ liệu TQNM'!$B$7:$F$769,5,0)</f>
        <v>2</v>
      </c>
      <c r="I593" s="30">
        <f>COUNTIF('Nộp báo cáo'!$A$3:$A$1993,'Tổng 24-25'!B593)</f>
        <v>3</v>
      </c>
      <c r="J593" s="91"/>
    </row>
    <row r="594" spans="1:10" s="18" customFormat="1" ht="18.75" customHeight="1" x14ac:dyDescent="0.3">
      <c r="A594" s="19">
        <v>588</v>
      </c>
      <c r="B594" s="20">
        <v>2005224747</v>
      </c>
      <c r="C594" s="21" t="s">
        <v>293</v>
      </c>
      <c r="D594" s="22" t="s">
        <v>102</v>
      </c>
      <c r="E594" s="20" t="s">
        <v>260</v>
      </c>
      <c r="F594" s="23" t="s">
        <v>283</v>
      </c>
      <c r="G594" s="30" t="s">
        <v>633</v>
      </c>
      <c r="H594" s="30">
        <f>VLOOKUP(B594,'Dữ liệu TQNM'!$B$7:$F$769,5,0)</f>
        <v>2</v>
      </c>
      <c r="I594" s="30">
        <f>COUNTIF('Nộp báo cáo'!$A$3:$A$1993,'Tổng 24-25'!B594)</f>
        <v>3</v>
      </c>
      <c r="J594" s="91"/>
    </row>
    <row r="595" spans="1:10" s="18" customFormat="1" ht="18.75" customHeight="1" x14ac:dyDescent="0.3">
      <c r="A595" s="19">
        <v>589</v>
      </c>
      <c r="B595" s="20">
        <v>2005224780</v>
      </c>
      <c r="C595" s="21" t="s">
        <v>95</v>
      </c>
      <c r="D595" s="22" t="s">
        <v>102</v>
      </c>
      <c r="E595" s="20" t="s">
        <v>1214</v>
      </c>
      <c r="F595" s="23" t="s">
        <v>283</v>
      </c>
      <c r="G595" s="30" t="s">
        <v>633</v>
      </c>
      <c r="H595" s="30">
        <f>VLOOKUP(B595,'Dữ liệu TQNM'!$B$7:$F$769,5,0)</f>
        <v>4</v>
      </c>
      <c r="I595" s="30">
        <f>COUNTIF('Nộp báo cáo'!$A$3:$A$1993,'Tổng 24-25'!B595)</f>
        <v>4</v>
      </c>
      <c r="J595" s="91"/>
    </row>
    <row r="596" spans="1:10" ht="18.75" customHeight="1" x14ac:dyDescent="0.3">
      <c r="A596" s="31">
        <v>590</v>
      </c>
      <c r="B596" s="32">
        <v>2005224899</v>
      </c>
      <c r="C596" s="33" t="s">
        <v>37</v>
      </c>
      <c r="D596" s="34" t="s">
        <v>344</v>
      </c>
      <c r="E596" s="32" t="s">
        <v>977</v>
      </c>
      <c r="F596" s="35" t="s">
        <v>283</v>
      </c>
      <c r="G596" s="36" t="s">
        <v>633</v>
      </c>
      <c r="H596" s="30">
        <f>VLOOKUP(B596,'Dữ liệu TQNM'!$B$7:$F$769,5,0)</f>
        <v>0</v>
      </c>
      <c r="I596" s="30">
        <f>COUNTIF('Nộp báo cáo'!$A$3:$A$1993,'Tổng 24-25'!B596)</f>
        <v>0</v>
      </c>
      <c r="J596" s="91"/>
    </row>
    <row r="597" spans="1:10" ht="18.75" customHeight="1" x14ac:dyDescent="0.3">
      <c r="A597" s="31">
        <v>591</v>
      </c>
      <c r="B597" s="107">
        <v>2005224981</v>
      </c>
      <c r="C597" s="33" t="s">
        <v>1215</v>
      </c>
      <c r="D597" s="34" t="s">
        <v>1216</v>
      </c>
      <c r="E597" s="32" t="s">
        <v>1116</v>
      </c>
      <c r="F597" s="35" t="s">
        <v>283</v>
      </c>
      <c r="G597" s="36" t="s">
        <v>633</v>
      </c>
      <c r="H597" s="30">
        <f>VLOOKUP(B597,'Dữ liệu TQNM'!$B$7:$F$769,5,0)</f>
        <v>0</v>
      </c>
      <c r="I597" s="30">
        <f>COUNTIF('Nộp báo cáo'!$A$3:$A$1993,'Tổng 24-25'!B597)</f>
        <v>0</v>
      </c>
      <c r="J597" s="91"/>
    </row>
    <row r="598" spans="1:10" s="18" customFormat="1" ht="18.75" customHeight="1" x14ac:dyDescent="0.3">
      <c r="A598" s="19">
        <v>592</v>
      </c>
      <c r="B598" s="20">
        <v>2005225214</v>
      </c>
      <c r="C598" s="21" t="s">
        <v>565</v>
      </c>
      <c r="D598" s="22" t="s">
        <v>123</v>
      </c>
      <c r="E598" s="20" t="s">
        <v>980</v>
      </c>
      <c r="F598" s="23" t="s">
        <v>283</v>
      </c>
      <c r="G598" s="30" t="s">
        <v>633</v>
      </c>
      <c r="H598" s="30">
        <f>VLOOKUP(B598,'Dữ liệu TQNM'!$B$7:$F$769,5,0)</f>
        <v>3</v>
      </c>
      <c r="I598" s="30">
        <f>COUNTIF('Nộp báo cáo'!$A$3:$A$1993,'Tổng 24-25'!B598)</f>
        <v>3</v>
      </c>
      <c r="J598" s="91"/>
    </row>
    <row r="599" spans="1:10" s="18" customFormat="1" ht="18.75" customHeight="1" x14ac:dyDescent="0.3">
      <c r="A599" s="19">
        <v>593</v>
      </c>
      <c r="B599" s="20">
        <v>2005225186</v>
      </c>
      <c r="C599" s="21" t="s">
        <v>647</v>
      </c>
      <c r="D599" s="22" t="s">
        <v>123</v>
      </c>
      <c r="E599" s="20" t="s">
        <v>648</v>
      </c>
      <c r="F599" s="23" t="s">
        <v>283</v>
      </c>
      <c r="G599" s="30" t="s">
        <v>633</v>
      </c>
      <c r="H599" s="30">
        <f>VLOOKUP(B599,'Dữ liệu TQNM'!$B$7:$F$769,5,0)</f>
        <v>2</v>
      </c>
      <c r="I599" s="30">
        <f>COUNTIF('Nộp báo cáo'!$A$3:$A$1993,'Tổng 24-25'!B599)</f>
        <v>3</v>
      </c>
      <c r="J599" s="91"/>
    </row>
    <row r="600" spans="1:10" ht="18.75" customHeight="1" x14ac:dyDescent="0.3">
      <c r="A600" s="31">
        <v>594</v>
      </c>
      <c r="B600" s="107">
        <v>2005225122</v>
      </c>
      <c r="C600" s="33" t="s">
        <v>727</v>
      </c>
      <c r="D600" s="34" t="s">
        <v>515</v>
      </c>
      <c r="E600" s="32" t="s">
        <v>564</v>
      </c>
      <c r="F600" s="35" t="s">
        <v>283</v>
      </c>
      <c r="G600" s="36" t="s">
        <v>633</v>
      </c>
      <c r="H600" s="30">
        <f>VLOOKUP(B600,'Dữ liệu TQNM'!$B$7:$F$769,5,0)</f>
        <v>0</v>
      </c>
      <c r="I600" s="30">
        <f>COUNTIF('Nộp báo cáo'!$A$3:$A$1993,'Tổng 24-25'!B600)</f>
        <v>0</v>
      </c>
      <c r="J600" s="91"/>
    </row>
    <row r="601" spans="1:10" s="18" customFormat="1" ht="18.75" customHeight="1" x14ac:dyDescent="0.3">
      <c r="A601" s="19">
        <v>595</v>
      </c>
      <c r="B601" s="20">
        <v>2005225126</v>
      </c>
      <c r="C601" s="21" t="s">
        <v>649</v>
      </c>
      <c r="D601" s="22" t="s">
        <v>515</v>
      </c>
      <c r="E601" s="20" t="s">
        <v>976</v>
      </c>
      <c r="F601" s="23" t="s">
        <v>283</v>
      </c>
      <c r="G601" s="30" t="s">
        <v>633</v>
      </c>
      <c r="H601" s="30">
        <f>VLOOKUP(B601,'Dữ liệu TQNM'!$B$7:$F$769,5,0)</f>
        <v>4</v>
      </c>
      <c r="I601" s="30">
        <f>COUNTIF('Nộp báo cáo'!$A$3:$A$1993,'Tổng 24-25'!B601)</f>
        <v>3</v>
      </c>
      <c r="J601" s="91"/>
    </row>
    <row r="602" spans="1:10" s="18" customFormat="1" ht="18.75" customHeight="1" x14ac:dyDescent="0.3">
      <c r="A602" s="19">
        <v>596</v>
      </c>
      <c r="B602" s="20">
        <v>2005225105</v>
      </c>
      <c r="C602" s="21" t="s">
        <v>650</v>
      </c>
      <c r="D602" s="22" t="s">
        <v>125</v>
      </c>
      <c r="E602" s="20" t="s">
        <v>213</v>
      </c>
      <c r="F602" s="23" t="s">
        <v>283</v>
      </c>
      <c r="G602" s="30" t="s">
        <v>633</v>
      </c>
      <c r="H602" s="30">
        <f>VLOOKUP(B602,'Dữ liệu TQNM'!$B$7:$F$769,5,0)</f>
        <v>2</v>
      </c>
      <c r="I602" s="30">
        <f>COUNTIF('Nộp báo cáo'!$A$3:$A$1993,'Tổng 24-25'!B602)</f>
        <v>3</v>
      </c>
      <c r="J602" s="91"/>
    </row>
    <row r="603" spans="1:10" s="18" customFormat="1" ht="18.75" customHeight="1" x14ac:dyDescent="0.3">
      <c r="A603" s="19">
        <v>597</v>
      </c>
      <c r="B603" s="20">
        <v>2005225107</v>
      </c>
      <c r="C603" s="21" t="s">
        <v>364</v>
      </c>
      <c r="D603" s="22" t="s">
        <v>125</v>
      </c>
      <c r="E603" s="20" t="s">
        <v>651</v>
      </c>
      <c r="F603" s="23" t="s">
        <v>283</v>
      </c>
      <c r="G603" s="30" t="s">
        <v>633</v>
      </c>
      <c r="H603" s="30">
        <f>VLOOKUP(B603,'Dữ liệu TQNM'!$B$7:$F$769,5,0)</f>
        <v>3</v>
      </c>
      <c r="I603" s="30">
        <f>COUNTIF('Nộp báo cáo'!$A$3:$A$1993,'Tổng 24-25'!B603)</f>
        <v>3</v>
      </c>
      <c r="J603" s="91"/>
    </row>
    <row r="604" spans="1:10" s="18" customFormat="1" ht="18.75" customHeight="1" x14ac:dyDescent="0.3">
      <c r="A604" s="19">
        <v>598</v>
      </c>
      <c r="B604" s="20">
        <v>2005225431</v>
      </c>
      <c r="C604" s="21" t="s">
        <v>652</v>
      </c>
      <c r="D604" s="22" t="s">
        <v>138</v>
      </c>
      <c r="E604" s="20" t="s">
        <v>653</v>
      </c>
      <c r="F604" s="23" t="s">
        <v>283</v>
      </c>
      <c r="G604" s="30" t="s">
        <v>633</v>
      </c>
      <c r="H604" s="30">
        <f>VLOOKUP(B604,'Dữ liệu TQNM'!$B$7:$F$769,5,0)</f>
        <v>2</v>
      </c>
      <c r="I604" s="30">
        <f>COUNTIF('Nộp báo cáo'!$A$3:$A$1993,'Tổng 24-25'!B604)</f>
        <v>3</v>
      </c>
      <c r="J604" s="91"/>
    </row>
    <row r="605" spans="1:10" s="18" customFormat="1" ht="18.75" customHeight="1" x14ac:dyDescent="0.3">
      <c r="A605" s="19">
        <v>599</v>
      </c>
      <c r="B605" s="20">
        <v>2005225447</v>
      </c>
      <c r="C605" s="21" t="s">
        <v>654</v>
      </c>
      <c r="D605" s="22" t="s">
        <v>138</v>
      </c>
      <c r="E605" s="20" t="s">
        <v>375</v>
      </c>
      <c r="F605" s="23" t="s">
        <v>283</v>
      </c>
      <c r="G605" s="30" t="s">
        <v>633</v>
      </c>
      <c r="H605" s="30">
        <f>VLOOKUP(B605,'Dữ liệu TQNM'!$B$7:$F$769,5,0)</f>
        <v>2</v>
      </c>
      <c r="I605" s="30">
        <f>COUNTIF('Nộp báo cáo'!$A$3:$A$1993,'Tổng 24-25'!B605)</f>
        <v>3</v>
      </c>
      <c r="J605" s="91"/>
    </row>
    <row r="606" spans="1:10" s="18" customFormat="1" ht="18.75" customHeight="1" x14ac:dyDescent="0.3">
      <c r="A606" s="19">
        <v>600</v>
      </c>
      <c r="B606" s="20">
        <v>2005225491</v>
      </c>
      <c r="C606" s="21" t="s">
        <v>655</v>
      </c>
      <c r="D606" s="22" t="s">
        <v>168</v>
      </c>
      <c r="E606" s="20" t="s">
        <v>656</v>
      </c>
      <c r="F606" s="23" t="s">
        <v>283</v>
      </c>
      <c r="G606" s="30" t="s">
        <v>633</v>
      </c>
      <c r="H606" s="30">
        <f>VLOOKUP(B606,'Dữ liệu TQNM'!$B$7:$F$769,5,0)</f>
        <v>3</v>
      </c>
      <c r="I606" s="30">
        <f>COUNTIF('Nộp báo cáo'!$A$3:$A$1993,'Tổng 24-25'!B606)</f>
        <v>3</v>
      </c>
      <c r="J606" s="91"/>
    </row>
    <row r="607" spans="1:10" s="18" customFormat="1" ht="18.75" customHeight="1" x14ac:dyDescent="0.3">
      <c r="A607" s="19">
        <v>601</v>
      </c>
      <c r="B607" s="20">
        <v>2005225346</v>
      </c>
      <c r="C607" s="21" t="s">
        <v>657</v>
      </c>
      <c r="D607" s="22" t="s">
        <v>258</v>
      </c>
      <c r="E607" s="20" t="s">
        <v>640</v>
      </c>
      <c r="F607" s="23" t="s">
        <v>283</v>
      </c>
      <c r="G607" s="30" t="s">
        <v>633</v>
      </c>
      <c r="H607" s="30">
        <f>VLOOKUP(B607,'Dữ liệu TQNM'!$B$7:$F$769,5,0)</f>
        <v>3</v>
      </c>
      <c r="I607" s="30">
        <f>COUNTIF('Nộp báo cáo'!$A$3:$A$1993,'Tổng 24-25'!B607)</f>
        <v>3</v>
      </c>
      <c r="J607" s="91"/>
    </row>
    <row r="608" spans="1:10" ht="18.75" customHeight="1" x14ac:dyDescent="0.3">
      <c r="A608" s="31">
        <v>602</v>
      </c>
      <c r="B608" s="107">
        <v>2005225573</v>
      </c>
      <c r="C608" s="33" t="s">
        <v>315</v>
      </c>
      <c r="D608" s="34" t="s">
        <v>1217</v>
      </c>
      <c r="E608" s="32" t="s">
        <v>1218</v>
      </c>
      <c r="F608" s="35" t="s">
        <v>283</v>
      </c>
      <c r="G608" s="36" t="s">
        <v>633</v>
      </c>
      <c r="H608" s="30">
        <f>VLOOKUP(B608,'Dữ liệu TQNM'!$B$7:$F$769,5,0)</f>
        <v>2</v>
      </c>
      <c r="I608" s="30">
        <f>COUNTIF('Nộp báo cáo'!$A$3:$A$1993,'Tổng 24-25'!B608)</f>
        <v>0</v>
      </c>
      <c r="J608" s="91"/>
    </row>
    <row r="609" spans="1:10" s="18" customFormat="1" ht="18.75" customHeight="1" x14ac:dyDescent="0.3">
      <c r="A609" s="19">
        <v>603</v>
      </c>
      <c r="B609" s="20">
        <v>2005225599</v>
      </c>
      <c r="C609" s="21" t="s">
        <v>44</v>
      </c>
      <c r="D609" s="22" t="s">
        <v>115</v>
      </c>
      <c r="E609" s="20" t="s">
        <v>658</v>
      </c>
      <c r="F609" s="23" t="s">
        <v>283</v>
      </c>
      <c r="G609" s="30" t="s">
        <v>633</v>
      </c>
      <c r="H609" s="30">
        <f>VLOOKUP(B609,'Dữ liệu TQNM'!$B$7:$F$769,5,0)</f>
        <v>3</v>
      </c>
      <c r="I609" s="30">
        <f>COUNTIF('Nộp báo cáo'!$A$3:$A$1993,'Tổng 24-25'!B609)</f>
        <v>3</v>
      </c>
      <c r="J609" s="91"/>
    </row>
    <row r="610" spans="1:10" s="18" customFormat="1" ht="18.75" customHeight="1" x14ac:dyDescent="0.3">
      <c r="A610" s="19">
        <v>604</v>
      </c>
      <c r="B610" s="20">
        <v>2005225893</v>
      </c>
      <c r="C610" s="21" t="s">
        <v>667</v>
      </c>
      <c r="D610" s="22" t="s">
        <v>316</v>
      </c>
      <c r="E610" s="20" t="s">
        <v>956</v>
      </c>
      <c r="F610" s="23" t="s">
        <v>283</v>
      </c>
      <c r="G610" s="30" t="s">
        <v>633</v>
      </c>
      <c r="H610" s="30">
        <f>VLOOKUP(B610,'Dữ liệu TQNM'!$B$7:$F$769,5,0)</f>
        <v>3</v>
      </c>
      <c r="I610" s="30">
        <f>COUNTIF('Nộp báo cáo'!$A$3:$A$1993,'Tổng 24-25'!B610)</f>
        <v>2</v>
      </c>
      <c r="J610" s="91"/>
    </row>
    <row r="611" spans="1:10" s="18" customFormat="1" ht="18.75" customHeight="1" x14ac:dyDescent="0.3">
      <c r="A611" s="19">
        <v>605</v>
      </c>
      <c r="B611" s="20">
        <v>2005225937</v>
      </c>
      <c r="C611" s="21" t="s">
        <v>661</v>
      </c>
      <c r="D611" s="22" t="s">
        <v>56</v>
      </c>
      <c r="E611" s="20" t="s">
        <v>662</v>
      </c>
      <c r="F611" s="23" t="s">
        <v>283</v>
      </c>
      <c r="G611" s="30" t="s">
        <v>633</v>
      </c>
      <c r="H611" s="30">
        <f>VLOOKUP(B611,'Dữ liệu TQNM'!$B$7:$F$769,5,0)</f>
        <v>3</v>
      </c>
      <c r="I611" s="30">
        <f>COUNTIF('Nộp báo cáo'!$A$3:$A$1993,'Tổng 24-25'!B611)</f>
        <v>3</v>
      </c>
      <c r="J611" s="91"/>
    </row>
    <row r="612" spans="1:10" s="18" customFormat="1" ht="18.75" customHeight="1" x14ac:dyDescent="0.3">
      <c r="A612" s="19">
        <v>606</v>
      </c>
      <c r="B612" s="20">
        <v>2005225988</v>
      </c>
      <c r="C612" s="21" t="s">
        <v>659</v>
      </c>
      <c r="D612" s="22" t="s">
        <v>56</v>
      </c>
      <c r="E612" s="20" t="s">
        <v>349</v>
      </c>
      <c r="F612" s="23" t="s">
        <v>283</v>
      </c>
      <c r="G612" s="30" t="s">
        <v>633</v>
      </c>
      <c r="H612" s="30">
        <f>VLOOKUP(B612,'Dữ liệu TQNM'!$B$7:$F$769,5,0)</f>
        <v>2</v>
      </c>
      <c r="I612" s="30">
        <f>COUNTIF('Nộp báo cáo'!$A$3:$A$1993,'Tổng 24-25'!B612)</f>
        <v>3</v>
      </c>
      <c r="J612" s="91"/>
    </row>
    <row r="613" spans="1:10" s="18" customFormat="1" ht="18.75" customHeight="1" x14ac:dyDescent="0.3">
      <c r="A613" s="19">
        <v>607</v>
      </c>
      <c r="B613" s="20">
        <v>2005225989</v>
      </c>
      <c r="C613" s="21" t="s">
        <v>660</v>
      </c>
      <c r="D613" s="22" t="s">
        <v>56</v>
      </c>
      <c r="E613" s="20" t="s">
        <v>947</v>
      </c>
      <c r="F613" s="23" t="s">
        <v>283</v>
      </c>
      <c r="G613" s="30" t="s">
        <v>633</v>
      </c>
      <c r="H613" s="30">
        <f>VLOOKUP(B613,'Dữ liệu TQNM'!$B$7:$F$769,5,0)</f>
        <v>3</v>
      </c>
      <c r="I613" s="30">
        <f>COUNTIF('Nộp báo cáo'!$A$3:$A$1993,'Tổng 24-25'!B613)</f>
        <v>3</v>
      </c>
      <c r="J613" s="91"/>
    </row>
    <row r="614" spans="1:10" s="18" customFormat="1" ht="18.75" customHeight="1" x14ac:dyDescent="0.3">
      <c r="A614" s="19">
        <v>608</v>
      </c>
      <c r="B614" s="20">
        <v>2005226116</v>
      </c>
      <c r="C614" s="21" t="s">
        <v>663</v>
      </c>
      <c r="D614" s="22" t="s">
        <v>135</v>
      </c>
      <c r="E614" s="20" t="s">
        <v>664</v>
      </c>
      <c r="F614" s="23" t="s">
        <v>283</v>
      </c>
      <c r="G614" s="30" t="s">
        <v>633</v>
      </c>
      <c r="H614" s="30">
        <f>VLOOKUP(B614,'Dữ liệu TQNM'!$B$7:$F$769,5,0)</f>
        <v>3</v>
      </c>
      <c r="I614" s="30">
        <f>COUNTIF('Nộp báo cáo'!$A$3:$A$1993,'Tổng 24-25'!B614)</f>
        <v>3</v>
      </c>
      <c r="J614" s="91"/>
    </row>
    <row r="615" spans="1:10" ht="18.75" customHeight="1" x14ac:dyDescent="0.3">
      <c r="A615" s="31">
        <v>609</v>
      </c>
      <c r="B615" s="107">
        <v>2005220034</v>
      </c>
      <c r="C615" s="33" t="s">
        <v>1219</v>
      </c>
      <c r="D615" s="34" t="s">
        <v>71</v>
      </c>
      <c r="E615" s="32" t="s">
        <v>985</v>
      </c>
      <c r="F615" s="35" t="s">
        <v>337</v>
      </c>
      <c r="G615" s="36" t="s">
        <v>633</v>
      </c>
      <c r="H615" s="30">
        <f>VLOOKUP(B615,'Dữ liệu TQNM'!$B$7:$F$769,5,0)</f>
        <v>0</v>
      </c>
      <c r="I615" s="30">
        <f>COUNTIF('Nộp báo cáo'!$A$3:$A$1993,'Tổng 24-25'!B615)</f>
        <v>0</v>
      </c>
      <c r="J615" s="91"/>
    </row>
    <row r="616" spans="1:10" s="18" customFormat="1" ht="18.75" customHeight="1" x14ac:dyDescent="0.3">
      <c r="A616" s="19">
        <v>610</v>
      </c>
      <c r="B616" s="20">
        <v>2005220172</v>
      </c>
      <c r="C616" s="21" t="s">
        <v>55</v>
      </c>
      <c r="D616" s="22" t="s">
        <v>36</v>
      </c>
      <c r="E616" s="20" t="s">
        <v>988</v>
      </c>
      <c r="F616" s="23" t="s">
        <v>337</v>
      </c>
      <c r="G616" s="30" t="s">
        <v>633</v>
      </c>
      <c r="H616" s="30">
        <f>VLOOKUP(B616,'Dữ liệu TQNM'!$B$7:$F$769,5,0)</f>
        <v>2</v>
      </c>
      <c r="I616" s="30">
        <f>COUNTIF('Nộp báo cáo'!$A$3:$A$1993,'Tổng 24-25'!B616)</f>
        <v>3</v>
      </c>
      <c r="J616" s="91"/>
    </row>
    <row r="617" spans="1:10" s="18" customFormat="1" ht="18.75" customHeight="1" x14ac:dyDescent="0.3">
      <c r="A617" s="19">
        <v>611</v>
      </c>
      <c r="B617" s="20">
        <v>2005220254</v>
      </c>
      <c r="C617" s="21" t="s">
        <v>178</v>
      </c>
      <c r="D617" s="22" t="s">
        <v>170</v>
      </c>
      <c r="E617" s="20" t="s">
        <v>658</v>
      </c>
      <c r="F617" s="23" t="s">
        <v>337</v>
      </c>
      <c r="G617" s="30" t="s">
        <v>633</v>
      </c>
      <c r="H617" s="30">
        <f>VLOOKUP(B617,'Dữ liệu TQNM'!$B$7:$F$769,5,0)</f>
        <v>3</v>
      </c>
      <c r="I617" s="30">
        <f>COUNTIF('Nộp báo cáo'!$A$3:$A$1993,'Tổng 24-25'!B617)</f>
        <v>3</v>
      </c>
      <c r="J617" s="91"/>
    </row>
    <row r="618" spans="1:10" s="18" customFormat="1" ht="18.75" customHeight="1" x14ac:dyDescent="0.3">
      <c r="A618" s="19">
        <v>612</v>
      </c>
      <c r="B618" s="20">
        <v>2005220333</v>
      </c>
      <c r="C618" s="21" t="s">
        <v>267</v>
      </c>
      <c r="D618" s="22" t="s">
        <v>268</v>
      </c>
      <c r="E618" s="20" t="s">
        <v>345</v>
      </c>
      <c r="F618" s="23" t="s">
        <v>337</v>
      </c>
      <c r="G618" s="30" t="s">
        <v>633</v>
      </c>
      <c r="H618" s="30">
        <f>VLOOKUP(B618,'Dữ liệu TQNM'!$B$7:$F$769,5,0)</f>
        <v>2</v>
      </c>
      <c r="I618" s="30">
        <f>COUNTIF('Nộp báo cáo'!$A$3:$A$1993,'Tổng 24-25'!B618)</f>
        <v>3</v>
      </c>
      <c r="J618" s="91"/>
    </row>
    <row r="619" spans="1:10" s="18" customFormat="1" ht="18.75" customHeight="1" x14ac:dyDescent="0.3">
      <c r="A619" s="19">
        <v>613</v>
      </c>
      <c r="B619" s="20">
        <v>2005220296</v>
      </c>
      <c r="C619" s="21" t="s">
        <v>121</v>
      </c>
      <c r="D619" s="22" t="s">
        <v>268</v>
      </c>
      <c r="E619" s="20" t="s">
        <v>1220</v>
      </c>
      <c r="F619" s="23" t="s">
        <v>337</v>
      </c>
      <c r="G619" s="30" t="s">
        <v>633</v>
      </c>
      <c r="H619" s="30">
        <f>VLOOKUP(B619,'Dữ liệu TQNM'!$B$7:$F$769,5,0)</f>
        <v>2</v>
      </c>
      <c r="I619" s="30">
        <f>COUNTIF('Nộp báo cáo'!$A$3:$A$1993,'Tổng 24-25'!B619)</f>
        <v>3</v>
      </c>
      <c r="J619" s="91"/>
    </row>
    <row r="620" spans="1:10" s="18" customFormat="1" ht="18.75" customHeight="1" x14ac:dyDescent="0.3">
      <c r="A620" s="19">
        <v>614</v>
      </c>
      <c r="B620" s="20">
        <v>2005220415</v>
      </c>
      <c r="C620" s="21" t="s">
        <v>673</v>
      </c>
      <c r="D620" s="22" t="s">
        <v>674</v>
      </c>
      <c r="E620" s="20" t="s">
        <v>1213</v>
      </c>
      <c r="F620" s="23" t="s">
        <v>337</v>
      </c>
      <c r="G620" s="30" t="s">
        <v>633</v>
      </c>
      <c r="H620" s="30">
        <f>VLOOKUP(B620,'Dữ liệu TQNM'!$B$7:$F$769,5,0)</f>
        <v>2</v>
      </c>
      <c r="I620" s="30">
        <f>COUNTIF('Nộp báo cáo'!$A$3:$A$1993,'Tổng 24-25'!B620)</f>
        <v>3</v>
      </c>
      <c r="J620" s="91"/>
    </row>
    <row r="621" spans="1:10" s="18" customFormat="1" ht="18.75" customHeight="1" x14ac:dyDescent="0.3">
      <c r="A621" s="19">
        <v>615</v>
      </c>
      <c r="B621" s="20">
        <v>2005220453</v>
      </c>
      <c r="C621" s="21" t="s">
        <v>519</v>
      </c>
      <c r="D621" s="22" t="s">
        <v>324</v>
      </c>
      <c r="E621" s="20" t="s">
        <v>481</v>
      </c>
      <c r="F621" s="23" t="s">
        <v>337</v>
      </c>
      <c r="G621" s="30" t="s">
        <v>633</v>
      </c>
      <c r="H621" s="30">
        <f>VLOOKUP(B621,'Dữ liệu TQNM'!$B$7:$F$769,5,0)</f>
        <v>2</v>
      </c>
      <c r="I621" s="30">
        <f>COUNTIF('Nộp báo cáo'!$A$3:$A$1993,'Tổng 24-25'!B621)</f>
        <v>3</v>
      </c>
      <c r="J621" s="91"/>
    </row>
    <row r="622" spans="1:10" ht="18.75" customHeight="1" x14ac:dyDescent="0.3">
      <c r="A622" s="31">
        <v>616</v>
      </c>
      <c r="B622" s="107">
        <v>2005220850</v>
      </c>
      <c r="C622" s="33" t="s">
        <v>1221</v>
      </c>
      <c r="D622" s="34" t="s">
        <v>1222</v>
      </c>
      <c r="E622" s="32" t="s">
        <v>1074</v>
      </c>
      <c r="F622" s="35" t="s">
        <v>337</v>
      </c>
      <c r="G622" s="36" t="s">
        <v>633</v>
      </c>
      <c r="H622" s="30">
        <f>VLOOKUP(B622,'Dữ liệu TQNM'!$B$7:$F$769,5,0)</f>
        <v>0</v>
      </c>
      <c r="I622" s="30">
        <f>COUNTIF('Nộp báo cáo'!$A$3:$A$1993,'Tổng 24-25'!B622)</f>
        <v>0</v>
      </c>
      <c r="J622" s="91"/>
    </row>
    <row r="623" spans="1:10" ht="18.75" customHeight="1" x14ac:dyDescent="0.3">
      <c r="A623" s="31">
        <v>617</v>
      </c>
      <c r="B623" s="107">
        <v>2005220913</v>
      </c>
      <c r="C623" s="33" t="s">
        <v>901</v>
      </c>
      <c r="D623" s="34" t="s">
        <v>10</v>
      </c>
      <c r="E623" s="32" t="s">
        <v>1223</v>
      </c>
      <c r="F623" s="35" t="s">
        <v>337</v>
      </c>
      <c r="G623" s="36" t="s">
        <v>633</v>
      </c>
      <c r="H623" s="30">
        <f>VLOOKUP(B623,'Dữ liệu TQNM'!$B$7:$F$769,5,0)</f>
        <v>0</v>
      </c>
      <c r="I623" s="30">
        <f>COUNTIF('Nộp báo cáo'!$A$3:$A$1993,'Tổng 24-25'!B623)</f>
        <v>0</v>
      </c>
      <c r="J623" s="91"/>
    </row>
    <row r="624" spans="1:10" s="18" customFormat="1" ht="18.75" customHeight="1" x14ac:dyDescent="0.3">
      <c r="A624" s="19">
        <v>618</v>
      </c>
      <c r="B624" s="20">
        <v>2005220924</v>
      </c>
      <c r="C624" s="21" t="s">
        <v>119</v>
      </c>
      <c r="D624" s="22" t="s">
        <v>10</v>
      </c>
      <c r="E624" s="20" t="s">
        <v>218</v>
      </c>
      <c r="F624" s="23" t="s">
        <v>337</v>
      </c>
      <c r="G624" s="30" t="s">
        <v>633</v>
      </c>
      <c r="H624" s="30">
        <f>VLOOKUP(B624,'Dữ liệu TQNM'!$B$7:$F$769,5,0)</f>
        <v>2</v>
      </c>
      <c r="I624" s="30">
        <f>COUNTIF('Nộp báo cáo'!$A$3:$A$1993,'Tổng 24-25'!B624)</f>
        <v>3</v>
      </c>
      <c r="J624" s="91"/>
    </row>
    <row r="625" spans="1:10" s="18" customFormat="1" ht="18.75" customHeight="1" x14ac:dyDescent="0.3">
      <c r="A625" s="19">
        <v>619</v>
      </c>
      <c r="B625" s="20">
        <v>2005220612</v>
      </c>
      <c r="C625" s="21" t="s">
        <v>703</v>
      </c>
      <c r="D625" s="22" t="s">
        <v>704</v>
      </c>
      <c r="E625" s="20" t="s">
        <v>705</v>
      </c>
      <c r="F625" s="23" t="s">
        <v>337</v>
      </c>
      <c r="G625" s="30" t="s">
        <v>633</v>
      </c>
      <c r="H625" s="30">
        <f>VLOOKUP(B625,'Dữ liệu TQNM'!$B$7:$F$769,5,0)</f>
        <v>2</v>
      </c>
      <c r="I625" s="30">
        <f>COUNTIF('Nộp báo cáo'!$A$3:$A$1993,'Tổng 24-25'!B625)</f>
        <v>3</v>
      </c>
      <c r="J625" s="91"/>
    </row>
    <row r="626" spans="1:10" ht="18.75" customHeight="1" x14ac:dyDescent="0.3">
      <c r="A626" s="31">
        <v>620</v>
      </c>
      <c r="B626" s="107">
        <v>2005220626</v>
      </c>
      <c r="C626" s="33" t="s">
        <v>386</v>
      </c>
      <c r="D626" s="34" t="s">
        <v>1224</v>
      </c>
      <c r="E626" s="32" t="s">
        <v>695</v>
      </c>
      <c r="F626" s="35" t="s">
        <v>337</v>
      </c>
      <c r="G626" s="36" t="s">
        <v>633</v>
      </c>
      <c r="H626" s="30">
        <f>VLOOKUP(B626,'Dữ liệu TQNM'!$B$7:$F$769,5,0)</f>
        <v>0</v>
      </c>
      <c r="I626" s="30">
        <f>COUNTIF('Nộp báo cáo'!$A$3:$A$1993,'Tổng 24-25'!B626)</f>
        <v>0</v>
      </c>
      <c r="J626" s="91"/>
    </row>
    <row r="627" spans="1:10" s="18" customFormat="1" ht="18.75" customHeight="1" x14ac:dyDescent="0.3">
      <c r="A627" s="19">
        <v>621</v>
      </c>
      <c r="B627" s="20">
        <v>2005220638</v>
      </c>
      <c r="C627" s="21" t="s">
        <v>675</v>
      </c>
      <c r="D627" s="22" t="s">
        <v>676</v>
      </c>
      <c r="E627" s="20" t="s">
        <v>677</v>
      </c>
      <c r="F627" s="23" t="s">
        <v>337</v>
      </c>
      <c r="G627" s="30" t="s">
        <v>633</v>
      </c>
      <c r="H627" s="30">
        <f>VLOOKUP(B627,'Dữ liệu TQNM'!$B$7:$F$769,5,0)</f>
        <v>2</v>
      </c>
      <c r="I627" s="30">
        <f>COUNTIF('Nộp báo cáo'!$A$3:$A$1993,'Tổng 24-25'!B627)</f>
        <v>3</v>
      </c>
      <c r="J627" s="91"/>
    </row>
    <row r="628" spans="1:10" s="18" customFormat="1" ht="18.75" customHeight="1" x14ac:dyDescent="0.3">
      <c r="A628" s="19">
        <v>622</v>
      </c>
      <c r="B628" s="20">
        <v>2005220765</v>
      </c>
      <c r="C628" s="21" t="s">
        <v>670</v>
      </c>
      <c r="D628" s="22" t="s">
        <v>84</v>
      </c>
      <c r="E628" s="20" t="s">
        <v>671</v>
      </c>
      <c r="F628" s="23" t="s">
        <v>337</v>
      </c>
      <c r="G628" s="30" t="s">
        <v>633</v>
      </c>
      <c r="H628" s="30">
        <f>VLOOKUP(B628,'Dữ liệu TQNM'!$B$7:$F$769,5,0)</f>
        <v>2</v>
      </c>
      <c r="I628" s="30">
        <f>COUNTIF('Nộp báo cáo'!$A$3:$A$1993,'Tổng 24-25'!B628)</f>
        <v>3</v>
      </c>
      <c r="J628" s="91"/>
    </row>
    <row r="629" spans="1:10" s="18" customFormat="1" ht="18.75" customHeight="1" x14ac:dyDescent="0.3">
      <c r="A629" s="19">
        <v>623</v>
      </c>
      <c r="B629" s="20">
        <v>2005221286</v>
      </c>
      <c r="C629" s="21" t="s">
        <v>678</v>
      </c>
      <c r="D629" s="22" t="s">
        <v>679</v>
      </c>
      <c r="E629" s="20" t="s">
        <v>1225</v>
      </c>
      <c r="F629" s="23" t="s">
        <v>337</v>
      </c>
      <c r="G629" s="30" t="s">
        <v>633</v>
      </c>
      <c r="H629" s="30">
        <f>VLOOKUP(B629,'Dữ liệu TQNM'!$B$7:$F$769,5,0)</f>
        <v>2</v>
      </c>
      <c r="I629" s="30">
        <f>COUNTIF('Nộp báo cáo'!$A$3:$A$1993,'Tổng 24-25'!B629)</f>
        <v>3</v>
      </c>
      <c r="J629" s="91"/>
    </row>
    <row r="630" spans="1:10" s="18" customFormat="1" ht="18.75" customHeight="1" x14ac:dyDescent="0.3">
      <c r="A630" s="19">
        <v>624</v>
      </c>
      <c r="B630" s="20">
        <v>2005226167</v>
      </c>
      <c r="C630" s="21" t="s">
        <v>680</v>
      </c>
      <c r="D630" s="22" t="s">
        <v>475</v>
      </c>
      <c r="E630" s="20" t="s">
        <v>681</v>
      </c>
      <c r="F630" s="23" t="s">
        <v>337</v>
      </c>
      <c r="G630" s="30" t="s">
        <v>633</v>
      </c>
      <c r="H630" s="30">
        <f>VLOOKUP(B630,'Dữ liệu TQNM'!$B$7:$F$769,5,0)</f>
        <v>2</v>
      </c>
      <c r="I630" s="30">
        <f>COUNTIF('Nộp báo cáo'!$A$3:$A$1993,'Tổng 24-25'!B630)</f>
        <v>0</v>
      </c>
      <c r="J630" s="91"/>
    </row>
    <row r="631" spans="1:10" s="18" customFormat="1" ht="18.75" customHeight="1" x14ac:dyDescent="0.3">
      <c r="A631" s="19">
        <v>625</v>
      </c>
      <c r="B631" s="20">
        <v>2005221205</v>
      </c>
      <c r="C631" s="21" t="s">
        <v>668</v>
      </c>
      <c r="D631" s="22" t="s">
        <v>669</v>
      </c>
      <c r="E631" s="20" t="s">
        <v>983</v>
      </c>
      <c r="F631" s="23" t="s">
        <v>337</v>
      </c>
      <c r="G631" s="30" t="s">
        <v>633</v>
      </c>
      <c r="H631" s="30">
        <f>VLOOKUP(B631,'Dữ liệu TQNM'!$B$7:$F$769,5,0)</f>
        <v>2</v>
      </c>
      <c r="I631" s="30">
        <f>COUNTIF('Nộp báo cáo'!$A$3:$A$1993,'Tổng 24-25'!B631)</f>
        <v>3</v>
      </c>
      <c r="J631" s="91"/>
    </row>
    <row r="632" spans="1:10" s="18" customFormat="1" ht="18.75" customHeight="1" x14ac:dyDescent="0.3">
      <c r="A632" s="19">
        <v>626</v>
      </c>
      <c r="B632" s="20">
        <v>2005221389</v>
      </c>
      <c r="C632" s="21" t="s">
        <v>706</v>
      </c>
      <c r="D632" s="22" t="s">
        <v>707</v>
      </c>
      <c r="E632" s="20" t="s">
        <v>166</v>
      </c>
      <c r="F632" s="23" t="s">
        <v>337</v>
      </c>
      <c r="G632" s="30" t="s">
        <v>633</v>
      </c>
      <c r="H632" s="30">
        <f>VLOOKUP(B632,'Dữ liệu TQNM'!$B$7:$F$769,5,0)</f>
        <v>2</v>
      </c>
      <c r="I632" s="30">
        <f>COUNTIF('Nộp báo cáo'!$A$3:$A$1993,'Tổng 24-25'!B632)</f>
        <v>3</v>
      </c>
      <c r="J632" s="91"/>
    </row>
    <row r="633" spans="1:10" ht="18.75" customHeight="1" x14ac:dyDescent="0.3">
      <c r="A633" s="31">
        <v>627</v>
      </c>
      <c r="B633" s="107">
        <v>2005221489</v>
      </c>
      <c r="C633" s="33" t="s">
        <v>482</v>
      </c>
      <c r="D633" s="34" t="s">
        <v>81</v>
      </c>
      <c r="E633" s="32" t="s">
        <v>985</v>
      </c>
      <c r="F633" s="35" t="s">
        <v>337</v>
      </c>
      <c r="G633" s="36" t="s">
        <v>633</v>
      </c>
      <c r="H633" s="30">
        <f>VLOOKUP(B633,'Dữ liệu TQNM'!$B$7:$F$769,5,0)</f>
        <v>0</v>
      </c>
      <c r="I633" s="30">
        <f>COUNTIF('Nộp báo cáo'!$A$3:$A$1993,'Tổng 24-25'!B633)</f>
        <v>0</v>
      </c>
      <c r="J633" s="91"/>
    </row>
    <row r="634" spans="1:10" s="18" customFormat="1" ht="18.75" customHeight="1" x14ac:dyDescent="0.3">
      <c r="A634" s="19">
        <v>628</v>
      </c>
      <c r="B634" s="20">
        <v>2005221495</v>
      </c>
      <c r="C634" s="21" t="s">
        <v>682</v>
      </c>
      <c r="D634" s="22" t="s">
        <v>81</v>
      </c>
      <c r="E634" s="20" t="s">
        <v>555</v>
      </c>
      <c r="F634" s="23" t="s">
        <v>337</v>
      </c>
      <c r="G634" s="30" t="s">
        <v>633</v>
      </c>
      <c r="H634" s="30">
        <f>VLOOKUP(B634,'Dữ liệu TQNM'!$B$7:$F$769,5,0)</f>
        <v>2</v>
      </c>
      <c r="I634" s="30">
        <f>COUNTIF('Nộp báo cáo'!$A$3:$A$1993,'Tổng 24-25'!B634)</f>
        <v>3</v>
      </c>
      <c r="J634" s="91"/>
    </row>
    <row r="635" spans="1:10" s="18" customFormat="1" ht="18.75" customHeight="1" x14ac:dyDescent="0.3">
      <c r="A635" s="19">
        <v>629</v>
      </c>
      <c r="B635" s="20">
        <v>2005221830</v>
      </c>
      <c r="C635" s="21" t="s">
        <v>683</v>
      </c>
      <c r="D635" s="22" t="s">
        <v>173</v>
      </c>
      <c r="E635" s="20" t="s">
        <v>472</v>
      </c>
      <c r="F635" s="23" t="s">
        <v>337</v>
      </c>
      <c r="G635" s="30" t="s">
        <v>633</v>
      </c>
      <c r="H635" s="30">
        <f>VLOOKUP(B635,'Dữ liệu TQNM'!$B$7:$F$769,5,0)</f>
        <v>3</v>
      </c>
      <c r="I635" s="30">
        <f>COUNTIF('Nộp báo cáo'!$A$3:$A$1993,'Tổng 24-25'!B635)</f>
        <v>3</v>
      </c>
      <c r="J635" s="91"/>
    </row>
    <row r="636" spans="1:10" s="18" customFormat="1" ht="18.75" customHeight="1" x14ac:dyDescent="0.3">
      <c r="A636" s="19">
        <v>630</v>
      </c>
      <c r="B636" s="20">
        <v>2005221591</v>
      </c>
      <c r="C636" s="21" t="s">
        <v>684</v>
      </c>
      <c r="D636" s="22" t="s">
        <v>120</v>
      </c>
      <c r="E636" s="20" t="s">
        <v>685</v>
      </c>
      <c r="F636" s="23" t="s">
        <v>337</v>
      </c>
      <c r="G636" s="30" t="s">
        <v>633</v>
      </c>
      <c r="H636" s="30">
        <f>VLOOKUP(B636,'Dữ liệu TQNM'!$B$7:$F$769,5,0)</f>
        <v>2</v>
      </c>
      <c r="I636" s="30">
        <f>COUNTIF('Nộp báo cáo'!$A$3:$A$1993,'Tổng 24-25'!B636)</f>
        <v>3</v>
      </c>
      <c r="J636" s="91"/>
    </row>
    <row r="637" spans="1:10" s="18" customFormat="1" ht="18.75" customHeight="1" x14ac:dyDescent="0.3">
      <c r="A637" s="19">
        <v>631</v>
      </c>
      <c r="B637" s="20">
        <v>2005221603</v>
      </c>
      <c r="C637" s="21" t="s">
        <v>708</v>
      </c>
      <c r="D637" s="22" t="s">
        <v>120</v>
      </c>
      <c r="E637" s="20" t="s">
        <v>966</v>
      </c>
      <c r="F637" s="23" t="s">
        <v>337</v>
      </c>
      <c r="G637" s="30" t="s">
        <v>633</v>
      </c>
      <c r="H637" s="30">
        <f>VLOOKUP(B637,'Dữ liệu TQNM'!$B$7:$F$769,5,0)</f>
        <v>4</v>
      </c>
      <c r="I637" s="30">
        <f>COUNTIF('Nộp báo cáo'!$A$3:$A$1993,'Tổng 24-25'!B637)</f>
        <v>3</v>
      </c>
      <c r="J637" s="91"/>
    </row>
    <row r="638" spans="1:10" s="18" customFormat="1" ht="18.75" customHeight="1" x14ac:dyDescent="0.3">
      <c r="A638" s="19">
        <v>632</v>
      </c>
      <c r="B638" s="20">
        <v>2005222052</v>
      </c>
      <c r="C638" s="21" t="s">
        <v>313</v>
      </c>
      <c r="D638" s="22" t="s">
        <v>230</v>
      </c>
      <c r="E638" s="20" t="s">
        <v>1220</v>
      </c>
      <c r="F638" s="23" t="s">
        <v>337</v>
      </c>
      <c r="G638" s="30" t="s">
        <v>633</v>
      </c>
      <c r="H638" s="30">
        <f>VLOOKUP(B638,'Dữ liệu TQNM'!$B$7:$F$769,5,0)</f>
        <v>4</v>
      </c>
      <c r="I638" s="30">
        <f>COUNTIF('Nộp báo cáo'!$A$3:$A$1993,'Tổng 24-25'!B638)</f>
        <v>2</v>
      </c>
      <c r="J638" s="91"/>
    </row>
    <row r="639" spans="1:10" s="18" customFormat="1" ht="18.75" customHeight="1" x14ac:dyDescent="0.3">
      <c r="A639" s="19">
        <v>633</v>
      </c>
      <c r="B639" s="20">
        <v>2005222173</v>
      </c>
      <c r="C639" s="21" t="s">
        <v>686</v>
      </c>
      <c r="D639" s="22" t="s">
        <v>687</v>
      </c>
      <c r="E639" s="20" t="s">
        <v>940</v>
      </c>
      <c r="F639" s="23" t="s">
        <v>337</v>
      </c>
      <c r="G639" s="30" t="s">
        <v>633</v>
      </c>
      <c r="H639" s="30">
        <f>VLOOKUP(B639,'Dữ liệu TQNM'!$B$7:$F$769,5,0)</f>
        <v>2</v>
      </c>
      <c r="I639" s="30">
        <f>COUNTIF('Nộp báo cáo'!$A$3:$A$1993,'Tổng 24-25'!B639)</f>
        <v>2</v>
      </c>
      <c r="J639" s="91"/>
    </row>
    <row r="640" spans="1:10" s="18" customFormat="1" ht="18.75" customHeight="1" x14ac:dyDescent="0.3">
      <c r="A640" s="19">
        <v>634</v>
      </c>
      <c r="B640" s="20">
        <v>2005222211</v>
      </c>
      <c r="C640" s="21" t="s">
        <v>688</v>
      </c>
      <c r="D640" s="22" t="s">
        <v>311</v>
      </c>
      <c r="E640" s="20" t="s">
        <v>689</v>
      </c>
      <c r="F640" s="23" t="s">
        <v>337</v>
      </c>
      <c r="G640" s="30" t="s">
        <v>633</v>
      </c>
      <c r="H640" s="30">
        <f>VLOOKUP(B640,'Dữ liệu TQNM'!$B$7:$F$769,5,0)</f>
        <v>2</v>
      </c>
      <c r="I640" s="30">
        <f>COUNTIF('Nộp báo cáo'!$A$3:$A$1993,'Tổng 24-25'!B640)</f>
        <v>3</v>
      </c>
      <c r="J640" s="91"/>
    </row>
    <row r="641" spans="1:10" s="18" customFormat="1" ht="18.75" customHeight="1" x14ac:dyDescent="0.3">
      <c r="A641" s="19">
        <v>635</v>
      </c>
      <c r="B641" s="20">
        <v>2005222213</v>
      </c>
      <c r="C641" s="21" t="s">
        <v>690</v>
      </c>
      <c r="D641" s="22" t="s">
        <v>311</v>
      </c>
      <c r="E641" s="20" t="s">
        <v>658</v>
      </c>
      <c r="F641" s="23" t="s">
        <v>337</v>
      </c>
      <c r="G641" s="30" t="s">
        <v>633</v>
      </c>
      <c r="H641" s="30">
        <f>VLOOKUP(B641,'Dữ liệu TQNM'!$B$7:$F$769,5,0)</f>
        <v>3</v>
      </c>
      <c r="I641" s="30">
        <f>COUNTIF('Nộp báo cáo'!$A$3:$A$1993,'Tổng 24-25'!B641)</f>
        <v>2</v>
      </c>
      <c r="J641" s="91"/>
    </row>
    <row r="642" spans="1:10" ht="18.75" customHeight="1" x14ac:dyDescent="0.3">
      <c r="A642" s="31">
        <v>636</v>
      </c>
      <c r="B642" s="107">
        <v>2005222307</v>
      </c>
      <c r="C642" s="33" t="s">
        <v>1226</v>
      </c>
      <c r="D642" s="34" t="s">
        <v>29</v>
      </c>
      <c r="E642" s="32" t="s">
        <v>1005</v>
      </c>
      <c r="F642" s="35" t="s">
        <v>337</v>
      </c>
      <c r="G642" s="36" t="s">
        <v>633</v>
      </c>
      <c r="H642" s="30">
        <f>VLOOKUP(B642,'Dữ liệu TQNM'!$B$7:$F$769,5,0)</f>
        <v>0</v>
      </c>
      <c r="I642" s="30">
        <f>COUNTIF('Nộp báo cáo'!$A$3:$A$1993,'Tổng 24-25'!B642)</f>
        <v>0</v>
      </c>
      <c r="J642" s="91"/>
    </row>
    <row r="643" spans="1:10" ht="18.75" customHeight="1" x14ac:dyDescent="0.3">
      <c r="A643" s="31">
        <v>637</v>
      </c>
      <c r="B643" s="107">
        <v>2005222506</v>
      </c>
      <c r="C643" s="33" t="s">
        <v>1227</v>
      </c>
      <c r="D643" s="34" t="s">
        <v>1228</v>
      </c>
      <c r="E643" s="32" t="s">
        <v>1035</v>
      </c>
      <c r="F643" s="35" t="s">
        <v>337</v>
      </c>
      <c r="G643" s="36" t="s">
        <v>633</v>
      </c>
      <c r="H643" s="30">
        <f>VLOOKUP(B643,'Dữ liệu TQNM'!$B$7:$F$769,5,0)</f>
        <v>0</v>
      </c>
      <c r="I643" s="30">
        <f>COUNTIF('Nộp báo cáo'!$A$3:$A$1993,'Tổng 24-25'!B643)</f>
        <v>0</v>
      </c>
      <c r="J643" s="91"/>
    </row>
    <row r="644" spans="1:10" s="18" customFormat="1" ht="18.75" customHeight="1" x14ac:dyDescent="0.3">
      <c r="A644" s="19">
        <v>638</v>
      </c>
      <c r="B644" s="20">
        <v>2005222534</v>
      </c>
      <c r="C644" s="21" t="s">
        <v>675</v>
      </c>
      <c r="D644" s="22" t="s">
        <v>484</v>
      </c>
      <c r="E644" s="20" t="s">
        <v>692</v>
      </c>
      <c r="F644" s="23" t="s">
        <v>337</v>
      </c>
      <c r="G644" s="30" t="s">
        <v>633</v>
      </c>
      <c r="H644" s="30">
        <f>VLOOKUP(B644,'Dữ liệu TQNM'!$B$7:$F$769,5,0)</f>
        <v>2</v>
      </c>
      <c r="I644" s="30">
        <f>COUNTIF('Nộp báo cáo'!$A$3:$A$1993,'Tổng 24-25'!B644)</f>
        <v>3</v>
      </c>
      <c r="J644" s="91"/>
    </row>
    <row r="645" spans="1:10" s="18" customFormat="1" ht="18.75" customHeight="1" x14ac:dyDescent="0.3">
      <c r="A645" s="19">
        <v>639</v>
      </c>
      <c r="B645" s="20">
        <v>2005222526</v>
      </c>
      <c r="C645" s="21" t="s">
        <v>691</v>
      </c>
      <c r="D645" s="22" t="s">
        <v>484</v>
      </c>
      <c r="E645" s="20" t="s">
        <v>145</v>
      </c>
      <c r="F645" s="23" t="s">
        <v>337</v>
      </c>
      <c r="G645" s="30" t="s">
        <v>633</v>
      </c>
      <c r="H645" s="30">
        <f>VLOOKUP(B645,'Dữ liệu TQNM'!$B$7:$F$769,5,0)</f>
        <v>3</v>
      </c>
      <c r="I645" s="30">
        <f>COUNTIF('Nộp báo cáo'!$A$3:$A$1993,'Tổng 24-25'!B645)</f>
        <v>3</v>
      </c>
      <c r="J645" s="91"/>
    </row>
    <row r="646" spans="1:10" s="18" customFormat="1" ht="18.75" customHeight="1" x14ac:dyDescent="0.3">
      <c r="A646" s="19">
        <v>640</v>
      </c>
      <c r="B646" s="20">
        <v>2005222780</v>
      </c>
      <c r="C646" s="21" t="s">
        <v>9</v>
      </c>
      <c r="D646" s="22" t="s">
        <v>152</v>
      </c>
      <c r="E646" s="20" t="s">
        <v>940</v>
      </c>
      <c r="F646" s="23" t="s">
        <v>337</v>
      </c>
      <c r="G646" s="30" t="s">
        <v>633</v>
      </c>
      <c r="H646" s="30">
        <f>VLOOKUP(B646,'Dữ liệu TQNM'!$B$7:$F$769,5,0)</f>
        <v>3</v>
      </c>
      <c r="I646" s="30">
        <f>COUNTIF('Nộp báo cáo'!$A$3:$A$1993,'Tổng 24-25'!B646)</f>
        <v>0</v>
      </c>
      <c r="J646" s="91"/>
    </row>
    <row r="647" spans="1:10" s="18" customFormat="1" ht="18.75" customHeight="1" x14ac:dyDescent="0.3">
      <c r="A647" s="19">
        <v>641</v>
      </c>
      <c r="B647" s="20">
        <v>2005222914</v>
      </c>
      <c r="C647" s="21" t="s">
        <v>98</v>
      </c>
      <c r="D647" s="22" t="s">
        <v>92</v>
      </c>
      <c r="E647" s="20" t="s">
        <v>672</v>
      </c>
      <c r="F647" s="23" t="s">
        <v>337</v>
      </c>
      <c r="G647" s="30" t="s">
        <v>633</v>
      </c>
      <c r="H647" s="30">
        <f>VLOOKUP(B647,'Dữ liệu TQNM'!$B$7:$F$769,5,0)</f>
        <v>2</v>
      </c>
      <c r="I647" s="30">
        <f>COUNTIF('Nộp báo cáo'!$A$3:$A$1993,'Tổng 24-25'!B647)</f>
        <v>3</v>
      </c>
      <c r="J647" s="91"/>
    </row>
    <row r="648" spans="1:10" s="18" customFormat="1" ht="18.75" customHeight="1" x14ac:dyDescent="0.3">
      <c r="A648" s="19">
        <v>642</v>
      </c>
      <c r="B648" s="20">
        <v>2005223062</v>
      </c>
      <c r="C648" s="21" t="s">
        <v>693</v>
      </c>
      <c r="D648" s="22" t="s">
        <v>51</v>
      </c>
      <c r="E648" s="20" t="s">
        <v>1229</v>
      </c>
      <c r="F648" s="23" t="s">
        <v>337</v>
      </c>
      <c r="G648" s="30" t="s">
        <v>633</v>
      </c>
      <c r="H648" s="30">
        <f>VLOOKUP(B648,'Dữ liệu TQNM'!$B$7:$F$769,5,0)</f>
        <v>2</v>
      </c>
      <c r="I648" s="30">
        <f>COUNTIF('Nộp báo cáo'!$A$3:$A$1993,'Tổng 24-25'!B648)</f>
        <v>3</v>
      </c>
      <c r="J648" s="91"/>
    </row>
    <row r="649" spans="1:10" s="18" customFormat="1" ht="18.75" customHeight="1" x14ac:dyDescent="0.3">
      <c r="A649" s="19">
        <v>643</v>
      </c>
      <c r="B649" s="20">
        <v>2005223246</v>
      </c>
      <c r="C649" s="21" t="s">
        <v>694</v>
      </c>
      <c r="D649" s="22" t="s">
        <v>367</v>
      </c>
      <c r="E649" s="20" t="s">
        <v>695</v>
      </c>
      <c r="F649" s="23" t="s">
        <v>337</v>
      </c>
      <c r="G649" s="30" t="s">
        <v>633</v>
      </c>
      <c r="H649" s="30">
        <f>VLOOKUP(B649,'Dữ liệu TQNM'!$B$7:$F$769,5,0)</f>
        <v>2</v>
      </c>
      <c r="I649" s="30">
        <f>COUNTIF('Nộp báo cáo'!$A$3:$A$1993,'Tổng 24-25'!B649)</f>
        <v>3</v>
      </c>
      <c r="J649" s="91"/>
    </row>
    <row r="650" spans="1:10" s="18" customFormat="1" ht="18.75" customHeight="1" x14ac:dyDescent="0.3">
      <c r="A650" s="19">
        <v>644</v>
      </c>
      <c r="B650" s="20">
        <v>2005223476</v>
      </c>
      <c r="C650" s="21" t="s">
        <v>696</v>
      </c>
      <c r="D650" s="22" t="s">
        <v>697</v>
      </c>
      <c r="E650" s="20" t="s">
        <v>985</v>
      </c>
      <c r="F650" s="23" t="s">
        <v>337</v>
      </c>
      <c r="G650" s="30" t="s">
        <v>633</v>
      </c>
      <c r="H650" s="30">
        <f>VLOOKUP(B650,'Dữ liệu TQNM'!$B$7:$F$769,5,0)</f>
        <v>3</v>
      </c>
      <c r="I650" s="30">
        <f>COUNTIF('Nộp báo cáo'!$A$3:$A$1993,'Tổng 24-25'!B650)</f>
        <v>3</v>
      </c>
      <c r="J650" s="91"/>
    </row>
    <row r="651" spans="1:10" s="18" customFormat="1" ht="18.75" customHeight="1" x14ac:dyDescent="0.3">
      <c r="A651" s="19">
        <v>645</v>
      </c>
      <c r="B651" s="20">
        <v>2005223497</v>
      </c>
      <c r="C651" s="21" t="s">
        <v>288</v>
      </c>
      <c r="D651" s="22" t="s">
        <v>318</v>
      </c>
      <c r="E651" s="20" t="s">
        <v>990</v>
      </c>
      <c r="F651" s="23" t="s">
        <v>337</v>
      </c>
      <c r="G651" s="30" t="s">
        <v>633</v>
      </c>
      <c r="H651" s="30">
        <f>VLOOKUP(B651,'Dữ liệu TQNM'!$B$7:$F$769,5,0)</f>
        <v>2</v>
      </c>
      <c r="I651" s="30">
        <f>COUNTIF('Nộp báo cáo'!$A$3:$A$1993,'Tổng 24-25'!B651)</f>
        <v>3</v>
      </c>
      <c r="J651" s="91"/>
    </row>
    <row r="652" spans="1:10" s="18" customFormat="1" ht="18.75" customHeight="1" x14ac:dyDescent="0.3">
      <c r="A652" s="19">
        <v>646</v>
      </c>
      <c r="B652" s="20">
        <v>2005223562</v>
      </c>
      <c r="C652" s="21" t="s">
        <v>698</v>
      </c>
      <c r="D652" s="22" t="s">
        <v>249</v>
      </c>
      <c r="E652" s="20" t="s">
        <v>595</v>
      </c>
      <c r="F652" s="23" t="s">
        <v>337</v>
      </c>
      <c r="G652" s="30" t="s">
        <v>633</v>
      </c>
      <c r="H652" s="30">
        <f>VLOOKUP(B652,'Dữ liệu TQNM'!$B$7:$F$769,5,0)</f>
        <v>2</v>
      </c>
      <c r="I652" s="30">
        <f>COUNTIF('Nộp báo cáo'!$A$3:$A$1993,'Tổng 24-25'!B652)</f>
        <v>3</v>
      </c>
      <c r="J652" s="91"/>
    </row>
    <row r="653" spans="1:10" s="18" customFormat="1" ht="18.75" customHeight="1" x14ac:dyDescent="0.3">
      <c r="A653" s="19">
        <v>647</v>
      </c>
      <c r="B653" s="20">
        <v>2005224053</v>
      </c>
      <c r="C653" s="21" t="s">
        <v>699</v>
      </c>
      <c r="D653" s="22" t="s">
        <v>700</v>
      </c>
      <c r="E653" s="20" t="s">
        <v>701</v>
      </c>
      <c r="F653" s="23" t="s">
        <v>337</v>
      </c>
      <c r="G653" s="30" t="s">
        <v>633</v>
      </c>
      <c r="H653" s="30">
        <f>VLOOKUP(B653,'Dữ liệu TQNM'!$B$7:$F$769,5,0)</f>
        <v>2</v>
      </c>
      <c r="I653" s="30">
        <f>COUNTIF('Nộp báo cáo'!$A$3:$A$1993,'Tổng 24-25'!B653)</f>
        <v>3</v>
      </c>
      <c r="J653" s="91"/>
    </row>
    <row r="654" spans="1:10" s="18" customFormat="1" ht="18.75" customHeight="1" x14ac:dyDescent="0.3">
      <c r="A654" s="19">
        <v>648</v>
      </c>
      <c r="B654" s="20">
        <v>2005224261</v>
      </c>
      <c r="C654" s="21" t="s">
        <v>702</v>
      </c>
      <c r="D654" s="22" t="s">
        <v>142</v>
      </c>
      <c r="E654" s="20" t="s">
        <v>215</v>
      </c>
      <c r="F654" s="23" t="s">
        <v>337</v>
      </c>
      <c r="G654" s="30" t="s">
        <v>633</v>
      </c>
      <c r="H654" s="30">
        <f>VLOOKUP(B654,'Dữ liệu TQNM'!$B$7:$F$769,5,0)</f>
        <v>3</v>
      </c>
      <c r="I654" s="30">
        <f>COUNTIF('Nộp báo cáo'!$A$3:$A$1993,'Tổng 24-25'!B654)</f>
        <v>3</v>
      </c>
      <c r="J654" s="91"/>
    </row>
    <row r="655" spans="1:10" s="18" customFormat="1" ht="18.75" customHeight="1" x14ac:dyDescent="0.3">
      <c r="A655" s="19">
        <v>649</v>
      </c>
      <c r="B655" s="20">
        <v>2005224653</v>
      </c>
      <c r="C655" s="21" t="s">
        <v>87</v>
      </c>
      <c r="D655" s="22" t="s">
        <v>183</v>
      </c>
      <c r="E655" s="20" t="s">
        <v>339</v>
      </c>
      <c r="F655" s="23" t="s">
        <v>337</v>
      </c>
      <c r="G655" s="30" t="s">
        <v>294</v>
      </c>
      <c r="H655" s="30">
        <f>VLOOKUP(B655,'Dữ liệu TQNM'!$B$7:$F$769,5,0)</f>
        <v>2</v>
      </c>
      <c r="I655" s="30">
        <f>COUNTIF('Nộp báo cáo'!$A$3:$A$1993,'Tổng 24-25'!B655)</f>
        <v>2</v>
      </c>
      <c r="J655" s="91"/>
    </row>
    <row r="656" spans="1:10" s="18" customFormat="1" ht="18.75" customHeight="1" x14ac:dyDescent="0.3">
      <c r="A656" s="19">
        <v>650</v>
      </c>
      <c r="B656" s="20">
        <v>2005224677</v>
      </c>
      <c r="C656" s="21" t="s">
        <v>340</v>
      </c>
      <c r="D656" s="22" t="s">
        <v>100</v>
      </c>
      <c r="E656" s="20" t="s">
        <v>1182</v>
      </c>
      <c r="F656" s="23" t="s">
        <v>337</v>
      </c>
      <c r="G656" s="30" t="s">
        <v>294</v>
      </c>
      <c r="H656" s="30">
        <f>VLOOKUP(B656,'Dữ liệu TQNM'!$B$7:$F$769,5,0)</f>
        <v>3</v>
      </c>
      <c r="I656" s="30">
        <f>COUNTIF('Nộp báo cáo'!$A$3:$A$1993,'Tổng 24-25'!B656)</f>
        <v>3</v>
      </c>
      <c r="J656" s="91"/>
    </row>
    <row r="657" spans="1:10" s="18" customFormat="1" ht="18.75" customHeight="1" x14ac:dyDescent="0.3">
      <c r="A657" s="19">
        <v>651</v>
      </c>
      <c r="B657" s="20">
        <v>2005224754</v>
      </c>
      <c r="C657" s="21" t="s">
        <v>341</v>
      </c>
      <c r="D657" s="22" t="s">
        <v>102</v>
      </c>
      <c r="E657" s="20" t="s">
        <v>342</v>
      </c>
      <c r="F657" s="23" t="s">
        <v>337</v>
      </c>
      <c r="G657" s="30" t="s">
        <v>294</v>
      </c>
      <c r="H657" s="30">
        <f>VLOOKUP(B657,'Dữ liệu TQNM'!$B$7:$F$769,5,0)</f>
        <v>3</v>
      </c>
      <c r="I657" s="30">
        <f>COUNTIF('Nộp báo cáo'!$A$3:$A$1993,'Tổng 24-25'!B657)</f>
        <v>3</v>
      </c>
      <c r="J657" s="91"/>
    </row>
    <row r="658" spans="1:10" s="18" customFormat="1" ht="18.75" customHeight="1" x14ac:dyDescent="0.3">
      <c r="A658" s="19">
        <v>652</v>
      </c>
      <c r="B658" s="20">
        <v>2005224896</v>
      </c>
      <c r="C658" s="21" t="s">
        <v>343</v>
      </c>
      <c r="D658" s="22" t="s">
        <v>344</v>
      </c>
      <c r="E658" s="20" t="s">
        <v>345</v>
      </c>
      <c r="F658" s="23" t="s">
        <v>337</v>
      </c>
      <c r="G658" s="30" t="s">
        <v>294</v>
      </c>
      <c r="H658" s="30">
        <f>VLOOKUP(B658,'Dữ liệu TQNM'!$B$7:$F$769,5,0)</f>
        <v>2</v>
      </c>
      <c r="I658" s="30">
        <f>COUNTIF('Nộp báo cáo'!$A$3:$A$1993,'Tổng 24-25'!B658)</f>
        <v>2</v>
      </c>
      <c r="J658" s="91"/>
    </row>
    <row r="659" spans="1:10" ht="18.75" customHeight="1" x14ac:dyDescent="0.3">
      <c r="A659" s="31">
        <v>653</v>
      </c>
      <c r="B659" s="107">
        <v>2005225165</v>
      </c>
      <c r="C659" s="33" t="s">
        <v>1230</v>
      </c>
      <c r="D659" s="34" t="s">
        <v>123</v>
      </c>
      <c r="E659" s="32" t="s">
        <v>907</v>
      </c>
      <c r="F659" s="35" t="s">
        <v>337</v>
      </c>
      <c r="G659" s="36" t="s">
        <v>294</v>
      </c>
      <c r="H659" s="30">
        <f>VLOOKUP(B659,'Dữ liệu TQNM'!$B$7:$F$769,5,0)</f>
        <v>2</v>
      </c>
      <c r="I659" s="30">
        <f>COUNTIF('Nộp báo cáo'!$A$3:$A$1993,'Tổng 24-25'!B659)</f>
        <v>3</v>
      </c>
      <c r="J659" s="91"/>
    </row>
    <row r="660" spans="1:10" s="18" customFormat="1" ht="18.75" customHeight="1" x14ac:dyDescent="0.3">
      <c r="A660" s="19">
        <v>654</v>
      </c>
      <c r="B660" s="20">
        <v>2005225205</v>
      </c>
      <c r="C660" s="21" t="s">
        <v>346</v>
      </c>
      <c r="D660" s="22" t="s">
        <v>123</v>
      </c>
      <c r="E660" s="20" t="s">
        <v>347</v>
      </c>
      <c r="F660" s="23" t="s">
        <v>337</v>
      </c>
      <c r="G660" s="30" t="s">
        <v>294</v>
      </c>
      <c r="H660" s="30">
        <f>VLOOKUP(B660,'Dữ liệu TQNM'!$B$7:$F$769,5,0)</f>
        <v>3</v>
      </c>
      <c r="I660" s="30">
        <f>COUNTIF('Nộp báo cáo'!$A$3:$A$1993,'Tổng 24-25'!B660)</f>
        <v>3</v>
      </c>
      <c r="J660" s="91"/>
    </row>
    <row r="661" spans="1:10" ht="18.75" customHeight="1" x14ac:dyDescent="0.3">
      <c r="A661" s="31">
        <v>655</v>
      </c>
      <c r="B661" s="107">
        <v>2005225081</v>
      </c>
      <c r="C661" s="33" t="s">
        <v>264</v>
      </c>
      <c r="D661" s="34" t="s">
        <v>516</v>
      </c>
      <c r="E661" s="32" t="s">
        <v>164</v>
      </c>
      <c r="F661" s="35" t="s">
        <v>337</v>
      </c>
      <c r="G661" s="36" t="s">
        <v>294</v>
      </c>
      <c r="H661" s="30">
        <f>VLOOKUP(B661,'Dữ liệu TQNM'!$B$7:$F$769,5,0)</f>
        <v>0</v>
      </c>
      <c r="I661" s="30">
        <f>COUNTIF('Nộp báo cáo'!$A$3:$A$1993,'Tổng 24-25'!B661)</f>
        <v>0</v>
      </c>
      <c r="J661" s="91"/>
    </row>
    <row r="662" spans="1:10" s="18" customFormat="1" ht="18.75" customHeight="1" x14ac:dyDescent="0.3">
      <c r="A662" s="19">
        <v>656</v>
      </c>
      <c r="B662" s="20">
        <v>2005224359</v>
      </c>
      <c r="C662" s="21" t="s">
        <v>338</v>
      </c>
      <c r="D662" s="22" t="s">
        <v>54</v>
      </c>
      <c r="E662" s="20" t="s">
        <v>940</v>
      </c>
      <c r="F662" s="23" t="s">
        <v>337</v>
      </c>
      <c r="G662" s="30" t="s">
        <v>294</v>
      </c>
      <c r="H662" s="30">
        <f>VLOOKUP(B662,'Dữ liệu TQNM'!$B$7:$F$769,5,0)</f>
        <v>2</v>
      </c>
      <c r="I662" s="30">
        <f>COUNTIF('Nộp báo cáo'!$A$3:$A$1993,'Tổng 24-25'!B662)</f>
        <v>3</v>
      </c>
      <c r="J662" s="91"/>
    </row>
    <row r="663" spans="1:10" s="18" customFormat="1" ht="18.75" customHeight="1" x14ac:dyDescent="0.3">
      <c r="A663" s="19">
        <v>657</v>
      </c>
      <c r="B663" s="20">
        <v>2005224350</v>
      </c>
      <c r="C663" s="21" t="s">
        <v>348</v>
      </c>
      <c r="D663" s="22" t="s">
        <v>54</v>
      </c>
      <c r="E663" s="20" t="s">
        <v>349</v>
      </c>
      <c r="F663" s="23" t="s">
        <v>337</v>
      </c>
      <c r="G663" s="30" t="s">
        <v>294</v>
      </c>
      <c r="H663" s="30">
        <f>VLOOKUP(B663,'Dữ liệu TQNM'!$B$7:$F$769,5,0)</f>
        <v>3</v>
      </c>
      <c r="I663" s="30">
        <f>COUNTIF('Nộp báo cáo'!$A$3:$A$1993,'Tổng 24-25'!B663)</f>
        <v>3</v>
      </c>
      <c r="J663" s="91"/>
    </row>
    <row r="664" spans="1:10" s="18" customFormat="1" ht="18.75" customHeight="1" x14ac:dyDescent="0.3">
      <c r="A664" s="19">
        <v>658</v>
      </c>
      <c r="B664" s="20">
        <v>2005225490</v>
      </c>
      <c r="C664" s="21" t="s">
        <v>350</v>
      </c>
      <c r="D664" s="22" t="s">
        <v>168</v>
      </c>
      <c r="E664" s="20" t="s">
        <v>1231</v>
      </c>
      <c r="F664" s="23" t="s">
        <v>337</v>
      </c>
      <c r="G664" s="30" t="s">
        <v>294</v>
      </c>
      <c r="H664" s="30">
        <f>VLOOKUP(B664,'Dữ liệu TQNM'!$B$7:$F$769,5,0)</f>
        <v>3</v>
      </c>
      <c r="I664" s="30">
        <f>COUNTIF('Nộp báo cáo'!$A$3:$A$1993,'Tổng 24-25'!B664)</f>
        <v>3</v>
      </c>
      <c r="J664" s="91"/>
    </row>
    <row r="665" spans="1:10" s="18" customFormat="1" ht="18.75" customHeight="1" x14ac:dyDescent="0.3">
      <c r="A665" s="19">
        <v>659</v>
      </c>
      <c r="B665" s="20">
        <v>2005225622</v>
      </c>
      <c r="C665" s="21" t="s">
        <v>353</v>
      </c>
      <c r="D665" s="22" t="s">
        <v>352</v>
      </c>
      <c r="E665" s="20" t="s">
        <v>935</v>
      </c>
      <c r="F665" s="23" t="s">
        <v>337</v>
      </c>
      <c r="G665" s="30" t="s">
        <v>294</v>
      </c>
      <c r="H665" s="30">
        <f>VLOOKUP(B665,'Dữ liệu TQNM'!$B$7:$F$769,5,0)</f>
        <v>2</v>
      </c>
      <c r="I665" s="30">
        <f>COUNTIF('Nộp báo cáo'!$A$3:$A$1993,'Tổng 24-25'!B665)</f>
        <v>3</v>
      </c>
      <c r="J665" s="91"/>
    </row>
    <row r="666" spans="1:10" s="18" customFormat="1" ht="18.75" customHeight="1" x14ac:dyDescent="0.3">
      <c r="A666" s="19">
        <v>660</v>
      </c>
      <c r="B666" s="20">
        <v>2005225621</v>
      </c>
      <c r="C666" s="21" t="s">
        <v>351</v>
      </c>
      <c r="D666" s="22" t="s">
        <v>352</v>
      </c>
      <c r="E666" s="20" t="s">
        <v>980</v>
      </c>
      <c r="F666" s="23" t="s">
        <v>337</v>
      </c>
      <c r="G666" s="30" t="s">
        <v>294</v>
      </c>
      <c r="H666" s="30">
        <f>VLOOKUP(B666,'Dữ liệu TQNM'!$B$7:$F$769,5,0)</f>
        <v>2</v>
      </c>
      <c r="I666" s="30">
        <f>COUNTIF('Nộp báo cáo'!$A$3:$A$1993,'Tổng 24-25'!B666)</f>
        <v>4</v>
      </c>
      <c r="J666" s="91"/>
    </row>
    <row r="667" spans="1:10" ht="18.75" customHeight="1" x14ac:dyDescent="0.3">
      <c r="A667" s="31">
        <v>661</v>
      </c>
      <c r="B667" s="32">
        <v>2005224485</v>
      </c>
      <c r="C667" s="33" t="s">
        <v>42</v>
      </c>
      <c r="D667" s="34" t="s">
        <v>335</v>
      </c>
      <c r="E667" s="32" t="s">
        <v>336</v>
      </c>
      <c r="F667" s="35" t="s">
        <v>337</v>
      </c>
      <c r="G667" s="36" t="s">
        <v>294</v>
      </c>
      <c r="H667" s="30">
        <f>VLOOKUP(B667,'Dữ liệu TQNM'!$B$7:$F$769,5,0)</f>
        <v>0</v>
      </c>
      <c r="I667" s="30">
        <f>COUNTIF('Nộp báo cáo'!$A$3:$A$1993,'Tổng 24-25'!B667)</f>
        <v>0</v>
      </c>
      <c r="J667" s="91"/>
    </row>
    <row r="668" spans="1:10" s="18" customFormat="1" ht="18.75" customHeight="1" x14ac:dyDescent="0.3">
      <c r="A668" s="19">
        <v>662</v>
      </c>
      <c r="B668" s="20">
        <v>2005224616</v>
      </c>
      <c r="C668" s="21" t="s">
        <v>354</v>
      </c>
      <c r="D668" s="22" t="s">
        <v>355</v>
      </c>
      <c r="E668" s="20" t="s">
        <v>947</v>
      </c>
      <c r="F668" s="23" t="s">
        <v>337</v>
      </c>
      <c r="G668" s="30" t="s">
        <v>294</v>
      </c>
      <c r="H668" s="30">
        <f>VLOOKUP(B668,'Dữ liệu TQNM'!$B$7:$F$769,5,0)</f>
        <v>2</v>
      </c>
      <c r="I668" s="30">
        <f>COUNTIF('Nộp báo cáo'!$A$3:$A$1993,'Tổng 24-25'!B668)</f>
        <v>3</v>
      </c>
      <c r="J668" s="91"/>
    </row>
    <row r="669" spans="1:10" s="18" customFormat="1" ht="18.75" customHeight="1" x14ac:dyDescent="0.3">
      <c r="A669" s="19">
        <v>663</v>
      </c>
      <c r="B669" s="20">
        <v>2005225724</v>
      </c>
      <c r="C669" s="21" t="s">
        <v>356</v>
      </c>
      <c r="D669" s="22" t="s">
        <v>280</v>
      </c>
      <c r="E669" s="20" t="s">
        <v>347</v>
      </c>
      <c r="F669" s="23" t="s">
        <v>337</v>
      </c>
      <c r="G669" s="30" t="s">
        <v>294</v>
      </c>
      <c r="H669" s="30">
        <f>VLOOKUP(B669,'Dữ liệu TQNM'!$B$7:$F$769,5,0)</f>
        <v>2</v>
      </c>
      <c r="I669" s="30">
        <f>COUNTIF('Nộp báo cáo'!$A$3:$A$1993,'Tổng 24-25'!B669)</f>
        <v>3</v>
      </c>
      <c r="J669" s="91"/>
    </row>
    <row r="670" spans="1:10" s="18" customFormat="1" ht="18.75" customHeight="1" x14ac:dyDescent="0.3">
      <c r="A670" s="19">
        <v>664</v>
      </c>
      <c r="B670" s="20">
        <v>2005225987</v>
      </c>
      <c r="C670" s="21" t="s">
        <v>357</v>
      </c>
      <c r="D670" s="22" t="s">
        <v>56</v>
      </c>
      <c r="E670" s="20" t="s">
        <v>1005</v>
      </c>
      <c r="F670" s="23" t="s">
        <v>337</v>
      </c>
      <c r="G670" s="30" t="s">
        <v>294</v>
      </c>
      <c r="H670" s="30">
        <f>VLOOKUP(B670,'Dữ liệu TQNM'!$B$7:$F$769,5,0)</f>
        <v>3</v>
      </c>
      <c r="I670" s="30">
        <f>COUNTIF('Nộp báo cáo'!$A$3:$A$1993,'Tổng 24-25'!B670)</f>
        <v>3</v>
      </c>
      <c r="J670" s="91"/>
    </row>
    <row r="671" spans="1:10" s="18" customFormat="1" ht="18.75" customHeight="1" x14ac:dyDescent="0.3">
      <c r="A671" s="19">
        <v>665</v>
      </c>
      <c r="B671" s="20">
        <v>2005226129</v>
      </c>
      <c r="C671" s="21" t="s">
        <v>358</v>
      </c>
      <c r="D671" s="22" t="s">
        <v>135</v>
      </c>
      <c r="E671" s="20" t="s">
        <v>359</v>
      </c>
      <c r="F671" s="23" t="s">
        <v>337</v>
      </c>
      <c r="G671" s="30" t="s">
        <v>294</v>
      </c>
      <c r="H671" s="30">
        <f>VLOOKUP(B671,'Dữ liệu TQNM'!$B$7:$F$769,5,0)</f>
        <v>3</v>
      </c>
      <c r="I671" s="30">
        <f>COUNTIF('Nộp báo cáo'!$A$3:$A$1993,'Tổng 24-25'!B671)</f>
        <v>4</v>
      </c>
      <c r="J671" s="91"/>
    </row>
    <row r="672" spans="1:10" s="18" customFormat="1" ht="18.75" customHeight="1" x14ac:dyDescent="0.3">
      <c r="A672" s="19">
        <v>666</v>
      </c>
      <c r="B672" s="20">
        <v>2005220001</v>
      </c>
      <c r="C672" s="21" t="s">
        <v>384</v>
      </c>
      <c r="D672" s="22" t="s">
        <v>385</v>
      </c>
      <c r="E672" s="20" t="s">
        <v>1232</v>
      </c>
      <c r="F672" s="23" t="s">
        <v>360</v>
      </c>
      <c r="G672" s="30" t="s">
        <v>294</v>
      </c>
      <c r="H672" s="30">
        <f>VLOOKUP(B672,'Dữ liệu TQNM'!$B$7:$F$769,5,0)</f>
        <v>3</v>
      </c>
      <c r="I672" s="30">
        <f>COUNTIF('Nộp báo cáo'!$A$3:$A$1993,'Tổng 24-25'!B672)</f>
        <v>3</v>
      </c>
      <c r="J672" s="91"/>
    </row>
    <row r="673" spans="1:10" ht="18.75" customHeight="1" x14ac:dyDescent="0.3">
      <c r="A673" s="31">
        <v>667</v>
      </c>
      <c r="B673" s="107">
        <v>2005220037</v>
      </c>
      <c r="C673" s="33" t="s">
        <v>1233</v>
      </c>
      <c r="D673" s="34" t="s">
        <v>71</v>
      </c>
      <c r="E673" s="32" t="s">
        <v>845</v>
      </c>
      <c r="F673" s="35" t="s">
        <v>360</v>
      </c>
      <c r="G673" s="36" t="s">
        <v>294</v>
      </c>
      <c r="H673" s="30">
        <f>VLOOKUP(B673,'Dữ liệu TQNM'!$B$7:$F$769,5,0)</f>
        <v>1</v>
      </c>
      <c r="I673" s="30">
        <f>COUNTIF('Nộp báo cáo'!$A$3:$A$1993,'Tổng 24-25'!B673)</f>
        <v>0</v>
      </c>
      <c r="J673" s="91"/>
    </row>
    <row r="674" spans="1:10" s="18" customFormat="1" ht="18.75" customHeight="1" x14ac:dyDescent="0.3">
      <c r="A674" s="19">
        <v>668</v>
      </c>
      <c r="B674" s="20">
        <v>2005220247</v>
      </c>
      <c r="C674" s="21" t="s">
        <v>386</v>
      </c>
      <c r="D674" s="22" t="s">
        <v>170</v>
      </c>
      <c r="E674" s="20" t="s">
        <v>206</v>
      </c>
      <c r="F674" s="23" t="s">
        <v>360</v>
      </c>
      <c r="G674" s="30" t="s">
        <v>294</v>
      </c>
      <c r="H674" s="30">
        <f>VLOOKUP(B674,'Dữ liệu TQNM'!$B$7:$F$769,5,0)</f>
        <v>3</v>
      </c>
      <c r="I674" s="30">
        <f>COUNTIF('Nộp báo cáo'!$A$3:$A$1993,'Tổng 24-25'!B674)</f>
        <v>3</v>
      </c>
      <c r="J674" s="91"/>
    </row>
    <row r="675" spans="1:10" s="18" customFormat="1" ht="18.75" customHeight="1" x14ac:dyDescent="0.3">
      <c r="A675" s="19">
        <v>669</v>
      </c>
      <c r="B675" s="20">
        <v>2005220410</v>
      </c>
      <c r="C675" s="21" t="s">
        <v>44</v>
      </c>
      <c r="D675" s="22" t="s">
        <v>379</v>
      </c>
      <c r="E675" s="20" t="s">
        <v>952</v>
      </c>
      <c r="F675" s="23" t="s">
        <v>360</v>
      </c>
      <c r="G675" s="30" t="s">
        <v>294</v>
      </c>
      <c r="H675" s="30">
        <f>VLOOKUP(B675,'Dữ liệu TQNM'!$B$7:$F$769,5,0)</f>
        <v>2</v>
      </c>
      <c r="I675" s="30">
        <f>COUNTIF('Nộp báo cáo'!$A$3:$A$1993,'Tổng 24-25'!B675)</f>
        <v>3</v>
      </c>
      <c r="J675" s="91"/>
    </row>
    <row r="676" spans="1:10" s="18" customFormat="1" ht="18.75" customHeight="1" x14ac:dyDescent="0.3">
      <c r="A676" s="19">
        <v>670</v>
      </c>
      <c r="B676" s="20">
        <v>2005220576</v>
      </c>
      <c r="C676" s="21" t="s">
        <v>387</v>
      </c>
      <c r="D676" s="22" t="s">
        <v>388</v>
      </c>
      <c r="E676" s="20" t="s">
        <v>389</v>
      </c>
      <c r="F676" s="23" t="s">
        <v>360</v>
      </c>
      <c r="G676" s="30" t="s">
        <v>294</v>
      </c>
      <c r="H676" s="30">
        <f>VLOOKUP(B676,'Dữ liệu TQNM'!$B$7:$F$769,5,0)</f>
        <v>3</v>
      </c>
      <c r="I676" s="30">
        <f>COUNTIF('Nộp báo cáo'!$A$3:$A$1993,'Tổng 24-25'!B676)</f>
        <v>3</v>
      </c>
      <c r="J676" s="91"/>
    </row>
    <row r="677" spans="1:10" s="18" customFormat="1" ht="18.75" customHeight="1" x14ac:dyDescent="0.3">
      <c r="A677" s="19">
        <v>671</v>
      </c>
      <c r="B677" s="20">
        <v>2005220892</v>
      </c>
      <c r="C677" s="21" t="s">
        <v>368</v>
      </c>
      <c r="D677" s="22" t="s">
        <v>369</v>
      </c>
      <c r="E677" s="20" t="s">
        <v>1151</v>
      </c>
      <c r="F677" s="23" t="s">
        <v>360</v>
      </c>
      <c r="G677" s="30" t="s">
        <v>294</v>
      </c>
      <c r="H677" s="30">
        <f>VLOOKUP(B677,'Dữ liệu TQNM'!$B$7:$F$769,5,0)</f>
        <v>3</v>
      </c>
      <c r="I677" s="30">
        <f>COUNTIF('Nộp báo cáo'!$A$3:$A$1993,'Tổng 24-25'!B677)</f>
        <v>4</v>
      </c>
      <c r="J677" s="91"/>
    </row>
    <row r="678" spans="1:10" ht="18.75" customHeight="1" x14ac:dyDescent="0.3">
      <c r="A678" s="31">
        <v>672</v>
      </c>
      <c r="B678" s="107">
        <v>2005220581</v>
      </c>
      <c r="C678" s="33" t="s">
        <v>1234</v>
      </c>
      <c r="D678" s="34" t="s">
        <v>1235</v>
      </c>
      <c r="E678" s="32" t="s">
        <v>243</v>
      </c>
      <c r="F678" s="35" t="s">
        <v>360</v>
      </c>
      <c r="G678" s="36" t="s">
        <v>294</v>
      </c>
      <c r="H678" s="30">
        <f>VLOOKUP(B678,'Dữ liệu TQNM'!$B$7:$F$769,5,0)</f>
        <v>2</v>
      </c>
      <c r="I678" s="30">
        <f>COUNTIF('Nộp báo cáo'!$A$3:$A$1993,'Tổng 24-25'!B678)</f>
        <v>0</v>
      </c>
      <c r="J678" s="91"/>
    </row>
    <row r="679" spans="1:10" s="18" customFormat="1" ht="18.75" customHeight="1" x14ac:dyDescent="0.3">
      <c r="A679" s="19">
        <v>673</v>
      </c>
      <c r="B679" s="20">
        <v>2005220730</v>
      </c>
      <c r="C679" s="21" t="s">
        <v>370</v>
      </c>
      <c r="D679" s="22" t="s">
        <v>73</v>
      </c>
      <c r="E679" s="20" t="s">
        <v>371</v>
      </c>
      <c r="F679" s="23" t="s">
        <v>360</v>
      </c>
      <c r="G679" s="30" t="s">
        <v>294</v>
      </c>
      <c r="H679" s="30">
        <f>VLOOKUP(B679,'Dữ liệu TQNM'!$B$7:$F$769,5,0)</f>
        <v>3</v>
      </c>
      <c r="I679" s="30">
        <f>COUNTIF('Nộp báo cáo'!$A$3:$A$1993,'Tổng 24-25'!B679)</f>
        <v>0</v>
      </c>
      <c r="J679" s="91"/>
    </row>
    <row r="680" spans="1:10" s="18" customFormat="1" ht="18.75" customHeight="1" x14ac:dyDescent="0.3">
      <c r="A680" s="19">
        <v>674</v>
      </c>
      <c r="B680" s="20">
        <v>2005220725</v>
      </c>
      <c r="C680" s="21" t="s">
        <v>390</v>
      </c>
      <c r="D680" s="22" t="s">
        <v>73</v>
      </c>
      <c r="E680" s="20" t="s">
        <v>391</v>
      </c>
      <c r="F680" s="23" t="s">
        <v>360</v>
      </c>
      <c r="G680" s="30" t="s">
        <v>294</v>
      </c>
      <c r="H680" s="30">
        <f>VLOOKUP(B680,'Dữ liệu TQNM'!$B$7:$F$769,5,0)</f>
        <v>3</v>
      </c>
      <c r="I680" s="30">
        <f>COUNTIF('Nộp báo cáo'!$A$3:$A$1993,'Tổng 24-25'!B680)</f>
        <v>3</v>
      </c>
      <c r="J680" s="91"/>
    </row>
    <row r="681" spans="1:10" s="18" customFormat="1" ht="18.75" customHeight="1" x14ac:dyDescent="0.3">
      <c r="A681" s="19">
        <v>675</v>
      </c>
      <c r="B681" s="20">
        <v>2005221145</v>
      </c>
      <c r="C681" s="21" t="s">
        <v>264</v>
      </c>
      <c r="D681" s="22" t="s">
        <v>85</v>
      </c>
      <c r="E681" s="20" t="s">
        <v>937</v>
      </c>
      <c r="F681" s="23" t="s">
        <v>360</v>
      </c>
      <c r="G681" s="30" t="s">
        <v>294</v>
      </c>
      <c r="H681" s="30">
        <f>VLOOKUP(B681,'Dữ liệu TQNM'!$B$7:$F$769,5,0)</f>
        <v>3</v>
      </c>
      <c r="I681" s="30">
        <f>COUNTIF('Nộp báo cáo'!$A$3:$A$1993,'Tổng 24-25'!B681)</f>
        <v>4</v>
      </c>
      <c r="J681" s="91"/>
    </row>
    <row r="682" spans="1:10" ht="18.75" customHeight="1" x14ac:dyDescent="0.3">
      <c r="A682" s="31">
        <v>676</v>
      </c>
      <c r="B682" s="107">
        <v>2005221128</v>
      </c>
      <c r="C682" s="33" t="s">
        <v>1236</v>
      </c>
      <c r="D682" s="34" t="s">
        <v>85</v>
      </c>
      <c r="E682" s="32" t="s">
        <v>903</v>
      </c>
      <c r="F682" s="35" t="s">
        <v>360</v>
      </c>
      <c r="G682" s="36" t="s">
        <v>294</v>
      </c>
      <c r="H682" s="30">
        <f>VLOOKUP(B682,'Dữ liệu TQNM'!$B$7:$F$769,5,0)</f>
        <v>0</v>
      </c>
      <c r="I682" s="30">
        <f>COUNTIF('Nộp báo cáo'!$A$3:$A$1993,'Tổng 24-25'!B682)</f>
        <v>0</v>
      </c>
      <c r="J682" s="91"/>
    </row>
    <row r="683" spans="1:10" s="18" customFormat="1" ht="18.75" customHeight="1" x14ac:dyDescent="0.3">
      <c r="A683" s="19">
        <v>677</v>
      </c>
      <c r="B683" s="20">
        <v>2005221213</v>
      </c>
      <c r="C683" s="21" t="s">
        <v>392</v>
      </c>
      <c r="D683" s="22" t="s">
        <v>373</v>
      </c>
      <c r="E683" s="20" t="s">
        <v>1023</v>
      </c>
      <c r="F683" s="23" t="s">
        <v>360</v>
      </c>
      <c r="G683" s="30" t="s">
        <v>294</v>
      </c>
      <c r="H683" s="30">
        <f>VLOOKUP(B683,'Dữ liệu TQNM'!$B$7:$F$769,5,0)</f>
        <v>2</v>
      </c>
      <c r="I683" s="30">
        <f>COUNTIF('Nộp báo cáo'!$A$3:$A$1993,'Tổng 24-25'!B683)</f>
        <v>2</v>
      </c>
      <c r="J683" s="91"/>
    </row>
    <row r="684" spans="1:10" s="18" customFormat="1" ht="18.75" customHeight="1" x14ac:dyDescent="0.3">
      <c r="A684" s="19">
        <v>678</v>
      </c>
      <c r="B684" s="20">
        <v>2005221225</v>
      </c>
      <c r="C684" s="21" t="s">
        <v>393</v>
      </c>
      <c r="D684" s="22" t="s">
        <v>394</v>
      </c>
      <c r="E684" s="20" t="s">
        <v>1232</v>
      </c>
      <c r="F684" s="23" t="s">
        <v>360</v>
      </c>
      <c r="G684" s="30" t="s">
        <v>294</v>
      </c>
      <c r="H684" s="30">
        <f>VLOOKUP(B684,'Dữ liệu TQNM'!$B$7:$F$769,5,0)</f>
        <v>3</v>
      </c>
      <c r="I684" s="30">
        <f>COUNTIF('Nộp báo cáo'!$A$3:$A$1993,'Tổng 24-25'!B684)</f>
        <v>3</v>
      </c>
      <c r="J684" s="91"/>
    </row>
    <row r="685" spans="1:10" s="18" customFormat="1" ht="18.75" customHeight="1" x14ac:dyDescent="0.3">
      <c r="A685" s="19">
        <v>679</v>
      </c>
      <c r="B685" s="20">
        <v>2005221212</v>
      </c>
      <c r="C685" s="21" t="s">
        <v>372</v>
      </c>
      <c r="D685" s="22" t="s">
        <v>373</v>
      </c>
      <c r="E685" s="20" t="s">
        <v>997</v>
      </c>
      <c r="F685" s="23" t="s">
        <v>360</v>
      </c>
      <c r="G685" s="30" t="s">
        <v>294</v>
      </c>
      <c r="H685" s="30">
        <f>VLOOKUP(B685,'Dữ liệu TQNM'!$B$7:$F$769,5,0)</f>
        <v>3</v>
      </c>
      <c r="I685" s="30">
        <f>COUNTIF('Nộp báo cáo'!$A$3:$A$1993,'Tổng 24-25'!B685)</f>
        <v>3</v>
      </c>
      <c r="J685" s="91"/>
    </row>
    <row r="686" spans="1:10" s="18" customFormat="1" ht="18.75" customHeight="1" x14ac:dyDescent="0.3">
      <c r="A686" s="19">
        <v>680</v>
      </c>
      <c r="B686" s="20">
        <v>2005221354</v>
      </c>
      <c r="C686" s="21" t="s">
        <v>395</v>
      </c>
      <c r="D686" s="22" t="s">
        <v>105</v>
      </c>
      <c r="E686" s="20" t="s">
        <v>396</v>
      </c>
      <c r="F686" s="23" t="s">
        <v>360</v>
      </c>
      <c r="G686" s="30" t="s">
        <v>294</v>
      </c>
      <c r="H686" s="30">
        <f>VLOOKUP(B686,'Dữ liệu TQNM'!$B$7:$F$769,5,0)</f>
        <v>3</v>
      </c>
      <c r="I686" s="30">
        <f>COUNTIF('Nộp báo cáo'!$A$3:$A$1993,'Tổng 24-25'!B686)</f>
        <v>3</v>
      </c>
      <c r="J686" s="91"/>
    </row>
    <row r="687" spans="1:10" ht="18.75" customHeight="1" x14ac:dyDescent="0.3">
      <c r="A687" s="31">
        <v>681</v>
      </c>
      <c r="B687" s="32">
        <v>2005221568</v>
      </c>
      <c r="C687" s="33" t="s">
        <v>87</v>
      </c>
      <c r="D687" s="34" t="s">
        <v>397</v>
      </c>
      <c r="E687" s="32" t="s">
        <v>391</v>
      </c>
      <c r="F687" s="35" t="s">
        <v>360</v>
      </c>
      <c r="G687" s="36" t="s">
        <v>294</v>
      </c>
      <c r="H687" s="30">
        <f>VLOOKUP(B687,'Dữ liệu TQNM'!$B$7:$F$769,5,0)</f>
        <v>0</v>
      </c>
      <c r="I687" s="30">
        <f>COUNTIF('Nộp báo cáo'!$A$3:$A$1993,'Tổng 24-25'!B687)</f>
        <v>0</v>
      </c>
      <c r="J687" s="91"/>
    </row>
    <row r="688" spans="1:10" ht="18.75" customHeight="1" x14ac:dyDescent="0.3">
      <c r="A688" s="31">
        <v>682</v>
      </c>
      <c r="B688" s="107">
        <v>2005221768</v>
      </c>
      <c r="C688" s="33" t="s">
        <v>1237</v>
      </c>
      <c r="D688" s="34" t="s">
        <v>479</v>
      </c>
      <c r="E688" s="32" t="s">
        <v>1187</v>
      </c>
      <c r="F688" s="35" t="s">
        <v>360</v>
      </c>
      <c r="G688" s="36" t="s">
        <v>294</v>
      </c>
      <c r="H688" s="30">
        <f>VLOOKUP(B688,'Dữ liệu TQNM'!$B$7:$F$769,5,0)</f>
        <v>1</v>
      </c>
      <c r="I688" s="30">
        <f>COUNTIF('Nộp báo cáo'!$A$3:$A$1993,'Tổng 24-25'!B688)</f>
        <v>0</v>
      </c>
      <c r="J688" s="91"/>
    </row>
    <row r="689" spans="1:10" s="18" customFormat="1" ht="18.75" customHeight="1" x14ac:dyDescent="0.3">
      <c r="A689" s="19">
        <v>683</v>
      </c>
      <c r="B689" s="20">
        <v>2005222057</v>
      </c>
      <c r="C689" s="21" t="s">
        <v>398</v>
      </c>
      <c r="D689" s="22" t="s">
        <v>230</v>
      </c>
      <c r="E689" s="20" t="s">
        <v>1238</v>
      </c>
      <c r="F689" s="23" t="s">
        <v>360</v>
      </c>
      <c r="G689" s="30" t="s">
        <v>294</v>
      </c>
      <c r="H689" s="30">
        <f>VLOOKUP(B689,'Dữ liệu TQNM'!$B$7:$F$769,5,0)</f>
        <v>2</v>
      </c>
      <c r="I689" s="30">
        <f>COUNTIF('Nộp báo cáo'!$A$3:$A$1993,'Tổng 24-25'!B689)</f>
        <v>3</v>
      </c>
      <c r="J689" s="91"/>
    </row>
    <row r="690" spans="1:10" s="18" customFormat="1" ht="18.75" customHeight="1" x14ac:dyDescent="0.3">
      <c r="A690" s="19">
        <v>684</v>
      </c>
      <c r="B690" s="20">
        <v>2005222188</v>
      </c>
      <c r="C690" s="21" t="s">
        <v>399</v>
      </c>
      <c r="D690" s="22" t="s">
        <v>400</v>
      </c>
      <c r="E690" s="20" t="s">
        <v>1111</v>
      </c>
      <c r="F690" s="23" t="s">
        <v>360</v>
      </c>
      <c r="G690" s="30" t="s">
        <v>294</v>
      </c>
      <c r="H690" s="30">
        <f>VLOOKUP(B690,'Dữ liệu TQNM'!$B$7:$F$769,5,0)</f>
        <v>2</v>
      </c>
      <c r="I690" s="30">
        <f>COUNTIF('Nộp báo cáo'!$A$3:$A$1993,'Tổng 24-25'!B690)</f>
        <v>2</v>
      </c>
      <c r="J690" s="91"/>
    </row>
    <row r="691" spans="1:10" s="18" customFormat="1" ht="18.75" customHeight="1" x14ac:dyDescent="0.3">
      <c r="A691" s="19">
        <v>685</v>
      </c>
      <c r="B691" s="20">
        <v>2005222243</v>
      </c>
      <c r="C691" s="21" t="s">
        <v>401</v>
      </c>
      <c r="D691" s="22" t="s">
        <v>402</v>
      </c>
      <c r="E691" s="20" t="s">
        <v>990</v>
      </c>
      <c r="F691" s="23" t="s">
        <v>360</v>
      </c>
      <c r="G691" s="30" t="s">
        <v>294</v>
      </c>
      <c r="H691" s="30">
        <f>VLOOKUP(B691,'Dữ liệu TQNM'!$B$7:$F$769,5,0)</f>
        <v>3</v>
      </c>
      <c r="I691" s="30">
        <f>COUNTIF('Nộp báo cáo'!$A$3:$A$1993,'Tổng 24-25'!B691)</f>
        <v>3</v>
      </c>
      <c r="J691" s="91"/>
    </row>
    <row r="692" spans="1:10" s="18" customFormat="1" ht="18.75" customHeight="1" x14ac:dyDescent="0.3">
      <c r="A692" s="19">
        <v>686</v>
      </c>
      <c r="B692" s="20">
        <v>2005222411</v>
      </c>
      <c r="C692" s="21" t="s">
        <v>403</v>
      </c>
      <c r="D692" s="22" t="s">
        <v>404</v>
      </c>
      <c r="E692" s="20" t="s">
        <v>405</v>
      </c>
      <c r="F692" s="23" t="s">
        <v>360</v>
      </c>
      <c r="G692" s="30" t="s">
        <v>294</v>
      </c>
      <c r="H692" s="30">
        <f>VLOOKUP(B692,'Dữ liệu TQNM'!$B$7:$F$769,5,0)</f>
        <v>2</v>
      </c>
      <c r="I692" s="30">
        <f>COUNTIF('Nộp báo cáo'!$A$3:$A$1993,'Tổng 24-25'!B692)</f>
        <v>2</v>
      </c>
      <c r="J692" s="91"/>
    </row>
    <row r="693" spans="1:10" s="18" customFormat="1" ht="18.75" customHeight="1" x14ac:dyDescent="0.3">
      <c r="A693" s="19">
        <v>687</v>
      </c>
      <c r="B693" s="20">
        <v>2005222563</v>
      </c>
      <c r="C693" s="21" t="s">
        <v>374</v>
      </c>
      <c r="D693" s="22" t="s">
        <v>237</v>
      </c>
      <c r="E693" s="20" t="s">
        <v>375</v>
      </c>
      <c r="F693" s="23" t="s">
        <v>360</v>
      </c>
      <c r="G693" s="30" t="s">
        <v>294</v>
      </c>
      <c r="H693" s="30">
        <f>VLOOKUP(B693,'Dữ liệu TQNM'!$B$7:$F$769,5,0)</f>
        <v>2</v>
      </c>
      <c r="I693" s="30">
        <f>COUNTIF('Nộp báo cáo'!$A$3:$A$1993,'Tổng 24-25'!B693)</f>
        <v>3</v>
      </c>
      <c r="J693" s="91"/>
    </row>
    <row r="694" spans="1:10" s="18" customFormat="1" ht="18.75" customHeight="1" x14ac:dyDescent="0.3">
      <c r="A694" s="19">
        <v>688</v>
      </c>
      <c r="B694" s="20">
        <v>2005226159</v>
      </c>
      <c r="C694" s="21" t="s">
        <v>406</v>
      </c>
      <c r="D694" s="22" t="s">
        <v>407</v>
      </c>
      <c r="E694" s="20" t="s">
        <v>1239</v>
      </c>
      <c r="F694" s="23" t="s">
        <v>360</v>
      </c>
      <c r="G694" s="30" t="s">
        <v>294</v>
      </c>
      <c r="H694" s="30">
        <f>VLOOKUP(B694,'Dữ liệu TQNM'!$B$7:$F$769,5,0)</f>
        <v>2</v>
      </c>
      <c r="I694" s="30">
        <f>COUNTIF('Nộp báo cáo'!$A$3:$A$1993,'Tổng 24-25'!B694)</f>
        <v>3</v>
      </c>
      <c r="J694" s="91"/>
    </row>
    <row r="695" spans="1:10" s="18" customFormat="1" ht="18.75" customHeight="1" x14ac:dyDescent="0.3">
      <c r="A695" s="19">
        <v>689</v>
      </c>
      <c r="B695" s="20">
        <v>2005222628</v>
      </c>
      <c r="C695" s="21" t="s">
        <v>87</v>
      </c>
      <c r="D695" s="22" t="s">
        <v>239</v>
      </c>
      <c r="E695" s="20" t="s">
        <v>1240</v>
      </c>
      <c r="F695" s="23" t="s">
        <v>360</v>
      </c>
      <c r="G695" s="30" t="s">
        <v>294</v>
      </c>
      <c r="H695" s="30">
        <f>VLOOKUP(B695,'Dữ liệu TQNM'!$B$7:$F$769,5,0)</f>
        <v>2</v>
      </c>
      <c r="I695" s="30">
        <f>COUNTIF('Nộp báo cáo'!$A$3:$A$1993,'Tổng 24-25'!B695)</f>
        <v>0</v>
      </c>
      <c r="J695" s="91"/>
    </row>
    <row r="696" spans="1:10" s="18" customFormat="1" ht="18.75" customHeight="1" x14ac:dyDescent="0.3">
      <c r="A696" s="19">
        <v>690</v>
      </c>
      <c r="B696" s="20">
        <v>2005222704</v>
      </c>
      <c r="C696" s="21" t="s">
        <v>408</v>
      </c>
      <c r="D696" s="22" t="s">
        <v>91</v>
      </c>
      <c r="E696" s="20" t="s">
        <v>409</v>
      </c>
      <c r="F696" s="23" t="s">
        <v>360</v>
      </c>
      <c r="G696" s="30" t="s">
        <v>294</v>
      </c>
      <c r="H696" s="30">
        <f>VLOOKUP(B696,'Dữ liệu TQNM'!$B$7:$F$769,5,0)</f>
        <v>3</v>
      </c>
      <c r="I696" s="30">
        <f>COUNTIF('Nộp báo cáo'!$A$3:$A$1993,'Tổng 24-25'!B696)</f>
        <v>3</v>
      </c>
      <c r="J696" s="91"/>
    </row>
    <row r="697" spans="1:10" s="18" customFormat="1" ht="18.75" customHeight="1" x14ac:dyDescent="0.3">
      <c r="A697" s="19">
        <v>691</v>
      </c>
      <c r="B697" s="20">
        <v>2005222706</v>
      </c>
      <c r="C697" s="21" t="s">
        <v>411</v>
      </c>
      <c r="D697" s="22" t="s">
        <v>91</v>
      </c>
      <c r="E697" s="20" t="s">
        <v>412</v>
      </c>
      <c r="F697" s="23" t="s">
        <v>360</v>
      </c>
      <c r="G697" s="30" t="s">
        <v>294</v>
      </c>
      <c r="H697" s="30">
        <f>VLOOKUP(B697,'Dữ liệu TQNM'!$B$7:$F$769,5,0)</f>
        <v>2</v>
      </c>
      <c r="I697" s="30">
        <f>COUNTIF('Nộp báo cáo'!$A$3:$A$1993,'Tổng 24-25'!B697)</f>
        <v>3</v>
      </c>
      <c r="J697" s="91"/>
    </row>
    <row r="698" spans="1:10" s="18" customFormat="1" ht="18.75" customHeight="1" x14ac:dyDescent="0.3">
      <c r="A698" s="19">
        <v>692</v>
      </c>
      <c r="B698" s="20">
        <v>2005222701</v>
      </c>
      <c r="C698" s="21" t="s">
        <v>410</v>
      </c>
      <c r="D698" s="22" t="s">
        <v>91</v>
      </c>
      <c r="E698" s="20" t="s">
        <v>938</v>
      </c>
      <c r="F698" s="23" t="s">
        <v>360</v>
      </c>
      <c r="G698" s="30" t="s">
        <v>294</v>
      </c>
      <c r="H698" s="30">
        <f>VLOOKUP(B698,'Dữ liệu TQNM'!$B$7:$F$769,5,0)</f>
        <v>2</v>
      </c>
      <c r="I698" s="30">
        <f>COUNTIF('Nộp báo cáo'!$A$3:$A$1993,'Tổng 24-25'!B698)</f>
        <v>3</v>
      </c>
      <c r="J698" s="91"/>
    </row>
    <row r="699" spans="1:10" ht="18.75" customHeight="1" x14ac:dyDescent="0.3">
      <c r="A699" s="31">
        <v>693</v>
      </c>
      <c r="B699" s="107">
        <v>2005222726</v>
      </c>
      <c r="C699" s="33" t="s">
        <v>1241</v>
      </c>
      <c r="D699" s="34" t="s">
        <v>905</v>
      </c>
      <c r="E699" s="32" t="s">
        <v>1038</v>
      </c>
      <c r="F699" s="35" t="s">
        <v>360</v>
      </c>
      <c r="G699" s="36" t="s">
        <v>294</v>
      </c>
      <c r="H699" s="30">
        <f>VLOOKUP(B699,'Dữ liệu TQNM'!$B$7:$F$769,5,0)</f>
        <v>1</v>
      </c>
      <c r="I699" s="30">
        <f>COUNTIF('Nộp báo cáo'!$A$3:$A$1993,'Tổng 24-25'!B699)</f>
        <v>0</v>
      </c>
      <c r="J699" s="91"/>
    </row>
    <row r="700" spans="1:10" s="18" customFormat="1" ht="18.75" customHeight="1" x14ac:dyDescent="0.3">
      <c r="A700" s="19">
        <v>694</v>
      </c>
      <c r="B700" s="20">
        <v>2005222831</v>
      </c>
      <c r="C700" s="21" t="s">
        <v>361</v>
      </c>
      <c r="D700" s="22" t="s">
        <v>362</v>
      </c>
      <c r="E700" s="20" t="s">
        <v>363</v>
      </c>
      <c r="F700" s="23" t="s">
        <v>360</v>
      </c>
      <c r="G700" s="30" t="s">
        <v>294</v>
      </c>
      <c r="H700" s="30">
        <f>VLOOKUP(B700,'Dữ liệu TQNM'!$B$7:$F$769,5,0)</f>
        <v>2</v>
      </c>
      <c r="I700" s="30">
        <f>COUNTIF('Nộp báo cáo'!$A$3:$A$1993,'Tổng 24-25'!B700)</f>
        <v>2</v>
      </c>
      <c r="J700" s="91"/>
    </row>
    <row r="701" spans="1:10" s="18" customFormat="1" ht="18.75" customHeight="1" x14ac:dyDescent="0.3">
      <c r="A701" s="19">
        <v>695</v>
      </c>
      <c r="B701" s="20">
        <v>2005222868</v>
      </c>
      <c r="C701" s="21" t="s">
        <v>414</v>
      </c>
      <c r="D701" s="22" t="s">
        <v>92</v>
      </c>
      <c r="E701" s="20" t="s">
        <v>971</v>
      </c>
      <c r="F701" s="23" t="s">
        <v>360</v>
      </c>
      <c r="G701" s="30" t="s">
        <v>294</v>
      </c>
      <c r="H701" s="30">
        <f>VLOOKUP(B701,'Dữ liệu TQNM'!$B$7:$F$769,5,0)</f>
        <v>2</v>
      </c>
      <c r="I701" s="30">
        <f>COUNTIF('Nộp báo cáo'!$A$3:$A$1993,'Tổng 24-25'!B701)</f>
        <v>3</v>
      </c>
      <c r="J701" s="91"/>
    </row>
    <row r="702" spans="1:10" s="18" customFormat="1" ht="18.75" customHeight="1" x14ac:dyDescent="0.3">
      <c r="A702" s="19">
        <v>696</v>
      </c>
      <c r="B702" s="20">
        <v>2005222898</v>
      </c>
      <c r="C702" s="21" t="s">
        <v>415</v>
      </c>
      <c r="D702" s="22" t="s">
        <v>92</v>
      </c>
      <c r="E702" s="20" t="s">
        <v>416</v>
      </c>
      <c r="F702" s="23" t="s">
        <v>360</v>
      </c>
      <c r="G702" s="30" t="s">
        <v>294</v>
      </c>
      <c r="H702" s="30">
        <f>VLOOKUP(B702,'Dữ liệu TQNM'!$B$7:$F$769,5,0)</f>
        <v>2</v>
      </c>
      <c r="I702" s="30">
        <f>COUNTIF('Nộp báo cáo'!$A$3:$A$1993,'Tổng 24-25'!B702)</f>
        <v>2</v>
      </c>
      <c r="J702" s="91"/>
    </row>
    <row r="703" spans="1:10" s="18" customFormat="1" ht="18.75" customHeight="1" x14ac:dyDescent="0.3">
      <c r="A703" s="19">
        <v>697</v>
      </c>
      <c r="B703" s="20">
        <v>2005222907</v>
      </c>
      <c r="C703" s="21" t="s">
        <v>413</v>
      </c>
      <c r="D703" s="22" t="s">
        <v>92</v>
      </c>
      <c r="E703" s="20" t="s">
        <v>1229</v>
      </c>
      <c r="F703" s="23" t="s">
        <v>360</v>
      </c>
      <c r="G703" s="30" t="s">
        <v>294</v>
      </c>
      <c r="H703" s="30">
        <f>VLOOKUP(B703,'Dữ liệu TQNM'!$B$7:$F$769,5,0)</f>
        <v>3</v>
      </c>
      <c r="I703" s="30">
        <f>COUNTIF('Nộp báo cáo'!$A$3:$A$1993,'Tổng 24-25'!B703)</f>
        <v>4</v>
      </c>
      <c r="J703" s="91"/>
    </row>
    <row r="704" spans="1:10" s="18" customFormat="1" ht="18.75" customHeight="1" x14ac:dyDescent="0.3">
      <c r="A704" s="19">
        <v>698</v>
      </c>
      <c r="B704" s="20">
        <v>2005222885</v>
      </c>
      <c r="C704" s="21" t="s">
        <v>364</v>
      </c>
      <c r="D704" s="22" t="s">
        <v>92</v>
      </c>
      <c r="E704" s="20" t="s">
        <v>365</v>
      </c>
      <c r="F704" s="23" t="s">
        <v>360</v>
      </c>
      <c r="G704" s="30" t="s">
        <v>294</v>
      </c>
      <c r="H704" s="30">
        <f>VLOOKUP(B704,'Dữ liệu TQNM'!$B$7:$F$769,5,0)</f>
        <v>3</v>
      </c>
      <c r="I704" s="30">
        <f>COUNTIF('Nộp báo cáo'!$A$3:$A$1993,'Tổng 24-25'!B704)</f>
        <v>3</v>
      </c>
      <c r="J704" s="91"/>
    </row>
    <row r="705" spans="1:10" s="18" customFormat="1" ht="18.75" customHeight="1" x14ac:dyDescent="0.3">
      <c r="A705" s="19">
        <v>699</v>
      </c>
      <c r="B705" s="20">
        <v>2005223081</v>
      </c>
      <c r="C705" s="21" t="s">
        <v>376</v>
      </c>
      <c r="D705" s="22" t="s">
        <v>51</v>
      </c>
      <c r="E705" s="20" t="s">
        <v>35</v>
      </c>
      <c r="F705" s="23" t="s">
        <v>360</v>
      </c>
      <c r="G705" s="30" t="s">
        <v>294</v>
      </c>
      <c r="H705" s="30">
        <f>VLOOKUP(B705,'Dữ liệu TQNM'!$B$7:$F$769,5,0)</f>
        <v>2</v>
      </c>
      <c r="I705" s="30">
        <f>COUNTIF('Nộp báo cáo'!$A$3:$A$1993,'Tổng 24-25'!B705)</f>
        <v>5</v>
      </c>
      <c r="J705" s="91"/>
    </row>
    <row r="706" spans="1:10" s="18" customFormat="1" ht="18.75" customHeight="1" x14ac:dyDescent="0.3">
      <c r="A706" s="19">
        <v>700</v>
      </c>
      <c r="B706" s="20">
        <v>2005223067</v>
      </c>
      <c r="C706" s="21" t="s">
        <v>417</v>
      </c>
      <c r="D706" s="22" t="s">
        <v>51</v>
      </c>
      <c r="E706" s="20" t="s">
        <v>1031</v>
      </c>
      <c r="F706" s="23" t="s">
        <v>360</v>
      </c>
      <c r="G706" s="30" t="s">
        <v>294</v>
      </c>
      <c r="H706" s="30">
        <f>VLOOKUP(B706,'Dữ liệu TQNM'!$B$7:$F$769,5,0)</f>
        <v>2</v>
      </c>
      <c r="I706" s="30">
        <f>COUNTIF('Nộp báo cáo'!$A$3:$A$1993,'Tổng 24-25'!B706)</f>
        <v>4</v>
      </c>
      <c r="J706" s="91"/>
    </row>
    <row r="707" spans="1:10" s="18" customFormat="1" ht="18.75" customHeight="1" x14ac:dyDescent="0.3">
      <c r="A707" s="19">
        <v>701</v>
      </c>
      <c r="B707" s="20">
        <v>2005223226</v>
      </c>
      <c r="C707" s="21" t="s">
        <v>366</v>
      </c>
      <c r="D707" s="22" t="s">
        <v>367</v>
      </c>
      <c r="E707" s="20" t="s">
        <v>228</v>
      </c>
      <c r="F707" s="23" t="s">
        <v>360</v>
      </c>
      <c r="G707" s="30" t="s">
        <v>294</v>
      </c>
      <c r="H707" s="30">
        <f>VLOOKUP(B707,'Dữ liệu TQNM'!$B$7:$F$769,5,0)</f>
        <v>4</v>
      </c>
      <c r="I707" s="30">
        <f>COUNTIF('Nộp báo cáo'!$A$3:$A$1993,'Tổng 24-25'!B707)</f>
        <v>3</v>
      </c>
      <c r="J707" s="91"/>
    </row>
    <row r="708" spans="1:10" s="18" customFormat="1" ht="18.75" customHeight="1" x14ac:dyDescent="0.3">
      <c r="A708" s="19">
        <v>702</v>
      </c>
      <c r="B708" s="20">
        <v>2005223276</v>
      </c>
      <c r="C708" s="21" t="s">
        <v>380</v>
      </c>
      <c r="D708" s="22" t="s">
        <v>381</v>
      </c>
      <c r="E708" s="20" t="s">
        <v>382</v>
      </c>
      <c r="F708" s="23" t="s">
        <v>360</v>
      </c>
      <c r="G708" s="30" t="s">
        <v>294</v>
      </c>
      <c r="H708" s="30">
        <f>VLOOKUP(B708,'Dữ liệu TQNM'!$B$7:$F$769,5,0)</f>
        <v>2</v>
      </c>
      <c r="I708" s="30">
        <f>COUNTIF('Nộp báo cáo'!$A$3:$A$1993,'Tổng 24-25'!B708)</f>
        <v>1</v>
      </c>
      <c r="J708" s="91"/>
    </row>
    <row r="709" spans="1:10" s="18" customFormat="1" ht="18.75" customHeight="1" x14ac:dyDescent="0.3">
      <c r="A709" s="19">
        <v>703</v>
      </c>
      <c r="B709" s="20">
        <v>2005223303</v>
      </c>
      <c r="C709" s="21" t="s">
        <v>418</v>
      </c>
      <c r="D709" s="22" t="s">
        <v>76</v>
      </c>
      <c r="E709" s="20" t="s">
        <v>419</v>
      </c>
      <c r="F709" s="23" t="s">
        <v>360</v>
      </c>
      <c r="G709" s="30" t="s">
        <v>294</v>
      </c>
      <c r="H709" s="30">
        <f>VLOOKUP(B709,'Dữ liệu TQNM'!$B$7:$F$769,5,0)</f>
        <v>3</v>
      </c>
      <c r="I709" s="30">
        <f>COUNTIF('Nộp báo cáo'!$A$3:$A$1993,'Tổng 24-25'!B709)</f>
        <v>2</v>
      </c>
      <c r="J709" s="91"/>
    </row>
    <row r="710" spans="1:10" s="18" customFormat="1" ht="18.75" customHeight="1" x14ac:dyDescent="0.3">
      <c r="A710" s="19">
        <v>704</v>
      </c>
      <c r="B710" s="20">
        <v>2005223323</v>
      </c>
      <c r="C710" s="21" t="s">
        <v>377</v>
      </c>
      <c r="D710" s="22" t="s">
        <v>76</v>
      </c>
      <c r="E710" s="20" t="s">
        <v>378</v>
      </c>
      <c r="F710" s="23" t="s">
        <v>360</v>
      </c>
      <c r="G710" s="30" t="s">
        <v>294</v>
      </c>
      <c r="H710" s="30">
        <f>VLOOKUP(B710,'Dữ liệu TQNM'!$B$7:$F$769,5,0)</f>
        <v>3</v>
      </c>
      <c r="I710" s="30">
        <f>COUNTIF('Nộp báo cáo'!$A$3:$A$1993,'Tổng 24-25'!B710)</f>
        <v>3</v>
      </c>
      <c r="J710" s="91"/>
    </row>
    <row r="711" spans="1:10" s="18" customFormat="1" ht="18.75" customHeight="1" x14ac:dyDescent="0.3">
      <c r="A711" s="19">
        <v>705</v>
      </c>
      <c r="B711" s="20">
        <v>2005223471</v>
      </c>
      <c r="C711" s="21" t="s">
        <v>420</v>
      </c>
      <c r="D711" s="22" t="s">
        <v>318</v>
      </c>
      <c r="E711" s="20" t="s">
        <v>998</v>
      </c>
      <c r="F711" s="23" t="s">
        <v>360</v>
      </c>
      <c r="G711" s="30" t="s">
        <v>294</v>
      </c>
      <c r="H711" s="30">
        <f>VLOOKUP(B711,'Dữ liệu TQNM'!$B$7:$F$769,5,0)</f>
        <v>3</v>
      </c>
      <c r="I711" s="30">
        <f>COUNTIF('Nộp báo cáo'!$A$3:$A$1993,'Tổng 24-25'!B711)</f>
        <v>5</v>
      </c>
      <c r="J711" s="91"/>
    </row>
    <row r="712" spans="1:10" ht="18.75" customHeight="1" x14ac:dyDescent="0.3">
      <c r="A712" s="31">
        <v>706</v>
      </c>
      <c r="B712" s="107">
        <v>2005223446</v>
      </c>
      <c r="C712" s="33" t="s">
        <v>223</v>
      </c>
      <c r="D712" s="34" t="s">
        <v>803</v>
      </c>
      <c r="E712" s="32" t="s">
        <v>224</v>
      </c>
      <c r="F712" s="35" t="s">
        <v>360</v>
      </c>
      <c r="G712" s="36" t="s">
        <v>294</v>
      </c>
      <c r="H712" s="30">
        <f>VLOOKUP(B712,'Dữ liệu TQNM'!$B$7:$F$769,5,0)</f>
        <v>2</v>
      </c>
      <c r="I712" s="30">
        <f>COUNTIF('Nộp báo cáo'!$A$3:$A$1993,'Tổng 24-25'!B712)</f>
        <v>3</v>
      </c>
      <c r="J712" s="91"/>
    </row>
    <row r="713" spans="1:10" s="18" customFormat="1" ht="18.75" customHeight="1" x14ac:dyDescent="0.3">
      <c r="A713" s="19">
        <v>707</v>
      </c>
      <c r="B713" s="20">
        <v>2005223583</v>
      </c>
      <c r="C713" s="21" t="s">
        <v>383</v>
      </c>
      <c r="D713" s="22" t="s">
        <v>303</v>
      </c>
      <c r="E713" s="20" t="s">
        <v>155</v>
      </c>
      <c r="F713" s="23" t="s">
        <v>360</v>
      </c>
      <c r="G713" s="30" t="s">
        <v>294</v>
      </c>
      <c r="H713" s="30">
        <f>VLOOKUP(B713,'Dữ liệu TQNM'!$B$7:$F$769,5,0)</f>
        <v>1</v>
      </c>
      <c r="I713" s="30">
        <f>COUNTIF('Nộp báo cáo'!$A$3:$A$1993,'Tổng 24-25'!B713)</f>
        <v>0</v>
      </c>
      <c r="J713" s="91"/>
    </row>
    <row r="714" spans="1:10" s="18" customFormat="1" ht="18.75" customHeight="1" x14ac:dyDescent="0.3">
      <c r="A714" s="19">
        <v>708</v>
      </c>
      <c r="B714" s="20">
        <v>2005223596</v>
      </c>
      <c r="C714" s="21" t="s">
        <v>421</v>
      </c>
      <c r="D714" s="22" t="s">
        <v>303</v>
      </c>
      <c r="E714" s="20" t="s">
        <v>1162</v>
      </c>
      <c r="F714" s="23" t="s">
        <v>360</v>
      </c>
      <c r="G714" s="30" t="s">
        <v>294</v>
      </c>
      <c r="H714" s="30">
        <f>VLOOKUP(B714,'Dữ liệu TQNM'!$B$7:$F$769,5,0)</f>
        <v>2</v>
      </c>
      <c r="I714" s="30">
        <f>COUNTIF('Nộp báo cáo'!$A$3:$A$1993,'Tổng 24-25'!B714)</f>
        <v>2</v>
      </c>
      <c r="J714" s="91"/>
    </row>
    <row r="715" spans="1:10" s="18" customFormat="1" ht="18.75" customHeight="1" x14ac:dyDescent="0.3">
      <c r="A715" s="19">
        <v>709</v>
      </c>
      <c r="B715" s="20">
        <v>2005223603</v>
      </c>
      <c r="C715" s="21" t="s">
        <v>113</v>
      </c>
      <c r="D715" s="22" t="s">
        <v>303</v>
      </c>
      <c r="E715" s="20" t="s">
        <v>1242</v>
      </c>
      <c r="F715" s="23" t="s">
        <v>360</v>
      </c>
      <c r="G715" s="30" t="s">
        <v>294</v>
      </c>
      <c r="H715" s="30">
        <f>VLOOKUP(B715,'Dữ liệu TQNM'!$B$7:$F$769,5,0)</f>
        <v>4</v>
      </c>
      <c r="I715" s="30">
        <f>COUNTIF('Nộp báo cáo'!$A$3:$A$1993,'Tổng 24-25'!B715)</f>
        <v>3</v>
      </c>
      <c r="J715" s="91"/>
    </row>
    <row r="716" spans="1:10" ht="18.75" customHeight="1" x14ac:dyDescent="0.3">
      <c r="A716" s="31">
        <v>710</v>
      </c>
      <c r="B716" s="107">
        <v>2005223911</v>
      </c>
      <c r="C716" s="33" t="s">
        <v>1243</v>
      </c>
      <c r="D716" s="34" t="s">
        <v>1244</v>
      </c>
      <c r="E716" s="32" t="s">
        <v>1170</v>
      </c>
      <c r="F716" s="35" t="s">
        <v>360</v>
      </c>
      <c r="G716" s="36" t="s">
        <v>294</v>
      </c>
      <c r="H716" s="30">
        <f>VLOOKUP(B716,'Dữ liệu TQNM'!$B$7:$F$769,5,0)</f>
        <v>0</v>
      </c>
      <c r="I716" s="30">
        <f>COUNTIF('Nộp báo cáo'!$A$3:$A$1993,'Tổng 24-25'!B716)</f>
        <v>0</v>
      </c>
      <c r="J716" s="91"/>
    </row>
    <row r="717" spans="1:10" s="18" customFormat="1" ht="18.75" customHeight="1" x14ac:dyDescent="0.3">
      <c r="A717" s="19">
        <v>711</v>
      </c>
      <c r="B717" s="20">
        <v>2005224152</v>
      </c>
      <c r="C717" s="21" t="s">
        <v>227</v>
      </c>
      <c r="D717" s="22" t="s">
        <v>422</v>
      </c>
      <c r="E717" s="20" t="s">
        <v>423</v>
      </c>
      <c r="F717" s="23" t="s">
        <v>360</v>
      </c>
      <c r="G717" s="30" t="s">
        <v>294</v>
      </c>
      <c r="H717" s="30">
        <f>VLOOKUP(B717,'Dữ liệu TQNM'!$B$7:$F$769,5,0)</f>
        <v>2</v>
      </c>
      <c r="I717" s="30">
        <f>COUNTIF('Nộp báo cáo'!$A$3:$A$1993,'Tổng 24-25'!B717)</f>
        <v>2</v>
      </c>
      <c r="J717" s="91"/>
    </row>
    <row r="718" spans="1:10" s="18" customFormat="1" ht="18.75" customHeight="1" x14ac:dyDescent="0.3">
      <c r="A718" s="19">
        <v>712</v>
      </c>
      <c r="B718" s="20">
        <v>2005224170</v>
      </c>
      <c r="C718" s="21" t="s">
        <v>424</v>
      </c>
      <c r="D718" s="22" t="s">
        <v>425</v>
      </c>
      <c r="E718" s="20" t="s">
        <v>938</v>
      </c>
      <c r="F718" s="23" t="s">
        <v>360</v>
      </c>
      <c r="G718" s="30" t="s">
        <v>294</v>
      </c>
      <c r="H718" s="30">
        <f>VLOOKUP(B718,'Dữ liệu TQNM'!$B$7:$F$769,5,0)</f>
        <v>4</v>
      </c>
      <c r="I718" s="30">
        <f>COUNTIF('Nộp báo cáo'!$A$3:$A$1993,'Tổng 24-25'!B718)</f>
        <v>2</v>
      </c>
      <c r="J718" s="91"/>
    </row>
    <row r="719" spans="1:10" ht="18.75" customHeight="1" x14ac:dyDescent="0.3">
      <c r="A719" s="31">
        <v>713</v>
      </c>
      <c r="B719" s="107">
        <v>2005224639</v>
      </c>
      <c r="C719" s="33" t="s">
        <v>1245</v>
      </c>
      <c r="D719" s="34" t="s">
        <v>183</v>
      </c>
      <c r="E719" s="32" t="s">
        <v>563</v>
      </c>
      <c r="F719" s="35" t="s">
        <v>360</v>
      </c>
      <c r="G719" s="36" t="s">
        <v>294</v>
      </c>
      <c r="H719" s="30">
        <f>VLOOKUP(B719,'Dữ liệu TQNM'!$B$7:$F$769,5,0)</f>
        <v>1</v>
      </c>
      <c r="I719" s="30">
        <f>COUNTIF('Nộp báo cáo'!$A$3:$A$1993,'Tổng 24-25'!B719)</f>
        <v>0</v>
      </c>
      <c r="J719" s="91"/>
    </row>
    <row r="720" spans="1:10" s="18" customFormat="1" ht="18.75" customHeight="1" x14ac:dyDescent="0.3">
      <c r="A720" s="19">
        <v>714</v>
      </c>
      <c r="B720" s="20">
        <v>2005224830</v>
      </c>
      <c r="C720" s="21" t="s">
        <v>293</v>
      </c>
      <c r="D720" s="22" t="s">
        <v>426</v>
      </c>
      <c r="E720" s="20" t="s">
        <v>974</v>
      </c>
      <c r="F720" s="23" t="s">
        <v>360</v>
      </c>
      <c r="G720" s="30" t="s">
        <v>294</v>
      </c>
      <c r="H720" s="30">
        <f>VLOOKUP(B720,'Dữ liệu TQNM'!$B$7:$F$769,5,0)</f>
        <v>4</v>
      </c>
      <c r="I720" s="30">
        <f>COUNTIF('Nộp báo cáo'!$A$3:$A$1993,'Tổng 24-25'!B720)</f>
        <v>3</v>
      </c>
      <c r="J720" s="91"/>
    </row>
    <row r="721" spans="1:10" ht="18.75" customHeight="1" x14ac:dyDescent="0.3">
      <c r="A721" s="31">
        <v>715</v>
      </c>
      <c r="B721" s="107">
        <v>2005225206</v>
      </c>
      <c r="C721" s="33" t="s">
        <v>293</v>
      </c>
      <c r="D721" s="34" t="s">
        <v>123</v>
      </c>
      <c r="E721" s="32" t="s">
        <v>1246</v>
      </c>
      <c r="F721" s="35" t="s">
        <v>360</v>
      </c>
      <c r="G721" s="36" t="s">
        <v>294</v>
      </c>
      <c r="H721" s="30">
        <f>VLOOKUP(B721,'Dữ liệu TQNM'!$B$7:$F$769,5,0)</f>
        <v>0</v>
      </c>
      <c r="I721" s="30">
        <f>COUNTIF('Nộp báo cáo'!$A$3:$A$1993,'Tổng 24-25'!B721)</f>
        <v>0</v>
      </c>
      <c r="J721" s="91"/>
    </row>
    <row r="722" spans="1:10" s="18" customFormat="1" ht="18.75" customHeight="1" x14ac:dyDescent="0.3">
      <c r="A722" s="19">
        <v>716</v>
      </c>
      <c r="B722" s="20">
        <v>2005225168</v>
      </c>
      <c r="C722" s="21" t="s">
        <v>429</v>
      </c>
      <c r="D722" s="22" t="s">
        <v>123</v>
      </c>
      <c r="E722" s="20" t="s">
        <v>430</v>
      </c>
      <c r="F722" s="23" t="s">
        <v>360</v>
      </c>
      <c r="G722" s="30" t="s">
        <v>294</v>
      </c>
      <c r="H722" s="30">
        <f>VLOOKUP(B722,'Dữ liệu TQNM'!$B$7:$F$769,5,0)</f>
        <v>3</v>
      </c>
      <c r="I722" s="30">
        <f>COUNTIF('Nộp báo cáo'!$A$3:$A$1993,'Tổng 24-25'!B722)</f>
        <v>3</v>
      </c>
      <c r="J722" s="91"/>
    </row>
    <row r="723" spans="1:10" s="18" customFormat="1" ht="18.75" customHeight="1" x14ac:dyDescent="0.3">
      <c r="A723" s="19">
        <v>717</v>
      </c>
      <c r="B723" s="20">
        <v>2005225185</v>
      </c>
      <c r="C723" s="21" t="s">
        <v>427</v>
      </c>
      <c r="D723" s="22" t="s">
        <v>123</v>
      </c>
      <c r="E723" s="20" t="s">
        <v>428</v>
      </c>
      <c r="F723" s="23" t="s">
        <v>360</v>
      </c>
      <c r="G723" s="30" t="s">
        <v>294</v>
      </c>
      <c r="H723" s="30">
        <f>VLOOKUP(B723,'Dữ liệu TQNM'!$B$7:$F$769,5,0)</f>
        <v>3</v>
      </c>
      <c r="I723" s="30">
        <f>COUNTIF('Nộp báo cáo'!$A$3:$A$1993,'Tổng 24-25'!B723)</f>
        <v>3</v>
      </c>
      <c r="J723" s="91"/>
    </row>
    <row r="724" spans="1:10" s="18" customFormat="1" ht="18.75" customHeight="1" x14ac:dyDescent="0.3">
      <c r="A724" s="19">
        <v>718</v>
      </c>
      <c r="B724" s="20">
        <v>2005225101</v>
      </c>
      <c r="C724" s="21" t="s">
        <v>364</v>
      </c>
      <c r="D724" s="22" t="s">
        <v>125</v>
      </c>
      <c r="E724" s="20" t="s">
        <v>164</v>
      </c>
      <c r="F724" s="23" t="s">
        <v>360</v>
      </c>
      <c r="G724" s="30" t="s">
        <v>294</v>
      </c>
      <c r="H724" s="30">
        <f>VLOOKUP(B724,'Dữ liệu TQNM'!$B$7:$F$769,5,0)</f>
        <v>3</v>
      </c>
      <c r="I724" s="30">
        <f>COUNTIF('Nộp báo cáo'!$A$3:$A$1993,'Tổng 24-25'!B724)</f>
        <v>2</v>
      </c>
      <c r="J724" s="91"/>
    </row>
    <row r="725" spans="1:10" s="18" customFormat="1" ht="18.75" customHeight="1" x14ac:dyDescent="0.3">
      <c r="A725" s="19">
        <v>719</v>
      </c>
      <c r="B725" s="20">
        <v>2005225319</v>
      </c>
      <c r="C725" s="21" t="s">
        <v>431</v>
      </c>
      <c r="D725" s="22" t="s">
        <v>432</v>
      </c>
      <c r="E725" s="20" t="s">
        <v>1143</v>
      </c>
      <c r="F725" s="23" t="s">
        <v>360</v>
      </c>
      <c r="G725" s="30" t="s">
        <v>294</v>
      </c>
      <c r="H725" s="30">
        <f>VLOOKUP(B725,'Dữ liệu TQNM'!$B$7:$F$769,5,0)</f>
        <v>4</v>
      </c>
      <c r="I725" s="30">
        <f>COUNTIF('Nộp báo cáo'!$A$3:$A$1993,'Tổng 24-25'!B725)</f>
        <v>4</v>
      </c>
      <c r="J725" s="91"/>
    </row>
    <row r="726" spans="1:10" ht="18.75" customHeight="1" x14ac:dyDescent="0.3">
      <c r="A726" s="31">
        <v>720</v>
      </c>
      <c r="B726" s="107">
        <v>2005225483</v>
      </c>
      <c r="C726" s="33" t="s">
        <v>1247</v>
      </c>
      <c r="D726" s="34" t="s">
        <v>168</v>
      </c>
      <c r="E726" s="32" t="s">
        <v>1024</v>
      </c>
      <c r="F726" s="35" t="s">
        <v>360</v>
      </c>
      <c r="G726" s="36" t="s">
        <v>294</v>
      </c>
      <c r="H726" s="30">
        <f>VLOOKUP(B726,'Dữ liệu TQNM'!$B$7:$F$769,5,0)</f>
        <v>2</v>
      </c>
      <c r="I726" s="30">
        <f>COUNTIF('Nộp báo cáo'!$A$3:$A$1993,'Tổng 24-25'!B726)</f>
        <v>2</v>
      </c>
      <c r="J726" s="91"/>
    </row>
    <row r="727" spans="1:10" s="18" customFormat="1" ht="18.75" customHeight="1" x14ac:dyDescent="0.3">
      <c r="A727" s="19">
        <v>721</v>
      </c>
      <c r="B727" s="20">
        <v>2005225901</v>
      </c>
      <c r="C727" s="21" t="s">
        <v>433</v>
      </c>
      <c r="D727" s="22" t="s">
        <v>316</v>
      </c>
      <c r="E727" s="20" t="s">
        <v>434</v>
      </c>
      <c r="F727" s="23" t="s">
        <v>360</v>
      </c>
      <c r="G727" s="30" t="s">
        <v>294</v>
      </c>
      <c r="H727" s="30">
        <f>VLOOKUP(B727,'Dữ liệu TQNM'!$B$7:$F$769,5,0)</f>
        <v>3</v>
      </c>
      <c r="I727" s="30">
        <f>COUNTIF('Nộp báo cáo'!$A$3:$A$1993,'Tổng 24-25'!B727)</f>
        <v>3</v>
      </c>
      <c r="J727" s="91"/>
    </row>
    <row r="728" spans="1:10" s="18" customFormat="1" ht="18.75" customHeight="1" x14ac:dyDescent="0.3">
      <c r="A728" s="19">
        <v>722</v>
      </c>
      <c r="B728" s="20">
        <v>2005225982</v>
      </c>
      <c r="C728" s="21" t="s">
        <v>435</v>
      </c>
      <c r="D728" s="22" t="s">
        <v>56</v>
      </c>
      <c r="E728" s="20" t="s">
        <v>1190</v>
      </c>
      <c r="F728" s="23" t="s">
        <v>360</v>
      </c>
      <c r="G728" s="30" t="s">
        <v>294</v>
      </c>
      <c r="H728" s="30">
        <f>VLOOKUP(B728,'Dữ liệu TQNM'!$B$7:$F$769,5,0)</f>
        <v>3</v>
      </c>
      <c r="I728" s="30">
        <f>COUNTIF('Nộp báo cáo'!$A$3:$A$1993,'Tổng 24-25'!B728)</f>
        <v>3</v>
      </c>
      <c r="J728" s="91"/>
    </row>
    <row r="729" spans="1:10" ht="18.5" customHeight="1" x14ac:dyDescent="0.3">
      <c r="A729" s="31">
        <v>723</v>
      </c>
      <c r="B729" s="108">
        <v>2005208528</v>
      </c>
      <c r="C729" s="45" t="s">
        <v>1248</v>
      </c>
      <c r="D729" s="46" t="s">
        <v>5</v>
      </c>
      <c r="E729" s="44" t="s">
        <v>8</v>
      </c>
      <c r="F729" s="47" t="s">
        <v>1249</v>
      </c>
      <c r="G729" s="48" t="s">
        <v>294</v>
      </c>
      <c r="H729" s="30">
        <f>VLOOKUP(B729,'Dữ liệu TQNM'!$B$7:$F$769,5,0)</f>
        <v>3</v>
      </c>
      <c r="I729" s="30">
        <f>COUNTIF('Nộp báo cáo'!$A$3:$A$1993,'Tổng 24-25'!B729)</f>
        <v>3</v>
      </c>
      <c r="J729" s="91"/>
    </row>
    <row r="730" spans="1:10" ht="18.5" customHeight="1" x14ac:dyDescent="0.3">
      <c r="A730" s="31">
        <v>724</v>
      </c>
      <c r="B730" s="108">
        <v>2005190573</v>
      </c>
      <c r="C730" s="45" t="s">
        <v>146</v>
      </c>
      <c r="D730" s="46" t="s">
        <v>208</v>
      </c>
      <c r="E730" s="44" t="s">
        <v>1283</v>
      </c>
      <c r="F730" s="47" t="s">
        <v>94</v>
      </c>
      <c r="G730" s="48" t="s">
        <v>294</v>
      </c>
      <c r="H730" s="30" t="str">
        <f>VLOOKUP(B730,'Dữ liệu TQNM'!$B$7:$F$769,5,0)</f>
        <v xml:space="preserve"> </v>
      </c>
      <c r="I730" s="30">
        <f>COUNTIF('Nộp báo cáo'!$A$3:$A$1993,'Tổng 24-25'!B730)</f>
        <v>0</v>
      </c>
      <c r="J730" s="91"/>
    </row>
    <row r="731" spans="1:10" ht="18.5" customHeight="1" x14ac:dyDescent="0.3">
      <c r="A731" s="31">
        <v>725</v>
      </c>
      <c r="B731" s="108">
        <v>2005200613</v>
      </c>
      <c r="C731" s="45" t="s">
        <v>78</v>
      </c>
      <c r="D731" s="46" t="s">
        <v>6</v>
      </c>
      <c r="E731" s="44" t="s">
        <v>33</v>
      </c>
      <c r="F731" s="47" t="s">
        <v>20</v>
      </c>
      <c r="G731" s="48" t="s">
        <v>294</v>
      </c>
      <c r="H731" s="30">
        <f>VLOOKUP(B731,'Dữ liệu TQNM'!$B$7:$F$769,5,0)</f>
        <v>2</v>
      </c>
      <c r="I731" s="30">
        <f>COUNTIF('Nộp báo cáo'!$A$3:$A$1993,'Tổng 24-25'!B731)</f>
        <v>3</v>
      </c>
      <c r="J731" s="91"/>
    </row>
    <row r="732" spans="1:10" s="18" customFormat="1" ht="18.5" customHeight="1" x14ac:dyDescent="0.3">
      <c r="A732" s="19">
        <v>726</v>
      </c>
      <c r="B732" s="108">
        <v>2005201064</v>
      </c>
      <c r="C732" s="45" t="s">
        <v>32</v>
      </c>
      <c r="D732" s="46" t="s">
        <v>7</v>
      </c>
      <c r="E732" s="44" t="s">
        <v>30</v>
      </c>
      <c r="F732" s="47" t="s">
        <v>20</v>
      </c>
      <c r="G732" s="48" t="s">
        <v>294</v>
      </c>
      <c r="H732" s="30">
        <f>VLOOKUP(B732,'Dữ liệu TQNM'!$B$7:$F$769,5,0)</f>
        <v>2</v>
      </c>
      <c r="I732" s="30">
        <f>COUNTIF('Nộp báo cáo'!$A$3:$A$1993,'Tổng 24-25'!B732)</f>
        <v>3</v>
      </c>
      <c r="J732" s="91"/>
    </row>
    <row r="733" spans="1:10" ht="18.5" customHeight="1" x14ac:dyDescent="0.3">
      <c r="A733" s="31">
        <v>727</v>
      </c>
      <c r="B733" s="108">
        <v>2005208587</v>
      </c>
      <c r="C733" s="45" t="s">
        <v>67</v>
      </c>
      <c r="D733" s="46" t="s">
        <v>68</v>
      </c>
      <c r="E733" s="44" t="s">
        <v>69</v>
      </c>
      <c r="F733" s="47" t="s">
        <v>17</v>
      </c>
      <c r="G733" s="48" t="s">
        <v>294</v>
      </c>
      <c r="H733" s="30">
        <f>VLOOKUP(B733,'Dữ liệu TQNM'!$B$7:$F$769,5,0)</f>
        <v>1</v>
      </c>
      <c r="I733" s="30">
        <f>COUNTIF('Nộp báo cáo'!$A$3:$A$1993,'Tổng 24-25'!B733)</f>
        <v>0</v>
      </c>
      <c r="J733" s="91"/>
    </row>
    <row r="734" spans="1:10" s="18" customFormat="1" ht="18.5" customHeight="1" x14ac:dyDescent="0.3">
      <c r="A734" s="19">
        <v>728</v>
      </c>
      <c r="B734" s="108">
        <v>2005208248</v>
      </c>
      <c r="C734" s="45" t="s">
        <v>77</v>
      </c>
      <c r="D734" s="46" t="s">
        <v>64</v>
      </c>
      <c r="E734" s="44" t="s">
        <v>72</v>
      </c>
      <c r="F734" s="47" t="s">
        <v>17</v>
      </c>
      <c r="G734" s="48" t="s">
        <v>294</v>
      </c>
      <c r="H734" s="30">
        <f>VLOOKUP(B734,'Dữ liệu TQNM'!$B$7:$F$769,5,0)</f>
        <v>0</v>
      </c>
      <c r="I734" s="30">
        <f>COUNTIF('Nộp báo cáo'!$A$3:$A$1993,'Tổng 24-25'!B734)</f>
        <v>0</v>
      </c>
      <c r="J734" s="91"/>
    </row>
    <row r="735" spans="1:10" s="18" customFormat="1" ht="18.5" customHeight="1" x14ac:dyDescent="0.3">
      <c r="A735" s="19">
        <v>729</v>
      </c>
      <c r="B735" s="108">
        <v>2005208193</v>
      </c>
      <c r="C735" s="45" t="s">
        <v>26</v>
      </c>
      <c r="D735" s="46" t="s">
        <v>27</v>
      </c>
      <c r="E735" s="44" t="s">
        <v>25</v>
      </c>
      <c r="F735" s="47" t="s">
        <v>14</v>
      </c>
      <c r="G735" s="48" t="s">
        <v>294</v>
      </c>
      <c r="H735" s="30">
        <f>VLOOKUP(B735,'Dữ liệu TQNM'!$B$7:$F$769,5,0)</f>
        <v>0</v>
      </c>
      <c r="I735" s="30">
        <f>COUNTIF('Nộp báo cáo'!$A$3:$A$1993,'Tổng 24-25'!B735)</f>
        <v>0</v>
      </c>
      <c r="J735" s="91"/>
    </row>
    <row r="736" spans="1:10" s="18" customFormat="1" ht="18.5" customHeight="1" x14ac:dyDescent="0.3">
      <c r="A736" s="19">
        <v>730</v>
      </c>
      <c r="B736" s="24">
        <v>2005200682</v>
      </c>
      <c r="C736" s="25" t="s">
        <v>62</v>
      </c>
      <c r="D736" s="26" t="s">
        <v>23</v>
      </c>
      <c r="E736" s="24" t="s">
        <v>70</v>
      </c>
      <c r="F736" s="27" t="s">
        <v>12</v>
      </c>
      <c r="G736" s="28" t="s">
        <v>294</v>
      </c>
      <c r="H736" s="30">
        <f>VLOOKUP(B736,'Dữ liệu TQNM'!$B$7:$F$769,5,0)</f>
        <v>4</v>
      </c>
      <c r="I736" s="30">
        <f>COUNTIF('Nộp báo cáo'!$A$3:$A$1993,'Tổng 24-25'!B736)</f>
        <v>3</v>
      </c>
      <c r="J736" s="91"/>
    </row>
    <row r="737" spans="1:10" ht="18.5" customHeight="1" x14ac:dyDescent="0.3">
      <c r="A737" s="31">
        <v>731</v>
      </c>
      <c r="B737" s="24">
        <v>2005200495</v>
      </c>
      <c r="C737" s="25" t="s">
        <v>295</v>
      </c>
      <c r="D737" s="26" t="s">
        <v>61</v>
      </c>
      <c r="E737" s="24" t="s">
        <v>16</v>
      </c>
      <c r="F737" s="27" t="s">
        <v>19</v>
      </c>
      <c r="G737" s="28" t="s">
        <v>294</v>
      </c>
      <c r="H737" s="30">
        <f>VLOOKUP(B737,'Dữ liệu TQNM'!$B$7:$F$769,5,0)</f>
        <v>1</v>
      </c>
      <c r="I737" s="30">
        <f>COUNTIF('Nộp báo cáo'!$A$3:$A$1993,'Tổng 24-25'!B737)</f>
        <v>0</v>
      </c>
      <c r="J737" s="91"/>
    </row>
    <row r="738" spans="1:10" ht="18.5" customHeight="1" x14ac:dyDescent="0.3">
      <c r="A738" s="31">
        <v>732</v>
      </c>
      <c r="B738" s="108">
        <v>2005200237</v>
      </c>
      <c r="C738" s="45" t="s">
        <v>28</v>
      </c>
      <c r="D738" s="46" t="s">
        <v>15</v>
      </c>
      <c r="E738" s="44" t="s">
        <v>46</v>
      </c>
      <c r="F738" s="47" t="s">
        <v>19</v>
      </c>
      <c r="G738" s="48" t="s">
        <v>294</v>
      </c>
      <c r="H738" s="30">
        <f>VLOOKUP(B738,'Dữ liệu TQNM'!$B$7:$F$769,5,0)</f>
        <v>1</v>
      </c>
      <c r="I738" s="30">
        <f>COUNTIF('Nộp báo cáo'!$A$3:$A$1993,'Tổng 24-25'!B738)</f>
        <v>0</v>
      </c>
      <c r="J738" s="91"/>
    </row>
    <row r="739" spans="1:10" ht="18.5" customHeight="1" x14ac:dyDescent="0.3">
      <c r="A739" s="31">
        <v>733</v>
      </c>
      <c r="B739" s="24">
        <v>2005200493</v>
      </c>
      <c r="C739" s="25" t="s">
        <v>40</v>
      </c>
      <c r="D739" s="26" t="s">
        <v>39</v>
      </c>
      <c r="E739" s="24" t="s">
        <v>41</v>
      </c>
      <c r="F739" s="27" t="s">
        <v>22</v>
      </c>
      <c r="G739" s="28" t="s">
        <v>294</v>
      </c>
      <c r="H739" s="30">
        <f>VLOOKUP(B739,'Dữ liệu TQNM'!$B$7:$F$769,5,0)</f>
        <v>3</v>
      </c>
      <c r="I739" s="30">
        <f>COUNTIF('Nộp báo cáo'!$A$3:$A$1993,'Tổng 24-25'!B739)</f>
        <v>1</v>
      </c>
      <c r="J739" s="91"/>
    </row>
    <row r="740" spans="1:10" ht="18.5" customHeight="1" x14ac:dyDescent="0.3">
      <c r="A740" s="31">
        <v>734</v>
      </c>
      <c r="B740" s="108">
        <v>2005202114</v>
      </c>
      <c r="C740" s="45" t="s">
        <v>21</v>
      </c>
      <c r="D740" s="46" t="s">
        <v>52</v>
      </c>
      <c r="E740" s="44" t="s">
        <v>53</v>
      </c>
      <c r="F740" s="47" t="s">
        <v>13</v>
      </c>
      <c r="G740" s="48" t="s">
        <v>294</v>
      </c>
      <c r="H740" s="30">
        <f>VLOOKUP(B740,'Dữ liệu TQNM'!$B$7:$F$769,5,0)</f>
        <v>3</v>
      </c>
      <c r="I740" s="30">
        <f>COUNTIF('Nộp báo cáo'!$A$3:$A$1993,'Tổng 24-25'!B740)</f>
        <v>3</v>
      </c>
      <c r="J740" s="91"/>
    </row>
    <row r="741" spans="1:10" ht="18.5" customHeight="1" x14ac:dyDescent="0.3">
      <c r="A741" s="31">
        <v>735</v>
      </c>
      <c r="B741" s="108">
        <v>2041214001</v>
      </c>
      <c r="C741" s="45" t="s">
        <v>986</v>
      </c>
      <c r="D741" s="46" t="s">
        <v>298</v>
      </c>
      <c r="E741" s="44" t="s">
        <v>1252</v>
      </c>
      <c r="F741" s="47" t="s">
        <v>310</v>
      </c>
      <c r="G741" s="48" t="s">
        <v>294</v>
      </c>
      <c r="H741" s="30">
        <f>VLOOKUP(B741,'Dữ liệu TQNM'!$B$7:$F$769,5,0)</f>
        <v>2</v>
      </c>
      <c r="I741" s="30">
        <f>COUNTIF('Nộp báo cáo'!$A$3:$A$1993,'Tổng 24-25'!B741)</f>
        <v>3</v>
      </c>
      <c r="J741" s="91"/>
    </row>
    <row r="742" spans="1:10" ht="18.5" customHeight="1" x14ac:dyDescent="0.3">
      <c r="A742" s="31">
        <v>736</v>
      </c>
      <c r="B742" s="24">
        <v>2041214018</v>
      </c>
      <c r="C742" s="25" t="s">
        <v>313</v>
      </c>
      <c r="D742" s="26" t="s">
        <v>88</v>
      </c>
      <c r="E742" s="24" t="s">
        <v>314</v>
      </c>
      <c r="F742" s="27" t="s">
        <v>310</v>
      </c>
      <c r="G742" s="28" t="s">
        <v>294</v>
      </c>
      <c r="H742" s="30">
        <f>VLOOKUP(B742,'Dữ liệu TQNM'!$B$7:$F$769,5,0)</f>
        <v>1</v>
      </c>
      <c r="I742" s="30">
        <f>COUNTIF('Nộp báo cáo'!$A$3:$A$1993,'Tổng 24-25'!B742)</f>
        <v>0</v>
      </c>
      <c r="J742" s="91"/>
    </row>
    <row r="743" spans="1:10" ht="18.5" customHeight="1" x14ac:dyDescent="0.3">
      <c r="A743" s="31">
        <v>737</v>
      </c>
      <c r="B743" s="108">
        <v>2041210256</v>
      </c>
      <c r="C743" s="45" t="s">
        <v>293</v>
      </c>
      <c r="D743" s="46" t="s">
        <v>49</v>
      </c>
      <c r="E743" s="44" t="s">
        <v>1261</v>
      </c>
      <c r="F743" s="47" t="s">
        <v>310</v>
      </c>
      <c r="G743" s="48" t="s">
        <v>294</v>
      </c>
      <c r="H743" s="30">
        <f>VLOOKUP(B743,'Dữ liệu TQNM'!$B$7:$F$769,5,0)</f>
        <v>0</v>
      </c>
      <c r="I743" s="30">
        <f>COUNTIF('Nộp báo cáo'!$A$3:$A$1993,'Tổng 24-25'!B743)</f>
        <v>0</v>
      </c>
      <c r="J743" s="91"/>
    </row>
    <row r="744" spans="1:10" ht="18.5" customHeight="1" x14ac:dyDescent="0.3">
      <c r="A744" s="31">
        <v>738</v>
      </c>
      <c r="B744" s="44">
        <v>2041210213</v>
      </c>
      <c r="C744" s="45" t="s">
        <v>165</v>
      </c>
      <c r="D744" s="46" t="s">
        <v>311</v>
      </c>
      <c r="E744" s="44" t="s">
        <v>312</v>
      </c>
      <c r="F744" s="47" t="s">
        <v>310</v>
      </c>
      <c r="G744" s="48" t="s">
        <v>294</v>
      </c>
      <c r="H744" s="30">
        <f>VLOOKUP(B744,'Dữ liệu TQNM'!$B$7:$F$769,5,0)</f>
        <v>0</v>
      </c>
      <c r="I744" s="30">
        <f>COUNTIF('Nộp báo cáo'!$A$3:$A$1993,'Tổng 24-25'!B744)</f>
        <v>0</v>
      </c>
      <c r="J744" s="91"/>
    </row>
    <row r="745" spans="1:10" s="18" customFormat="1" ht="18.5" customHeight="1" x14ac:dyDescent="0.3">
      <c r="A745" s="19">
        <v>739</v>
      </c>
      <c r="B745" s="24">
        <v>2041214058</v>
      </c>
      <c r="C745" s="25" t="s">
        <v>308</v>
      </c>
      <c r="D745" s="26" t="s">
        <v>205</v>
      </c>
      <c r="E745" s="24" t="s">
        <v>309</v>
      </c>
      <c r="F745" s="27" t="s">
        <v>310</v>
      </c>
      <c r="G745" s="28" t="s">
        <v>294</v>
      </c>
      <c r="H745" s="30">
        <f>VLOOKUP(B745,'Dữ liệu TQNM'!$B$7:$F$769,5,0)</f>
        <v>3</v>
      </c>
      <c r="I745" s="30">
        <f>COUNTIF('Nộp báo cáo'!$A$3:$A$1993,'Tổng 24-25'!B745)</f>
        <v>3</v>
      </c>
      <c r="J745" s="91"/>
    </row>
    <row r="746" spans="1:10" ht="18.5" customHeight="1" x14ac:dyDescent="0.3">
      <c r="A746" s="31">
        <v>740</v>
      </c>
      <c r="B746" s="108">
        <v>2041214028</v>
      </c>
      <c r="C746" s="45" t="s">
        <v>910</v>
      </c>
      <c r="D746" s="46" t="s">
        <v>1259</v>
      </c>
      <c r="E746" s="44" t="s">
        <v>766</v>
      </c>
      <c r="F746" s="47" t="s">
        <v>1260</v>
      </c>
      <c r="G746" s="48" t="s">
        <v>294</v>
      </c>
      <c r="H746" s="30">
        <f>VLOOKUP(B746,'Dữ liệu TQNM'!$B$7:$F$769,5,0)</f>
        <v>0</v>
      </c>
      <c r="I746" s="30">
        <f>COUNTIF('Nộp báo cáo'!$A$3:$A$1993,'Tổng 24-25'!B746)</f>
        <v>0</v>
      </c>
      <c r="J746" s="91"/>
    </row>
    <row r="747" spans="1:10" ht="18.5" customHeight="1" x14ac:dyDescent="0.3">
      <c r="A747" s="31">
        <v>741</v>
      </c>
      <c r="B747" s="108">
        <v>2041214070</v>
      </c>
      <c r="C747" s="45" t="s">
        <v>1269</v>
      </c>
      <c r="D747" s="46" t="s">
        <v>31</v>
      </c>
      <c r="E747" s="44" t="s">
        <v>63</v>
      </c>
      <c r="F747" s="47" t="s">
        <v>1260</v>
      </c>
      <c r="G747" s="48" t="s">
        <v>294</v>
      </c>
      <c r="H747" s="30">
        <f>VLOOKUP(B747,'Dữ liệu TQNM'!$B$7:$F$769,5,0)</f>
        <v>2</v>
      </c>
      <c r="I747" s="30">
        <f>COUNTIF('Nộp báo cáo'!$A$3:$A$1993,'Tổng 24-25'!B747)</f>
        <v>5</v>
      </c>
      <c r="J747" s="91"/>
    </row>
    <row r="748" spans="1:10" ht="18.5" customHeight="1" x14ac:dyDescent="0.3">
      <c r="A748" s="31">
        <v>742</v>
      </c>
      <c r="B748" s="108">
        <v>2041210181</v>
      </c>
      <c r="C748" s="45" t="s">
        <v>1255</v>
      </c>
      <c r="D748" s="46" t="s">
        <v>120</v>
      </c>
      <c r="E748" s="44" t="s">
        <v>1256</v>
      </c>
      <c r="F748" s="47" t="s">
        <v>319</v>
      </c>
      <c r="G748" s="48" t="s">
        <v>294</v>
      </c>
      <c r="H748" s="30">
        <f>VLOOKUP(B748,'Dữ liệu TQNM'!$B$7:$F$769,5,0)</f>
        <v>2</v>
      </c>
      <c r="I748" s="30">
        <f>COUNTIF('Nộp báo cáo'!$A$3:$A$1993,'Tổng 24-25'!B748)</f>
        <v>3</v>
      </c>
      <c r="J748" s="91"/>
    </row>
    <row r="749" spans="1:10" ht="18.5" customHeight="1" x14ac:dyDescent="0.3">
      <c r="A749" s="31">
        <v>743</v>
      </c>
      <c r="B749" s="108">
        <v>2041214026</v>
      </c>
      <c r="C749" s="45" t="s">
        <v>44</v>
      </c>
      <c r="D749" s="46" t="s">
        <v>173</v>
      </c>
      <c r="E749" s="44" t="s">
        <v>1254</v>
      </c>
      <c r="F749" s="47" t="s">
        <v>319</v>
      </c>
      <c r="G749" s="48" t="s">
        <v>294</v>
      </c>
      <c r="H749" s="30">
        <f>VLOOKUP(B749,'Dữ liệu TQNM'!$B$7:$F$769,5,0)</f>
        <v>1</v>
      </c>
      <c r="I749" s="30">
        <f>COUNTIF('Nộp báo cáo'!$A$3:$A$1993,'Tổng 24-25'!B749)</f>
        <v>0</v>
      </c>
      <c r="J749" s="91"/>
    </row>
    <row r="750" spans="1:10" ht="18.5" customHeight="1" x14ac:dyDescent="0.3">
      <c r="A750" s="31">
        <v>744</v>
      </c>
      <c r="B750" s="24">
        <v>2041210264</v>
      </c>
      <c r="C750" s="25" t="s">
        <v>322</v>
      </c>
      <c r="D750" s="26" t="s">
        <v>92</v>
      </c>
      <c r="E750" s="24" t="s">
        <v>1284</v>
      </c>
      <c r="F750" s="27" t="s">
        <v>319</v>
      </c>
      <c r="G750" s="28" t="s">
        <v>294</v>
      </c>
      <c r="H750" s="30">
        <f>VLOOKUP(B750,'Dữ liệu TQNM'!$B$7:$F$769,5,0)</f>
        <v>1</v>
      </c>
      <c r="I750" s="30">
        <f>COUNTIF('Nộp báo cáo'!$A$3:$A$1993,'Tổng 24-25'!B750)</f>
        <v>3</v>
      </c>
      <c r="J750" s="91"/>
    </row>
    <row r="751" spans="1:10" ht="18.5" customHeight="1" x14ac:dyDescent="0.3">
      <c r="A751" s="31">
        <v>745</v>
      </c>
      <c r="B751" s="24">
        <v>2041214067</v>
      </c>
      <c r="C751" s="25" t="s">
        <v>317</v>
      </c>
      <c r="D751" s="26" t="s">
        <v>318</v>
      </c>
      <c r="E751" s="24" t="s">
        <v>1268</v>
      </c>
      <c r="F751" s="27" t="s">
        <v>319</v>
      </c>
      <c r="G751" s="28" t="s">
        <v>294</v>
      </c>
      <c r="H751" s="30">
        <f>VLOOKUP(B751,'Dữ liệu TQNM'!$B$7:$F$769,5,0)</f>
        <v>2</v>
      </c>
      <c r="I751" s="30">
        <f>COUNTIF('Nộp báo cáo'!$A$3:$A$1993,'Tổng 24-25'!B751)</f>
        <v>3</v>
      </c>
      <c r="J751" s="91"/>
    </row>
    <row r="752" spans="1:10" s="18" customFormat="1" ht="18.5" customHeight="1" x14ac:dyDescent="0.3">
      <c r="A752" s="19">
        <v>746</v>
      </c>
      <c r="B752" s="108">
        <v>2041210176</v>
      </c>
      <c r="C752" s="45" t="s">
        <v>1271</v>
      </c>
      <c r="D752" s="46" t="s">
        <v>561</v>
      </c>
      <c r="E752" s="44" t="s">
        <v>1272</v>
      </c>
      <c r="F752" s="47" t="s">
        <v>319</v>
      </c>
      <c r="G752" s="48" t="s">
        <v>294</v>
      </c>
      <c r="H752" s="30">
        <f>VLOOKUP(B752,'Dữ liệu TQNM'!$B$7:$F$769,5,0)</f>
        <v>3</v>
      </c>
      <c r="I752" s="30">
        <f>COUNTIF('Nộp báo cáo'!$A$3:$A$1993,'Tổng 24-25'!B752)</f>
        <v>6</v>
      </c>
      <c r="J752" s="91"/>
    </row>
    <row r="753" spans="1:10" s="18" customFormat="1" ht="18.5" customHeight="1" x14ac:dyDescent="0.3">
      <c r="A753" s="19">
        <v>747</v>
      </c>
      <c r="B753" s="108">
        <v>2041210175</v>
      </c>
      <c r="C753" s="45" t="s">
        <v>1053</v>
      </c>
      <c r="D753" s="46" t="s">
        <v>102</v>
      </c>
      <c r="E753" s="44" t="s">
        <v>1270</v>
      </c>
      <c r="F753" s="47" t="s">
        <v>319</v>
      </c>
      <c r="G753" s="48" t="s">
        <v>294</v>
      </c>
      <c r="H753" s="30">
        <f>VLOOKUP(B753,'Dữ liệu TQNM'!$B$7:$F$769,5,0)</f>
        <v>2</v>
      </c>
      <c r="I753" s="30">
        <f>COUNTIF('Nộp báo cáo'!$A$3:$A$1993,'Tổng 24-25'!B753)</f>
        <v>0</v>
      </c>
      <c r="J753" s="91"/>
    </row>
    <row r="754" spans="1:10" ht="18.5" customHeight="1" x14ac:dyDescent="0.3">
      <c r="A754" s="31">
        <v>748</v>
      </c>
      <c r="B754" s="24">
        <v>2041214109</v>
      </c>
      <c r="C754" s="25" t="s">
        <v>320</v>
      </c>
      <c r="D754" s="26" t="s">
        <v>66</v>
      </c>
      <c r="E754" s="24" t="s">
        <v>321</v>
      </c>
      <c r="F754" s="27" t="s">
        <v>319</v>
      </c>
      <c r="G754" s="28" t="s">
        <v>294</v>
      </c>
      <c r="H754" s="30">
        <f>VLOOKUP(B754,'Dữ liệu TQNM'!$B$7:$F$769,5,0)</f>
        <v>5</v>
      </c>
      <c r="I754" s="30">
        <f>COUNTIF('Nộp báo cáo'!$A$3:$A$1993,'Tổng 24-25'!B754)</f>
        <v>3</v>
      </c>
      <c r="J754" s="91"/>
    </row>
    <row r="755" spans="1:10" ht="18.5" customHeight="1" x14ac:dyDescent="0.3">
      <c r="A755" s="31">
        <v>749</v>
      </c>
      <c r="B755" s="108">
        <v>2041214113</v>
      </c>
      <c r="C755" s="45" t="s">
        <v>1288</v>
      </c>
      <c r="D755" s="46" t="s">
        <v>56</v>
      </c>
      <c r="E755" s="44" t="s">
        <v>1289</v>
      </c>
      <c r="F755" s="47" t="s">
        <v>319</v>
      </c>
      <c r="G755" s="48" t="s">
        <v>294</v>
      </c>
      <c r="H755" s="30">
        <f>VLOOKUP(B755,'Dữ liệu TQNM'!$B$7:$F$769,5,0)</f>
        <v>1</v>
      </c>
      <c r="I755" s="30">
        <f>COUNTIF('Nộp báo cáo'!$A$3:$A$1993,'Tổng 24-25'!B755)</f>
        <v>1</v>
      </c>
      <c r="J755" s="91" t="s">
        <v>2039</v>
      </c>
    </row>
    <row r="756" spans="1:10" ht="18.5" customHeight="1" x14ac:dyDescent="0.3">
      <c r="A756" s="31">
        <v>750</v>
      </c>
      <c r="B756" s="108">
        <v>2005212202</v>
      </c>
      <c r="C756" s="45" t="s">
        <v>1285</v>
      </c>
      <c r="D756" s="46" t="s">
        <v>205</v>
      </c>
      <c r="E756" s="44" t="s">
        <v>1286</v>
      </c>
      <c r="F756" s="47" t="s">
        <v>1287</v>
      </c>
      <c r="G756" s="48" t="s">
        <v>294</v>
      </c>
      <c r="H756" s="30">
        <f>VLOOKUP(B756,'Dữ liệu TQNM'!$B$7:$F$769,5,0)</f>
        <v>2</v>
      </c>
      <c r="I756" s="30">
        <f>COUNTIF('Nộp báo cáo'!$A$3:$A$1993,'Tổng 24-25'!B756)</f>
        <v>3</v>
      </c>
      <c r="J756" s="91"/>
    </row>
    <row r="757" spans="1:10" ht="18.5" customHeight="1" x14ac:dyDescent="0.3">
      <c r="A757" s="31">
        <v>751</v>
      </c>
      <c r="B757" s="24">
        <v>2005210982</v>
      </c>
      <c r="C757" s="25" t="s">
        <v>323</v>
      </c>
      <c r="D757" s="26" t="s">
        <v>324</v>
      </c>
      <c r="E757" s="24" t="s">
        <v>325</v>
      </c>
      <c r="F757" s="27" t="s">
        <v>326</v>
      </c>
      <c r="G757" s="28" t="s">
        <v>294</v>
      </c>
      <c r="H757" s="30">
        <f>VLOOKUP(B757,'Dữ liệu TQNM'!$B$7:$F$769,5,0)</f>
        <v>4</v>
      </c>
      <c r="I757" s="30">
        <f>COUNTIF('Nộp báo cáo'!$A$3:$A$1993,'Tổng 24-25'!B757)</f>
        <v>11</v>
      </c>
      <c r="J757" s="91"/>
    </row>
    <row r="758" spans="1:10" ht="18.5" customHeight="1" x14ac:dyDescent="0.3">
      <c r="A758" s="31">
        <v>752</v>
      </c>
      <c r="B758" s="108">
        <v>2005210184</v>
      </c>
      <c r="C758" s="45" t="s">
        <v>1277</v>
      </c>
      <c r="D758" s="46" t="s">
        <v>173</v>
      </c>
      <c r="E758" s="44" t="s">
        <v>1278</v>
      </c>
      <c r="F758" s="47" t="s">
        <v>1265</v>
      </c>
      <c r="G758" s="48" t="s">
        <v>294</v>
      </c>
      <c r="H758" s="30">
        <f>VLOOKUP(B758,'Dữ liệu TQNM'!$B$7:$F$769,5,0)</f>
        <v>2</v>
      </c>
      <c r="I758" s="30">
        <f>COUNTIF('Nộp báo cáo'!$A$3:$A$1993,'Tổng 24-25'!B758)</f>
        <v>3</v>
      </c>
      <c r="J758" s="91"/>
    </row>
    <row r="759" spans="1:10" s="18" customFormat="1" ht="18.5" customHeight="1" x14ac:dyDescent="0.3">
      <c r="A759" s="19">
        <v>753</v>
      </c>
      <c r="B759" s="108">
        <v>2005210209</v>
      </c>
      <c r="C759" s="45" t="s">
        <v>1262</v>
      </c>
      <c r="D759" s="46" t="s">
        <v>1263</v>
      </c>
      <c r="E759" s="44" t="s">
        <v>1264</v>
      </c>
      <c r="F759" s="47" t="s">
        <v>1265</v>
      </c>
      <c r="G759" s="48" t="s">
        <v>294</v>
      </c>
      <c r="H759" s="30">
        <f>VLOOKUP(B759,'Dữ liệu TQNM'!$B$7:$F$769,5,0)</f>
        <v>4</v>
      </c>
      <c r="I759" s="30">
        <f>COUNTIF('Nộp báo cáo'!$A$3:$A$1993,'Tổng 24-25'!B759)</f>
        <v>3</v>
      </c>
      <c r="J759" s="91"/>
    </row>
    <row r="760" spans="1:10" ht="18.5" customHeight="1" x14ac:dyDescent="0.3">
      <c r="A760" s="31">
        <v>754</v>
      </c>
      <c r="B760" s="108">
        <v>2005210573</v>
      </c>
      <c r="C760" s="45" t="s">
        <v>1257</v>
      </c>
      <c r="D760" s="46" t="s">
        <v>120</v>
      </c>
      <c r="E760" s="44" t="s">
        <v>60</v>
      </c>
      <c r="F760" s="47" t="s">
        <v>1258</v>
      </c>
      <c r="G760" s="48" t="s">
        <v>294</v>
      </c>
      <c r="H760" s="30">
        <f>VLOOKUP(B760,'Dữ liệu TQNM'!$B$7:$F$769,5,0)</f>
        <v>0</v>
      </c>
      <c r="I760" s="30">
        <f>COUNTIF('Nộp báo cáo'!$A$3:$A$1993,'Tổng 24-25'!B760)</f>
        <v>0</v>
      </c>
      <c r="J760" s="91"/>
    </row>
    <row r="761" spans="1:10" ht="18.5" customHeight="1" x14ac:dyDescent="0.3">
      <c r="A761" s="31">
        <v>755</v>
      </c>
      <c r="B761" s="108">
        <v>2005211043</v>
      </c>
      <c r="C761" s="45" t="s">
        <v>1279</v>
      </c>
      <c r="D761" s="46" t="s">
        <v>47</v>
      </c>
      <c r="E761" s="44" t="s">
        <v>1280</v>
      </c>
      <c r="F761" s="47" t="s">
        <v>1258</v>
      </c>
      <c r="G761" s="48" t="s">
        <v>294</v>
      </c>
      <c r="H761" s="30">
        <f>VLOOKUP(B761,'Dữ liệu TQNM'!$B$7:$F$769,5,0)</f>
        <v>1</v>
      </c>
      <c r="I761" s="30">
        <f>COUNTIF('Nộp báo cáo'!$A$3:$A$1993,'Tổng 24-25'!B761)</f>
        <v>1</v>
      </c>
      <c r="J761" s="91"/>
    </row>
    <row r="762" spans="1:10" s="18" customFormat="1" ht="18.5" customHeight="1" x14ac:dyDescent="0.3">
      <c r="A762" s="19">
        <v>756</v>
      </c>
      <c r="B762" s="108">
        <v>2005211255</v>
      </c>
      <c r="C762" s="45" t="s">
        <v>93</v>
      </c>
      <c r="D762" s="46" t="s">
        <v>168</v>
      </c>
      <c r="E762" s="44" t="s">
        <v>1275</v>
      </c>
      <c r="F762" s="47" t="s">
        <v>1258</v>
      </c>
      <c r="G762" s="48" t="s">
        <v>294</v>
      </c>
      <c r="H762" s="30">
        <f>VLOOKUP(B762,'Dữ liệu TQNM'!$B$7:$F$769,5,0)</f>
        <v>2</v>
      </c>
      <c r="I762" s="30">
        <f>COUNTIF('Nộp báo cáo'!$A$3:$A$1993,'Tổng 24-25'!B762)</f>
        <v>0</v>
      </c>
      <c r="J762" s="91"/>
    </row>
    <row r="763" spans="1:10" ht="18.5" customHeight="1" x14ac:dyDescent="0.3">
      <c r="A763" s="31">
        <v>757</v>
      </c>
      <c r="B763" s="24">
        <v>2005210553</v>
      </c>
      <c r="C763" s="25" t="s">
        <v>328</v>
      </c>
      <c r="D763" s="26" t="s">
        <v>154</v>
      </c>
      <c r="E763" s="24" t="s">
        <v>329</v>
      </c>
      <c r="F763" s="27" t="s">
        <v>330</v>
      </c>
      <c r="G763" s="28" t="s">
        <v>294</v>
      </c>
      <c r="H763" s="30">
        <f>VLOOKUP(B763,'Dữ liệu TQNM'!$B$7:$F$769,5,0)</f>
        <v>2</v>
      </c>
      <c r="I763" s="30">
        <f>COUNTIF('Nộp báo cáo'!$A$3:$A$1993,'Tổng 24-25'!B763)</f>
        <v>0</v>
      </c>
      <c r="J763" s="95" t="s">
        <v>2040</v>
      </c>
    </row>
    <row r="764" spans="1:10" ht="18.5" customHeight="1" x14ac:dyDescent="0.3">
      <c r="A764" s="31">
        <v>758</v>
      </c>
      <c r="B764" s="108">
        <v>2005211085</v>
      </c>
      <c r="C764" s="45" t="s">
        <v>174</v>
      </c>
      <c r="D764" s="46" t="s">
        <v>446</v>
      </c>
      <c r="E764" s="44" t="s">
        <v>1276</v>
      </c>
      <c r="F764" s="47" t="s">
        <v>331</v>
      </c>
      <c r="G764" s="48" t="s">
        <v>294</v>
      </c>
      <c r="H764" s="30">
        <f>VLOOKUP(B764,'Dữ liệu TQNM'!$B$7:$F$769,5,0)</f>
        <v>0</v>
      </c>
      <c r="I764" s="30">
        <f>COUNTIF('Nộp báo cáo'!$A$3:$A$1993,'Tổng 24-25'!B764)</f>
        <v>0</v>
      </c>
      <c r="J764" s="91"/>
    </row>
    <row r="765" spans="1:10" s="18" customFormat="1" ht="18.5" customHeight="1" x14ac:dyDescent="0.3">
      <c r="A765" s="19">
        <v>759</v>
      </c>
      <c r="B765" s="108">
        <v>2005211090</v>
      </c>
      <c r="C765" s="45" t="s">
        <v>1250</v>
      </c>
      <c r="D765" s="46" t="s">
        <v>36</v>
      </c>
      <c r="E765" s="44" t="s">
        <v>461</v>
      </c>
      <c r="F765" s="47" t="s">
        <v>1251</v>
      </c>
      <c r="G765" s="48" t="s">
        <v>294</v>
      </c>
      <c r="H765" s="30">
        <f>VLOOKUP(B765,'Dữ liệu TQNM'!$B$7:$F$769,5,0)</f>
        <v>0</v>
      </c>
      <c r="I765" s="30">
        <f>COUNTIF('Nộp báo cáo'!$A$3:$A$1993,'Tổng 24-25'!B765)</f>
        <v>0</v>
      </c>
      <c r="J765" s="91"/>
    </row>
    <row r="766" spans="1:10" ht="18.5" customHeight="1" x14ac:dyDescent="0.3">
      <c r="A766" s="31">
        <v>760</v>
      </c>
      <c r="B766" s="108">
        <v>2005217995</v>
      </c>
      <c r="C766" s="45" t="s">
        <v>1281</v>
      </c>
      <c r="D766" s="46" t="s">
        <v>76</v>
      </c>
      <c r="E766" s="44" t="s">
        <v>1282</v>
      </c>
      <c r="F766" s="47" t="s">
        <v>1251</v>
      </c>
      <c r="G766" s="48" t="s">
        <v>294</v>
      </c>
      <c r="H766" s="30">
        <f>VLOOKUP(B766,'Dữ liệu TQNM'!$B$7:$F$769,5,0)</f>
        <v>2</v>
      </c>
      <c r="I766" s="30">
        <f>COUNTIF('Nộp báo cáo'!$A$3:$A$1993,'Tổng 24-25'!B766)</f>
        <v>2</v>
      </c>
      <c r="J766" s="91"/>
    </row>
    <row r="767" spans="1:10" ht="18.5" customHeight="1" x14ac:dyDescent="0.3">
      <c r="A767" s="31">
        <v>761</v>
      </c>
      <c r="B767" s="108">
        <v>2005218010</v>
      </c>
      <c r="C767" s="45" t="s">
        <v>1266</v>
      </c>
      <c r="D767" s="46" t="s">
        <v>318</v>
      </c>
      <c r="E767" s="44" t="s">
        <v>1267</v>
      </c>
      <c r="F767" s="47" t="s">
        <v>1251</v>
      </c>
      <c r="G767" s="48" t="s">
        <v>294</v>
      </c>
      <c r="H767" s="30">
        <f>VLOOKUP(B767,'Dữ liệu TQNM'!$B$7:$F$769,5,0)</f>
        <v>1</v>
      </c>
      <c r="I767" s="30">
        <f>COUNTIF('Nộp báo cáo'!$A$3:$A$1993,'Tổng 24-25'!B767)</f>
        <v>3</v>
      </c>
      <c r="J767" s="91" t="s">
        <v>1290</v>
      </c>
    </row>
    <row r="768" spans="1:10" ht="18.5" customHeight="1" x14ac:dyDescent="0.3">
      <c r="A768" s="31">
        <v>762</v>
      </c>
      <c r="B768" s="108">
        <v>2005218108</v>
      </c>
      <c r="C768" s="45" t="s">
        <v>1273</v>
      </c>
      <c r="D768" s="46" t="s">
        <v>168</v>
      </c>
      <c r="E768" s="44" t="s">
        <v>1274</v>
      </c>
      <c r="F768" s="47" t="s">
        <v>332</v>
      </c>
      <c r="G768" s="48" t="s">
        <v>294</v>
      </c>
      <c r="H768" s="30">
        <f>VLOOKUP(B768,'Dữ liệu TQNM'!$B$7:$F$769,5,0)</f>
        <v>2</v>
      </c>
      <c r="I768" s="30">
        <f>COUNTIF('Nộp báo cáo'!$A$3:$A$1993,'Tổng 24-25'!B768)</f>
        <v>3</v>
      </c>
      <c r="J768" s="91"/>
    </row>
    <row r="769" spans="1:10" ht="18.5" customHeight="1" x14ac:dyDescent="0.3">
      <c r="A769" s="31">
        <v>763</v>
      </c>
      <c r="B769" s="108">
        <v>2005212241</v>
      </c>
      <c r="C769" s="45" t="s">
        <v>1253</v>
      </c>
      <c r="D769" s="46" t="s">
        <v>109</v>
      </c>
      <c r="E769" s="44" t="s">
        <v>301</v>
      </c>
      <c r="F769" s="47" t="s">
        <v>334</v>
      </c>
      <c r="G769" s="48" t="s">
        <v>294</v>
      </c>
      <c r="H769" s="30">
        <f>VLOOKUP(B769,'Dữ liệu TQNM'!$B$7:$F$769,5,0)</f>
        <v>0</v>
      </c>
      <c r="I769" s="30">
        <f>COUNTIF('Nộp báo cáo'!$A$3:$A$1993,'Tổng 24-25'!B769)</f>
        <v>0</v>
      </c>
      <c r="J769" s="91"/>
    </row>
    <row r="772" spans="1:10" x14ac:dyDescent="0.3">
      <c r="B772" s="92"/>
    </row>
    <row r="773" spans="1:10" x14ac:dyDescent="0.3">
      <c r="B773" s="93"/>
    </row>
    <row r="774" spans="1:10" x14ac:dyDescent="0.3">
      <c r="B774" s="92"/>
    </row>
    <row r="775" spans="1:10" x14ac:dyDescent="0.3">
      <c r="B775" s="93"/>
    </row>
    <row r="776" spans="1:10" x14ac:dyDescent="0.3">
      <c r="B776" s="92"/>
    </row>
    <row r="777" spans="1:10" x14ac:dyDescent="0.3">
      <c r="B777" s="93"/>
    </row>
    <row r="778" spans="1:10" x14ac:dyDescent="0.3">
      <c r="B778" s="92"/>
    </row>
    <row r="779" spans="1:10" x14ac:dyDescent="0.3">
      <c r="B779" s="93"/>
    </row>
    <row r="780" spans="1:10" x14ac:dyDescent="0.3">
      <c r="B780" s="92"/>
    </row>
    <row r="781" spans="1:10" x14ac:dyDescent="0.3">
      <c r="B781" s="93"/>
    </row>
    <row r="782" spans="1:10" x14ac:dyDescent="0.3">
      <c r="B782" s="92"/>
    </row>
    <row r="783" spans="1:10" x14ac:dyDescent="0.3">
      <c r="B783" s="93"/>
    </row>
    <row r="784" spans="1:10" x14ac:dyDescent="0.3">
      <c r="B784" s="92"/>
    </row>
    <row r="785" spans="2:2" x14ac:dyDescent="0.3">
      <c r="B785" s="93"/>
    </row>
    <row r="786" spans="2:2" x14ac:dyDescent="0.3">
      <c r="B786" s="92"/>
    </row>
    <row r="787" spans="2:2" x14ac:dyDescent="0.3">
      <c r="B787" s="93"/>
    </row>
    <row r="788" spans="2:2" x14ac:dyDescent="0.3">
      <c r="B788" s="92"/>
    </row>
    <row r="789" spans="2:2" x14ac:dyDescent="0.3">
      <c r="B789" s="93"/>
    </row>
    <row r="790" spans="2:2" x14ac:dyDescent="0.3">
      <c r="B790" s="92"/>
    </row>
    <row r="791" spans="2:2" x14ac:dyDescent="0.3">
      <c r="B791" s="93"/>
    </row>
    <row r="792" spans="2:2" x14ac:dyDescent="0.3">
      <c r="B792" s="92"/>
    </row>
    <row r="793" spans="2:2" x14ac:dyDescent="0.3">
      <c r="B793" s="93"/>
    </row>
    <row r="794" spans="2:2" x14ac:dyDescent="0.3">
      <c r="B794" s="92"/>
    </row>
    <row r="795" spans="2:2" x14ac:dyDescent="0.3">
      <c r="B795" s="93"/>
    </row>
    <row r="796" spans="2:2" x14ac:dyDescent="0.3">
      <c r="B796" s="92"/>
    </row>
    <row r="797" spans="2:2" x14ac:dyDescent="0.3">
      <c r="B797" s="93"/>
    </row>
    <row r="798" spans="2:2" x14ac:dyDescent="0.3">
      <c r="B798" s="92"/>
    </row>
    <row r="799" spans="2:2" x14ac:dyDescent="0.3">
      <c r="B799" s="93"/>
    </row>
    <row r="800" spans="2:2" x14ac:dyDescent="0.3">
      <c r="B800" s="92"/>
    </row>
    <row r="801" spans="2:2" x14ac:dyDescent="0.3">
      <c r="B801" s="93"/>
    </row>
    <row r="802" spans="2:2" x14ac:dyDescent="0.3">
      <c r="B802" s="92"/>
    </row>
    <row r="803" spans="2:2" x14ac:dyDescent="0.3">
      <c r="B803" s="93"/>
    </row>
    <row r="804" spans="2:2" x14ac:dyDescent="0.3">
      <c r="B804" s="92"/>
    </row>
    <row r="805" spans="2:2" x14ac:dyDescent="0.3">
      <c r="B805" s="93"/>
    </row>
    <row r="806" spans="2:2" x14ac:dyDescent="0.3">
      <c r="B806" s="92"/>
    </row>
    <row r="807" spans="2:2" x14ac:dyDescent="0.3">
      <c r="B807" s="93"/>
    </row>
    <row r="808" spans="2:2" x14ac:dyDescent="0.3">
      <c r="B808" s="92"/>
    </row>
    <row r="809" spans="2:2" x14ac:dyDescent="0.3">
      <c r="B809" s="93"/>
    </row>
    <row r="810" spans="2:2" x14ac:dyDescent="0.3">
      <c r="B810" s="92"/>
    </row>
    <row r="811" spans="2:2" x14ac:dyDescent="0.3">
      <c r="B811" s="93"/>
    </row>
    <row r="812" spans="2:2" x14ac:dyDescent="0.3">
      <c r="B812" s="92"/>
    </row>
    <row r="813" spans="2:2" x14ac:dyDescent="0.3">
      <c r="B813" s="93"/>
    </row>
    <row r="814" spans="2:2" x14ac:dyDescent="0.3">
      <c r="B814" s="92"/>
    </row>
    <row r="815" spans="2:2" x14ac:dyDescent="0.3">
      <c r="B815" s="93"/>
    </row>
    <row r="816" spans="2:2" x14ac:dyDescent="0.3">
      <c r="B816" s="92"/>
    </row>
    <row r="817" spans="2:2" x14ac:dyDescent="0.3">
      <c r="B817" s="93"/>
    </row>
    <row r="818" spans="2:2" x14ac:dyDescent="0.3">
      <c r="B818" s="92"/>
    </row>
    <row r="819" spans="2:2" x14ac:dyDescent="0.3">
      <c r="B819" s="93"/>
    </row>
    <row r="820" spans="2:2" x14ac:dyDescent="0.3">
      <c r="B820" s="92"/>
    </row>
    <row r="821" spans="2:2" x14ac:dyDescent="0.3">
      <c r="B821" s="94"/>
    </row>
  </sheetData>
  <autoFilter ref="A6:J769" xr:uid="{00000000-0009-0000-0000-000002000000}"/>
  <sortState xmlns:xlrd2="http://schemas.microsoft.com/office/spreadsheetml/2017/richdata2" ref="B730:H769">
    <sortCondition ref="F730:F769"/>
    <sortCondition ref="D730:D769"/>
  </sortState>
  <mergeCells count="1">
    <mergeCell ref="A4:G4"/>
  </mergeCells>
  <conditionalFormatting sqref="B1:B1048576">
    <cfRule type="duplicateValues" dxfId="72" priority="106"/>
  </conditionalFormatting>
  <printOptions horizontalCentered="1"/>
  <pageMargins left="0.35" right="0.2" top="0.35" bottom="0.5" header="0" footer="0.3"/>
  <pageSetup paperSize="9" scale="80" orientation="portrait" useFirstPageNumber="1" r:id="rId1"/>
  <headerFooter alignWithMargins="0">
    <oddHeader>&amp;R&amp;IE2124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21"/>
  <sheetViews>
    <sheetView tabSelected="1" topLeftCell="A764" zoomScale="40" zoomScaleNormal="40" workbookViewId="0">
      <selection activeCell="H781" sqref="H781"/>
    </sheetView>
  </sheetViews>
  <sheetFormatPr defaultColWidth="8.81640625" defaultRowHeight="14.5" x14ac:dyDescent="0.35"/>
  <cols>
    <col min="1" max="1" width="8.81640625" style="29"/>
    <col min="2" max="2" width="15.453125" style="29" customWidth="1"/>
    <col min="3" max="3" width="25.1796875" style="29" bestFit="1" customWidth="1"/>
    <col min="4" max="4" width="8.453125" style="29" bestFit="1" customWidth="1"/>
    <col min="5" max="5" width="14" style="29" bestFit="1" customWidth="1"/>
    <col min="6" max="6" width="12.453125" style="29" bestFit="1" customWidth="1"/>
    <col min="7" max="7" width="10.08984375" style="29" bestFit="1" customWidth="1"/>
    <col min="8" max="8" width="12.54296875" style="29" bestFit="1" customWidth="1"/>
    <col min="9" max="9" width="13.6328125" style="29" bestFit="1" customWidth="1"/>
    <col min="10" max="10" width="6.81640625" style="29" bestFit="1" customWidth="1"/>
    <col min="11" max="11" width="8.81640625" style="29"/>
    <col min="12" max="12" width="12.81640625" style="29" bestFit="1" customWidth="1"/>
    <col min="13" max="13" width="12.54296875" style="29" bestFit="1" customWidth="1"/>
    <col min="14" max="16" width="8.81640625" style="29"/>
    <col min="17" max="17" width="12.81640625" style="29" bestFit="1" customWidth="1"/>
    <col min="18" max="18" width="12.54296875" style="29" bestFit="1" customWidth="1"/>
    <col min="19" max="22" width="8.81640625" style="29"/>
    <col min="23" max="23" width="12.54296875" style="29" bestFit="1" customWidth="1"/>
    <col min="24" max="24" width="13.6328125" style="29" bestFit="1" customWidth="1"/>
    <col min="25" max="25" width="8.81640625" style="29"/>
    <col min="26" max="26" width="14" style="29" bestFit="1" customWidth="1"/>
    <col min="27" max="27" width="6.81640625" style="29" bestFit="1" customWidth="1"/>
    <col min="28" max="28" width="12.54296875" style="29" bestFit="1" customWidth="1"/>
    <col min="29" max="29" width="13.6328125" style="29" bestFit="1" customWidth="1"/>
    <col min="30" max="30" width="8.81640625" style="29"/>
    <col min="31" max="31" width="14" style="29" bestFit="1" customWidth="1"/>
    <col min="32" max="16384" width="8.81640625" style="29"/>
  </cols>
  <sheetData>
    <row r="1" spans="1:31" ht="16.5" x14ac:dyDescent="0.35">
      <c r="A1" s="122" t="s">
        <v>1290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50"/>
      <c r="P1" s="51"/>
      <c r="Q1" s="124"/>
      <c r="R1" s="125"/>
      <c r="S1" s="125"/>
      <c r="T1" s="125"/>
      <c r="U1" s="125"/>
      <c r="V1" s="125"/>
      <c r="W1" s="125"/>
      <c r="X1" s="125"/>
      <c r="Y1" s="125"/>
      <c r="Z1" s="125"/>
      <c r="AA1" s="52"/>
      <c r="AB1" s="52"/>
      <c r="AC1" s="52"/>
      <c r="AD1" s="52"/>
      <c r="AE1" s="52"/>
    </row>
    <row r="2" spans="1:31" ht="30.5" customHeight="1" x14ac:dyDescent="0.35">
      <c r="A2" s="126" t="s">
        <v>1291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50"/>
      <c r="P2" s="51"/>
      <c r="Q2" s="124"/>
      <c r="R2" s="125"/>
      <c r="S2" s="125"/>
      <c r="T2" s="125"/>
      <c r="U2" s="125"/>
      <c r="V2" s="125"/>
      <c r="W2" s="125"/>
      <c r="X2" s="125"/>
      <c r="Y2" s="125"/>
      <c r="Z2" s="125"/>
      <c r="AA2" s="52"/>
      <c r="AB2" s="52"/>
      <c r="AC2" s="52"/>
      <c r="AD2" s="52"/>
      <c r="AE2" s="52"/>
    </row>
    <row r="3" spans="1:31" ht="16.5" x14ac:dyDescent="0.35">
      <c r="A3" s="51"/>
      <c r="B3" s="51"/>
      <c r="C3" s="53"/>
      <c r="D3" s="53"/>
      <c r="E3" s="51"/>
      <c r="F3" s="54"/>
      <c r="G3" s="51"/>
      <c r="H3" s="55"/>
      <c r="I3" s="54"/>
      <c r="J3" s="50"/>
      <c r="K3" s="56"/>
      <c r="L3" s="50"/>
      <c r="M3" s="55"/>
      <c r="N3" s="50"/>
      <c r="O3" s="50"/>
      <c r="P3" s="51"/>
      <c r="Q3" s="50"/>
      <c r="R3" s="55"/>
      <c r="S3" s="50"/>
      <c r="T3" s="50"/>
      <c r="U3" s="50"/>
      <c r="V3" s="57"/>
      <c r="W3" s="57"/>
      <c r="X3" s="55"/>
      <c r="Y3" s="57"/>
      <c r="Z3" s="50"/>
      <c r="AA3" s="52"/>
      <c r="AB3" s="52"/>
      <c r="AC3" s="52"/>
      <c r="AD3" s="52"/>
      <c r="AE3" s="52"/>
    </row>
    <row r="4" spans="1:31" ht="16.5" x14ac:dyDescent="0.35">
      <c r="A4" s="58" t="s">
        <v>0</v>
      </c>
      <c r="B4" s="59" t="s">
        <v>1292</v>
      </c>
      <c r="C4" s="60" t="s">
        <v>1293</v>
      </c>
      <c r="D4" s="59"/>
      <c r="E4" s="59" t="s">
        <v>1294</v>
      </c>
      <c r="F4" s="61" t="s">
        <v>1295</v>
      </c>
      <c r="G4" s="127" t="s">
        <v>1313</v>
      </c>
      <c r="H4" s="128"/>
      <c r="I4" s="128"/>
      <c r="J4" s="128"/>
      <c r="K4" s="129"/>
      <c r="L4" s="127" t="s">
        <v>1314</v>
      </c>
      <c r="M4" s="128"/>
      <c r="N4" s="128"/>
      <c r="O4" s="128"/>
      <c r="P4" s="129"/>
      <c r="Q4" s="127" t="s">
        <v>1315</v>
      </c>
      <c r="R4" s="120"/>
      <c r="S4" s="120"/>
      <c r="T4" s="120"/>
      <c r="U4" s="121"/>
      <c r="V4" s="119" t="s">
        <v>1296</v>
      </c>
      <c r="W4" s="120"/>
      <c r="X4" s="120"/>
      <c r="Y4" s="120"/>
      <c r="Z4" s="121"/>
      <c r="AA4" s="119" t="s">
        <v>1297</v>
      </c>
      <c r="AB4" s="120"/>
      <c r="AC4" s="120"/>
      <c r="AD4" s="120"/>
      <c r="AE4" s="121"/>
    </row>
    <row r="5" spans="1:31" ht="16.5" x14ac:dyDescent="0.35">
      <c r="A5" s="62"/>
      <c r="B5" s="63"/>
      <c r="C5" s="64"/>
      <c r="D5" s="63"/>
      <c r="E5" s="63"/>
      <c r="F5" s="65"/>
      <c r="G5" s="63" t="s">
        <v>2013</v>
      </c>
      <c r="H5" s="66" t="s">
        <v>2014</v>
      </c>
      <c r="I5" s="65" t="s">
        <v>2015</v>
      </c>
      <c r="J5" s="63" t="s">
        <v>2016</v>
      </c>
      <c r="K5" s="63" t="s">
        <v>2017</v>
      </c>
      <c r="L5" s="65" t="s">
        <v>2013</v>
      </c>
      <c r="M5" s="63" t="s">
        <v>2014</v>
      </c>
      <c r="N5" s="65" t="s">
        <v>2015</v>
      </c>
      <c r="O5" s="63" t="s">
        <v>2016</v>
      </c>
      <c r="P5" s="63" t="s">
        <v>2017</v>
      </c>
      <c r="Q5" s="63" t="s">
        <v>2013</v>
      </c>
      <c r="R5" s="66" t="s">
        <v>2014</v>
      </c>
      <c r="S5" s="63" t="s">
        <v>2015</v>
      </c>
      <c r="T5" s="63" t="s">
        <v>2016</v>
      </c>
      <c r="U5" s="63" t="s">
        <v>2017</v>
      </c>
      <c r="V5" s="65" t="s">
        <v>2013</v>
      </c>
      <c r="W5" s="65" t="s">
        <v>2014</v>
      </c>
      <c r="X5" s="63" t="s">
        <v>2015</v>
      </c>
      <c r="Y5" s="65" t="s">
        <v>2016</v>
      </c>
      <c r="Z5" s="63" t="s">
        <v>2017</v>
      </c>
      <c r="AA5" s="65" t="s">
        <v>2013</v>
      </c>
      <c r="AB5" s="65" t="s">
        <v>2014</v>
      </c>
      <c r="AC5" s="63" t="s">
        <v>2015</v>
      </c>
      <c r="AD5" s="65" t="s">
        <v>2016</v>
      </c>
      <c r="AE5" s="63" t="s">
        <v>2017</v>
      </c>
    </row>
    <row r="6" spans="1:31" ht="16.5" x14ac:dyDescent="0.35">
      <c r="A6" s="67" t="s">
        <v>2018</v>
      </c>
      <c r="B6" s="68" t="s">
        <v>2019</v>
      </c>
      <c r="C6" s="67" t="s">
        <v>2020</v>
      </c>
      <c r="D6" s="69" t="s">
        <v>2021</v>
      </c>
      <c r="E6" s="68" t="s">
        <v>2022</v>
      </c>
      <c r="F6" s="70" t="s">
        <v>2023</v>
      </c>
      <c r="G6" s="130" t="s">
        <v>2024</v>
      </c>
      <c r="H6" s="131"/>
      <c r="I6" s="131"/>
      <c r="J6" s="131"/>
      <c r="K6" s="132"/>
      <c r="L6" s="130" t="s">
        <v>2025</v>
      </c>
      <c r="M6" s="131"/>
      <c r="N6" s="131"/>
      <c r="O6" s="131"/>
      <c r="P6" s="132"/>
      <c r="Q6" s="130" t="s">
        <v>2026</v>
      </c>
      <c r="R6" s="133"/>
      <c r="S6" s="133"/>
      <c r="T6" s="133"/>
      <c r="U6" s="134"/>
      <c r="V6" s="130" t="s">
        <v>2027</v>
      </c>
      <c r="W6" s="133"/>
      <c r="X6" s="133"/>
      <c r="Y6" s="133"/>
      <c r="Z6" s="134"/>
      <c r="AA6" s="130" t="s">
        <v>2027</v>
      </c>
      <c r="AB6" s="133"/>
      <c r="AC6" s="133"/>
      <c r="AD6" s="133"/>
      <c r="AE6" s="134"/>
    </row>
    <row r="7" spans="1:31" ht="16.5" x14ac:dyDescent="0.35">
      <c r="A7" s="71">
        <v>1</v>
      </c>
      <c r="B7" s="72">
        <v>2005190573</v>
      </c>
      <c r="C7" s="73" t="s">
        <v>146</v>
      </c>
      <c r="D7" s="74" t="s">
        <v>208</v>
      </c>
      <c r="E7" s="75" t="s">
        <v>2028</v>
      </c>
      <c r="F7" s="76" t="s">
        <v>1290</v>
      </c>
      <c r="G7" s="72" t="s">
        <v>1290</v>
      </c>
      <c r="H7" s="77"/>
      <c r="I7" s="72"/>
      <c r="J7" s="72"/>
      <c r="K7" s="72"/>
      <c r="L7" s="72" t="s">
        <v>1290</v>
      </c>
      <c r="M7" s="78"/>
      <c r="N7" s="72"/>
      <c r="O7" s="72"/>
      <c r="P7" s="72"/>
      <c r="Q7" s="72" t="s">
        <v>1290</v>
      </c>
      <c r="R7" s="78"/>
      <c r="S7" s="72"/>
      <c r="T7" s="72"/>
      <c r="U7" s="72"/>
      <c r="V7" s="72"/>
      <c r="W7" s="72"/>
      <c r="X7" s="72"/>
      <c r="Y7" s="72"/>
      <c r="Z7" s="72"/>
      <c r="AA7" s="79"/>
      <c r="AB7" s="79"/>
      <c r="AC7" s="79"/>
      <c r="AD7" s="79"/>
      <c r="AE7" s="79"/>
    </row>
    <row r="8" spans="1:31" ht="16.5" x14ac:dyDescent="0.35">
      <c r="A8" s="71">
        <v>2</v>
      </c>
      <c r="B8" s="72">
        <v>2005200613</v>
      </c>
      <c r="C8" s="73" t="s">
        <v>721</v>
      </c>
      <c r="D8" s="74" t="s">
        <v>31</v>
      </c>
      <c r="E8" s="75" t="s">
        <v>2029</v>
      </c>
      <c r="F8" s="76">
        <v>2</v>
      </c>
      <c r="G8" s="72" t="s">
        <v>925</v>
      </c>
      <c r="H8" s="78">
        <v>45440</v>
      </c>
      <c r="I8" s="72" t="s">
        <v>1299</v>
      </c>
      <c r="J8" s="72">
        <v>5</v>
      </c>
      <c r="K8" s="72"/>
      <c r="L8" s="72" t="s">
        <v>1300</v>
      </c>
      <c r="M8" s="78">
        <v>45443</v>
      </c>
      <c r="N8" s="72" t="s">
        <v>1299</v>
      </c>
      <c r="O8" s="72">
        <v>4.5</v>
      </c>
      <c r="P8" s="72"/>
      <c r="Q8" s="72"/>
      <c r="R8" s="78"/>
      <c r="S8" s="72"/>
      <c r="T8" s="72"/>
      <c r="U8" s="72"/>
      <c r="V8" s="72"/>
      <c r="W8" s="72"/>
      <c r="X8" s="72"/>
      <c r="Y8" s="72"/>
      <c r="Z8" s="72"/>
      <c r="AA8" s="79"/>
      <c r="AB8" s="79"/>
      <c r="AC8" s="79"/>
      <c r="AD8" s="79"/>
      <c r="AE8" s="79"/>
    </row>
    <row r="9" spans="1:31" ht="16.5" x14ac:dyDescent="0.35">
      <c r="A9" s="71">
        <v>3</v>
      </c>
      <c r="B9" s="72">
        <v>2005201064</v>
      </c>
      <c r="C9" s="73" t="s">
        <v>2030</v>
      </c>
      <c r="D9" s="74" t="s">
        <v>304</v>
      </c>
      <c r="E9" s="75" t="s">
        <v>2029</v>
      </c>
      <c r="F9" s="76">
        <v>2</v>
      </c>
      <c r="G9" s="72" t="s">
        <v>925</v>
      </c>
      <c r="H9" s="78">
        <v>45398</v>
      </c>
      <c r="I9" s="72" t="s">
        <v>1299</v>
      </c>
      <c r="J9" s="72">
        <v>8</v>
      </c>
      <c r="K9" s="72"/>
      <c r="L9" s="72" t="s">
        <v>1300</v>
      </c>
      <c r="M9" s="78">
        <v>45399</v>
      </c>
      <c r="N9" s="72" t="s">
        <v>1299</v>
      </c>
      <c r="O9" s="72">
        <v>5.5</v>
      </c>
      <c r="P9" s="72"/>
      <c r="Q9" s="72"/>
      <c r="R9" s="78"/>
      <c r="S9" s="72"/>
      <c r="T9" s="72"/>
      <c r="U9" s="72"/>
      <c r="V9" s="72"/>
      <c r="W9" s="72"/>
      <c r="X9" s="72"/>
      <c r="Y9" s="72"/>
      <c r="Z9" s="72"/>
      <c r="AA9" s="79"/>
      <c r="AB9" s="79"/>
      <c r="AC9" s="79"/>
      <c r="AD9" s="79"/>
      <c r="AE9" s="79"/>
    </row>
    <row r="10" spans="1:31" ht="16.5" x14ac:dyDescent="0.35">
      <c r="A10" s="71">
        <v>4</v>
      </c>
      <c r="B10" s="72">
        <v>2005200682</v>
      </c>
      <c r="C10" s="73" t="s">
        <v>1311</v>
      </c>
      <c r="D10" s="74" t="s">
        <v>262</v>
      </c>
      <c r="E10" s="75" t="s">
        <v>1312</v>
      </c>
      <c r="F10" s="76">
        <v>4</v>
      </c>
      <c r="G10" s="72" t="s">
        <v>924</v>
      </c>
      <c r="H10" s="78">
        <v>45629</v>
      </c>
      <c r="I10" s="72" t="s">
        <v>1299</v>
      </c>
      <c r="J10" s="72">
        <v>7</v>
      </c>
      <c r="K10" s="72"/>
      <c r="L10" s="72" t="s">
        <v>1300</v>
      </c>
      <c r="M10" s="78">
        <v>45721</v>
      </c>
      <c r="N10" s="72" t="s">
        <v>1299</v>
      </c>
      <c r="O10" s="72">
        <v>2.5</v>
      </c>
      <c r="P10" s="72"/>
      <c r="Q10" s="72" t="s">
        <v>1300</v>
      </c>
      <c r="R10" s="78">
        <v>45784</v>
      </c>
      <c r="S10" s="72" t="s">
        <v>1299</v>
      </c>
      <c r="T10" s="72">
        <v>5.5</v>
      </c>
      <c r="U10" s="72"/>
      <c r="V10" s="72" t="s">
        <v>924</v>
      </c>
      <c r="W10" s="78">
        <v>45786</v>
      </c>
      <c r="X10" s="72" t="s">
        <v>1299</v>
      </c>
      <c r="Y10" s="72">
        <v>6</v>
      </c>
      <c r="Z10" s="72"/>
      <c r="AA10" s="79"/>
      <c r="AB10" s="79"/>
      <c r="AC10" s="79"/>
      <c r="AD10" s="79"/>
      <c r="AE10" s="79"/>
    </row>
    <row r="11" spans="1:31" ht="16.5" x14ac:dyDescent="0.35">
      <c r="A11" s="71">
        <v>5</v>
      </c>
      <c r="B11" s="72">
        <v>2005200495</v>
      </c>
      <c r="C11" s="73" t="s">
        <v>1306</v>
      </c>
      <c r="D11" s="74" t="s">
        <v>86</v>
      </c>
      <c r="E11" s="75" t="s">
        <v>1307</v>
      </c>
      <c r="F11" s="76">
        <v>1</v>
      </c>
      <c r="G11" s="72" t="s">
        <v>924</v>
      </c>
      <c r="H11" s="78">
        <v>45817</v>
      </c>
      <c r="I11" s="72" t="s">
        <v>1299</v>
      </c>
      <c r="J11" s="72">
        <v>6.5</v>
      </c>
      <c r="K11" s="72"/>
      <c r="L11" s="72"/>
      <c r="M11" s="72"/>
      <c r="N11" s="72"/>
      <c r="O11" s="72"/>
      <c r="P11" s="72"/>
      <c r="Q11" s="72"/>
      <c r="R11" s="78"/>
      <c r="S11" s="72"/>
      <c r="T11" s="72"/>
      <c r="U11" s="72"/>
      <c r="V11" s="72"/>
      <c r="W11" s="72"/>
      <c r="X11" s="72"/>
      <c r="Y11" s="72"/>
      <c r="Z11" s="72"/>
      <c r="AA11" s="79"/>
      <c r="AB11" s="79"/>
      <c r="AC11" s="79"/>
      <c r="AD11" s="79"/>
      <c r="AE11" s="79"/>
    </row>
    <row r="12" spans="1:31" ht="16.5" x14ac:dyDescent="0.35">
      <c r="A12" s="71">
        <v>6</v>
      </c>
      <c r="B12" s="72">
        <v>2005200237</v>
      </c>
      <c r="C12" s="73" t="s">
        <v>119</v>
      </c>
      <c r="D12" s="74" t="s">
        <v>120</v>
      </c>
      <c r="E12" s="75" t="s">
        <v>1307</v>
      </c>
      <c r="F12" s="76">
        <v>1</v>
      </c>
      <c r="G12" s="72" t="s">
        <v>925</v>
      </c>
      <c r="H12" s="78">
        <v>45559</v>
      </c>
      <c r="I12" s="72" t="s">
        <v>1299</v>
      </c>
      <c r="J12" s="72">
        <v>6.5</v>
      </c>
      <c r="K12" s="72"/>
      <c r="L12" s="72"/>
      <c r="M12" s="72"/>
      <c r="N12" s="72"/>
      <c r="O12" s="72"/>
      <c r="P12" s="72"/>
      <c r="Q12" s="72"/>
      <c r="R12" s="78"/>
      <c r="S12" s="72"/>
      <c r="T12" s="72"/>
      <c r="U12" s="72"/>
      <c r="V12" s="72"/>
      <c r="W12" s="72"/>
      <c r="X12" s="72"/>
      <c r="Y12" s="72"/>
      <c r="Z12" s="72"/>
      <c r="AA12" s="79"/>
      <c r="AB12" s="79"/>
      <c r="AC12" s="79"/>
      <c r="AD12" s="79"/>
      <c r="AE12" s="79"/>
    </row>
    <row r="13" spans="1:31" ht="16.5" x14ac:dyDescent="0.35">
      <c r="A13" s="71">
        <v>7</v>
      </c>
      <c r="B13" s="72">
        <v>2005200493</v>
      </c>
      <c r="C13" s="73" t="s">
        <v>80</v>
      </c>
      <c r="D13" s="74" t="s">
        <v>536</v>
      </c>
      <c r="E13" s="75" t="s">
        <v>1305</v>
      </c>
      <c r="F13" s="76">
        <v>3</v>
      </c>
      <c r="G13" s="72" t="s">
        <v>1301</v>
      </c>
      <c r="H13" s="78">
        <v>45629</v>
      </c>
      <c r="I13" s="72" t="s">
        <v>1299</v>
      </c>
      <c r="J13" s="72">
        <v>6</v>
      </c>
      <c r="K13" s="72"/>
      <c r="L13" s="72" t="s">
        <v>925</v>
      </c>
      <c r="M13" s="78">
        <v>45636</v>
      </c>
      <c r="N13" s="72" t="s">
        <v>1299</v>
      </c>
      <c r="O13" s="72">
        <v>4</v>
      </c>
      <c r="P13" s="72"/>
      <c r="Q13" s="72" t="s">
        <v>1300</v>
      </c>
      <c r="R13" s="78">
        <v>45744</v>
      </c>
      <c r="S13" s="72" t="s">
        <v>1299</v>
      </c>
      <c r="T13" s="72">
        <v>4.5</v>
      </c>
      <c r="U13" s="72"/>
      <c r="V13" s="72"/>
      <c r="W13" s="72"/>
      <c r="X13" s="72"/>
      <c r="Y13" s="72"/>
      <c r="Z13" s="72"/>
      <c r="AA13" s="79"/>
      <c r="AB13" s="79"/>
      <c r="AC13" s="79"/>
      <c r="AD13" s="79"/>
      <c r="AE13" s="79"/>
    </row>
    <row r="14" spans="1:31" ht="16.5" x14ac:dyDescent="0.35">
      <c r="A14" s="71">
        <v>8</v>
      </c>
      <c r="B14" s="72">
        <v>2005202114</v>
      </c>
      <c r="C14" s="80" t="s">
        <v>113</v>
      </c>
      <c r="D14" s="81" t="s">
        <v>303</v>
      </c>
      <c r="E14" s="72" t="s">
        <v>2031</v>
      </c>
      <c r="F14" s="76">
        <v>3</v>
      </c>
      <c r="G14" s="72" t="s">
        <v>925</v>
      </c>
      <c r="H14" s="78">
        <v>45589</v>
      </c>
      <c r="I14" s="72" t="s">
        <v>1299</v>
      </c>
      <c r="J14" s="72">
        <v>7</v>
      </c>
      <c r="K14" s="72"/>
      <c r="L14" s="72" t="s">
        <v>924</v>
      </c>
      <c r="M14" s="78">
        <v>45602</v>
      </c>
      <c r="N14" s="72" t="s">
        <v>1299</v>
      </c>
      <c r="O14" s="72">
        <v>5</v>
      </c>
      <c r="P14" s="72"/>
      <c r="Q14" s="72" t="s">
        <v>1300</v>
      </c>
      <c r="R14" s="78">
        <v>45631</v>
      </c>
      <c r="S14" s="72" t="s">
        <v>1299</v>
      </c>
      <c r="T14" s="72">
        <v>6</v>
      </c>
      <c r="U14" s="72"/>
      <c r="V14" s="72"/>
      <c r="W14" s="72"/>
      <c r="X14" s="72"/>
      <c r="Y14" s="72"/>
      <c r="Z14" s="72"/>
      <c r="AA14" s="79"/>
      <c r="AB14" s="79"/>
      <c r="AC14" s="79"/>
      <c r="AD14" s="79"/>
      <c r="AE14" s="79"/>
    </row>
    <row r="15" spans="1:31" ht="16.5" x14ac:dyDescent="0.35">
      <c r="A15" s="71">
        <v>9</v>
      </c>
      <c r="B15" s="72">
        <v>2005208587</v>
      </c>
      <c r="C15" s="73" t="s">
        <v>2032</v>
      </c>
      <c r="D15" s="74" t="s">
        <v>1198</v>
      </c>
      <c r="E15" s="75" t="s">
        <v>17</v>
      </c>
      <c r="F15" s="76">
        <v>1</v>
      </c>
      <c r="G15" s="72" t="s">
        <v>925</v>
      </c>
      <c r="H15" s="78">
        <v>45559</v>
      </c>
      <c r="I15" s="72" t="s">
        <v>1299</v>
      </c>
      <c r="J15" s="72">
        <v>7.5</v>
      </c>
      <c r="K15" s="72"/>
      <c r="L15" s="72"/>
      <c r="M15" s="72"/>
      <c r="N15" s="72"/>
      <c r="O15" s="72"/>
      <c r="P15" s="72"/>
      <c r="Q15" s="72"/>
      <c r="R15" s="78"/>
      <c r="S15" s="72"/>
      <c r="T15" s="72"/>
      <c r="U15" s="72"/>
      <c r="V15" s="72"/>
      <c r="W15" s="72"/>
      <c r="X15" s="72"/>
      <c r="Y15" s="72"/>
      <c r="Z15" s="72"/>
      <c r="AA15" s="79"/>
      <c r="AB15" s="79"/>
      <c r="AC15" s="79"/>
      <c r="AD15" s="79"/>
      <c r="AE15" s="79"/>
    </row>
    <row r="16" spans="1:31" ht="16.5" x14ac:dyDescent="0.35">
      <c r="A16" s="71">
        <v>10</v>
      </c>
      <c r="B16" s="72">
        <v>2005208248</v>
      </c>
      <c r="C16" s="73" t="s">
        <v>2033</v>
      </c>
      <c r="D16" s="74" t="s">
        <v>2034</v>
      </c>
      <c r="E16" s="75" t="s">
        <v>17</v>
      </c>
      <c r="F16" s="76">
        <v>0</v>
      </c>
      <c r="G16" s="72"/>
      <c r="H16" s="78"/>
      <c r="I16" s="72"/>
      <c r="J16" s="72"/>
      <c r="K16" s="72"/>
      <c r="L16" s="72"/>
      <c r="M16" s="72"/>
      <c r="N16" s="72"/>
      <c r="O16" s="72"/>
      <c r="P16" s="72"/>
      <c r="Q16" s="72"/>
      <c r="R16" s="78"/>
      <c r="S16" s="72"/>
      <c r="T16" s="72"/>
      <c r="U16" s="72"/>
      <c r="V16" s="72"/>
      <c r="W16" s="72"/>
      <c r="X16" s="72"/>
      <c r="Y16" s="72"/>
      <c r="Z16" s="72"/>
      <c r="AA16" s="79"/>
      <c r="AB16" s="79"/>
      <c r="AC16" s="79"/>
      <c r="AD16" s="79"/>
      <c r="AE16" s="79"/>
    </row>
    <row r="17" spans="1:31" ht="16.5" x14ac:dyDescent="0.35">
      <c r="A17" s="71">
        <v>11</v>
      </c>
      <c r="B17" s="72">
        <v>2005208528</v>
      </c>
      <c r="C17" s="80" t="s">
        <v>2035</v>
      </c>
      <c r="D17" s="81" t="s">
        <v>36</v>
      </c>
      <c r="E17" s="72" t="s">
        <v>18</v>
      </c>
      <c r="F17" s="76">
        <v>3</v>
      </c>
      <c r="G17" s="72" t="s">
        <v>924</v>
      </c>
      <c r="H17" s="78">
        <v>45602</v>
      </c>
      <c r="I17" s="72" t="s">
        <v>1299</v>
      </c>
      <c r="J17" s="72">
        <v>8</v>
      </c>
      <c r="K17" s="72"/>
      <c r="L17" s="82" t="s">
        <v>925</v>
      </c>
      <c r="M17" s="78">
        <v>45636</v>
      </c>
      <c r="N17" s="72" t="s">
        <v>1299</v>
      </c>
      <c r="O17" s="72">
        <v>7</v>
      </c>
      <c r="P17" s="72"/>
      <c r="Q17" s="79" t="s">
        <v>925</v>
      </c>
      <c r="R17" s="83" t="s">
        <v>2036</v>
      </c>
      <c r="S17" s="79" t="s">
        <v>1299</v>
      </c>
      <c r="T17" s="79">
        <v>7</v>
      </c>
      <c r="U17" s="72"/>
      <c r="V17" s="72"/>
      <c r="W17" s="72"/>
      <c r="X17" s="72"/>
      <c r="Y17" s="72"/>
      <c r="Z17" s="72"/>
      <c r="AA17" s="79"/>
      <c r="AB17" s="79"/>
      <c r="AC17" s="79"/>
      <c r="AD17" s="79"/>
      <c r="AE17" s="79"/>
    </row>
    <row r="18" spans="1:31" ht="16.5" x14ac:dyDescent="0.35">
      <c r="A18" s="71">
        <v>12</v>
      </c>
      <c r="B18" s="72">
        <v>2005208193</v>
      </c>
      <c r="C18" s="73" t="s">
        <v>2037</v>
      </c>
      <c r="D18" s="74" t="s">
        <v>81</v>
      </c>
      <c r="E18" s="75" t="s">
        <v>14</v>
      </c>
      <c r="F18" s="76">
        <v>0</v>
      </c>
      <c r="G18" s="72"/>
      <c r="H18" s="78"/>
      <c r="I18" s="72"/>
      <c r="J18" s="72"/>
      <c r="K18" s="72"/>
      <c r="L18" s="72"/>
      <c r="M18" s="72"/>
      <c r="N18" s="72"/>
      <c r="O18" s="72"/>
      <c r="P18" s="72"/>
      <c r="Q18" s="72"/>
      <c r="R18" s="78"/>
      <c r="S18" s="72"/>
      <c r="T18" s="72"/>
      <c r="U18" s="72"/>
      <c r="V18" s="72"/>
      <c r="W18" s="72"/>
      <c r="X18" s="72"/>
      <c r="Y18" s="72"/>
      <c r="Z18" s="79"/>
      <c r="AA18" s="79"/>
      <c r="AB18" s="79"/>
      <c r="AC18" s="79"/>
      <c r="AD18" s="79"/>
      <c r="AE18" s="79"/>
    </row>
    <row r="19" spans="1:31" ht="16.5" x14ac:dyDescent="0.35">
      <c r="A19" s="71">
        <v>13</v>
      </c>
      <c r="B19" s="72">
        <v>2041214001</v>
      </c>
      <c r="C19" s="80" t="s">
        <v>986</v>
      </c>
      <c r="D19" s="81" t="s">
        <v>298</v>
      </c>
      <c r="E19" s="72" t="s">
        <v>310</v>
      </c>
      <c r="F19" s="76">
        <v>2</v>
      </c>
      <c r="G19" s="84" t="s">
        <v>1302</v>
      </c>
      <c r="H19" s="78">
        <v>45552</v>
      </c>
      <c r="I19" s="72" t="s">
        <v>1299</v>
      </c>
      <c r="J19" s="72"/>
      <c r="K19" s="72"/>
      <c r="L19" s="72" t="s">
        <v>925</v>
      </c>
      <c r="M19" s="78">
        <v>45559</v>
      </c>
      <c r="N19" s="72" t="s">
        <v>1299</v>
      </c>
      <c r="O19" s="72">
        <v>7.5</v>
      </c>
      <c r="P19" s="72"/>
      <c r="Q19" s="72"/>
      <c r="R19" s="78"/>
      <c r="S19" s="72"/>
      <c r="T19" s="72"/>
      <c r="U19" s="72"/>
      <c r="V19" s="72"/>
      <c r="W19" s="72"/>
      <c r="X19" s="72"/>
      <c r="Y19" s="72"/>
      <c r="Z19" s="72"/>
      <c r="AA19" s="79"/>
      <c r="AB19" s="79"/>
      <c r="AC19" s="79"/>
      <c r="AD19" s="79"/>
      <c r="AE19" s="79"/>
    </row>
    <row r="20" spans="1:31" ht="16.5" x14ac:dyDescent="0.35">
      <c r="A20" s="71">
        <v>14</v>
      </c>
      <c r="B20" s="72">
        <v>2041214018</v>
      </c>
      <c r="C20" s="80" t="s">
        <v>313</v>
      </c>
      <c r="D20" s="81" t="s">
        <v>88</v>
      </c>
      <c r="E20" s="72" t="s">
        <v>310</v>
      </c>
      <c r="F20" s="76">
        <v>1</v>
      </c>
      <c r="G20" s="72" t="s">
        <v>1300</v>
      </c>
      <c r="H20" s="78">
        <v>45784</v>
      </c>
      <c r="I20" s="72" t="s">
        <v>1299</v>
      </c>
      <c r="J20" s="72">
        <v>7</v>
      </c>
      <c r="K20" s="72"/>
      <c r="L20" s="72"/>
      <c r="M20" s="72"/>
      <c r="N20" s="72"/>
      <c r="O20" s="72"/>
      <c r="P20" s="72"/>
      <c r="Q20" s="72"/>
      <c r="R20" s="78"/>
      <c r="S20" s="72"/>
      <c r="T20" s="72"/>
      <c r="U20" s="72"/>
      <c r="V20" s="72"/>
      <c r="W20" s="72"/>
      <c r="X20" s="72"/>
      <c r="Y20" s="72"/>
      <c r="Z20" s="79"/>
      <c r="AA20" s="79"/>
      <c r="AB20" s="79"/>
      <c r="AC20" s="79"/>
      <c r="AD20" s="79"/>
      <c r="AE20" s="79"/>
    </row>
    <row r="21" spans="1:31" ht="16.5" x14ac:dyDescent="0.35">
      <c r="A21" s="71">
        <v>15</v>
      </c>
      <c r="B21" s="72">
        <v>2041210256</v>
      </c>
      <c r="C21" s="80" t="s">
        <v>293</v>
      </c>
      <c r="D21" s="81" t="s">
        <v>49</v>
      </c>
      <c r="E21" s="72" t="s">
        <v>310</v>
      </c>
      <c r="F21" s="76">
        <v>0</v>
      </c>
      <c r="G21" s="72"/>
      <c r="H21" s="78"/>
      <c r="I21" s="72"/>
      <c r="J21" s="72"/>
      <c r="K21" s="72"/>
      <c r="L21" s="72"/>
      <c r="M21" s="72"/>
      <c r="N21" s="72"/>
      <c r="O21" s="72"/>
      <c r="P21" s="72"/>
      <c r="Q21" s="72"/>
      <c r="R21" s="78"/>
      <c r="S21" s="72"/>
      <c r="T21" s="72"/>
      <c r="U21" s="72"/>
      <c r="V21" s="72"/>
      <c r="W21" s="72"/>
      <c r="X21" s="72"/>
      <c r="Y21" s="72"/>
      <c r="Z21" s="72"/>
      <c r="AA21" s="79"/>
      <c r="AB21" s="79"/>
      <c r="AC21" s="79"/>
      <c r="AD21" s="79"/>
      <c r="AE21" s="79"/>
    </row>
    <row r="22" spans="1:31" ht="16.5" x14ac:dyDescent="0.35">
      <c r="A22" s="71">
        <v>16</v>
      </c>
      <c r="B22" s="72">
        <v>2041210213</v>
      </c>
      <c r="C22" s="80" t="s">
        <v>165</v>
      </c>
      <c r="D22" s="81" t="s">
        <v>311</v>
      </c>
      <c r="E22" s="72" t="s">
        <v>310</v>
      </c>
      <c r="F22" s="76">
        <v>0</v>
      </c>
      <c r="G22" s="72"/>
      <c r="H22" s="78"/>
      <c r="I22" s="72"/>
      <c r="J22" s="72"/>
      <c r="K22" s="72"/>
      <c r="L22" s="72"/>
      <c r="M22" s="72"/>
      <c r="N22" s="72"/>
      <c r="O22" s="72"/>
      <c r="P22" s="72"/>
      <c r="Q22" s="72"/>
      <c r="R22" s="78"/>
      <c r="S22" s="72"/>
      <c r="T22" s="72"/>
      <c r="U22" s="72"/>
      <c r="V22" s="72"/>
      <c r="W22" s="72"/>
      <c r="X22" s="72"/>
      <c r="Y22" s="72"/>
      <c r="Z22" s="72"/>
      <c r="AA22" s="79"/>
      <c r="AB22" s="79"/>
      <c r="AC22" s="79"/>
      <c r="AD22" s="79"/>
      <c r="AE22" s="79"/>
    </row>
    <row r="23" spans="1:31" ht="16.5" x14ac:dyDescent="0.35">
      <c r="A23" s="71">
        <v>17</v>
      </c>
      <c r="B23" s="72">
        <v>2041214058</v>
      </c>
      <c r="C23" s="80" t="s">
        <v>308</v>
      </c>
      <c r="D23" s="81" t="s">
        <v>205</v>
      </c>
      <c r="E23" s="72" t="s">
        <v>310</v>
      </c>
      <c r="F23" s="76">
        <v>3</v>
      </c>
      <c r="G23" s="72" t="s">
        <v>924</v>
      </c>
      <c r="H23" s="78">
        <v>45602</v>
      </c>
      <c r="I23" s="72" t="s">
        <v>1299</v>
      </c>
      <c r="J23" s="72">
        <v>4.5</v>
      </c>
      <c r="K23" s="72"/>
      <c r="L23" s="72" t="s">
        <v>1301</v>
      </c>
      <c r="M23" s="78">
        <v>45629</v>
      </c>
      <c r="N23" s="72" t="s">
        <v>1299</v>
      </c>
      <c r="O23" s="72">
        <v>8.5</v>
      </c>
      <c r="P23" s="72">
        <v>0.5</v>
      </c>
      <c r="Q23" s="72" t="s">
        <v>1300</v>
      </c>
      <c r="R23" s="78">
        <v>45631</v>
      </c>
      <c r="S23" s="72" t="s">
        <v>1299</v>
      </c>
      <c r="T23" s="72">
        <v>5.5</v>
      </c>
      <c r="U23" s="72"/>
      <c r="V23" s="72"/>
      <c r="W23" s="72"/>
      <c r="X23" s="72"/>
      <c r="Y23" s="72"/>
      <c r="Z23" s="72"/>
      <c r="AA23" s="79"/>
      <c r="AB23" s="79"/>
      <c r="AC23" s="79"/>
      <c r="AD23" s="79"/>
      <c r="AE23" s="79"/>
    </row>
    <row r="24" spans="1:31" ht="16.5" x14ac:dyDescent="0.35">
      <c r="A24" s="71">
        <v>18</v>
      </c>
      <c r="B24" s="72">
        <v>2041214028</v>
      </c>
      <c r="C24" s="80" t="s">
        <v>910</v>
      </c>
      <c r="D24" s="81" t="s">
        <v>1259</v>
      </c>
      <c r="E24" s="72" t="s">
        <v>1260</v>
      </c>
      <c r="F24" s="76">
        <v>0</v>
      </c>
      <c r="G24" s="72"/>
      <c r="H24" s="78"/>
      <c r="I24" s="72"/>
      <c r="J24" s="72"/>
      <c r="K24" s="72"/>
      <c r="L24" s="72"/>
      <c r="M24" s="72"/>
      <c r="N24" s="72"/>
      <c r="O24" s="72"/>
      <c r="P24" s="72"/>
      <c r="Q24" s="72"/>
      <c r="R24" s="78"/>
      <c r="S24" s="72"/>
      <c r="T24" s="72"/>
      <c r="U24" s="72"/>
      <c r="V24" s="72"/>
      <c r="W24" s="72"/>
      <c r="X24" s="72"/>
      <c r="Y24" s="72"/>
      <c r="Z24" s="72"/>
      <c r="AA24" s="79"/>
      <c r="AB24" s="79"/>
      <c r="AC24" s="79"/>
      <c r="AD24" s="79"/>
      <c r="AE24" s="79"/>
    </row>
    <row r="25" spans="1:31" ht="16.5" x14ac:dyDescent="0.35">
      <c r="A25" s="71">
        <v>19</v>
      </c>
      <c r="B25" s="72">
        <v>2041214070</v>
      </c>
      <c r="C25" s="80" t="s">
        <v>1269</v>
      </c>
      <c r="D25" s="81" t="s">
        <v>31</v>
      </c>
      <c r="E25" s="72" t="s">
        <v>1260</v>
      </c>
      <c r="F25" s="76">
        <v>2</v>
      </c>
      <c r="G25" s="72" t="s">
        <v>925</v>
      </c>
      <c r="H25" s="78">
        <v>45356</v>
      </c>
      <c r="I25" s="72" t="s">
        <v>1299</v>
      </c>
      <c r="J25" s="72">
        <v>5.5</v>
      </c>
      <c r="K25" s="72"/>
      <c r="L25" s="79" t="s">
        <v>1300</v>
      </c>
      <c r="M25" s="83">
        <v>45399</v>
      </c>
      <c r="N25" s="79" t="s">
        <v>1299</v>
      </c>
      <c r="O25" s="72">
        <v>7</v>
      </c>
      <c r="P25" s="72"/>
      <c r="Q25" s="72"/>
      <c r="R25" s="78"/>
      <c r="S25" s="72"/>
      <c r="T25" s="72"/>
      <c r="U25" s="72"/>
      <c r="V25" s="72"/>
      <c r="W25" s="72"/>
      <c r="X25" s="72"/>
      <c r="Y25" s="72"/>
      <c r="Z25" s="72"/>
      <c r="AA25" s="79"/>
      <c r="AB25" s="79"/>
      <c r="AC25" s="79"/>
      <c r="AD25" s="79"/>
      <c r="AE25" s="79"/>
    </row>
    <row r="26" spans="1:31" ht="16.5" x14ac:dyDescent="0.35">
      <c r="A26" s="71">
        <v>20</v>
      </c>
      <c r="B26" s="72">
        <v>2041210181</v>
      </c>
      <c r="C26" s="80" t="s">
        <v>1255</v>
      </c>
      <c r="D26" s="81" t="s">
        <v>120</v>
      </c>
      <c r="E26" s="72" t="s">
        <v>319</v>
      </c>
      <c r="F26" s="76">
        <v>2</v>
      </c>
      <c r="G26" s="79" t="s">
        <v>925</v>
      </c>
      <c r="H26" s="78">
        <v>45589</v>
      </c>
      <c r="I26" s="72" t="s">
        <v>1299</v>
      </c>
      <c r="J26" s="72">
        <v>6</v>
      </c>
      <c r="K26" s="72"/>
      <c r="L26" s="79" t="s">
        <v>1300</v>
      </c>
      <c r="M26" s="78">
        <v>45471</v>
      </c>
      <c r="N26" s="72" t="s">
        <v>1299</v>
      </c>
      <c r="O26" s="72">
        <v>8</v>
      </c>
      <c r="P26" s="72"/>
      <c r="Q26" s="79"/>
      <c r="R26" s="78"/>
      <c r="S26" s="72"/>
      <c r="T26" s="72"/>
      <c r="U26" s="72"/>
      <c r="V26" s="72"/>
      <c r="W26" s="72"/>
      <c r="X26" s="72"/>
      <c r="Y26" s="72"/>
      <c r="Z26" s="72"/>
      <c r="AA26" s="79"/>
      <c r="AB26" s="79"/>
      <c r="AC26" s="79"/>
      <c r="AD26" s="79"/>
      <c r="AE26" s="79"/>
    </row>
    <row r="27" spans="1:31" ht="16.5" x14ac:dyDescent="0.35">
      <c r="A27" s="71">
        <v>21</v>
      </c>
      <c r="B27" s="72">
        <v>2041214026</v>
      </c>
      <c r="C27" s="80" t="s">
        <v>44</v>
      </c>
      <c r="D27" s="81" t="s">
        <v>173</v>
      </c>
      <c r="E27" s="72" t="s">
        <v>319</v>
      </c>
      <c r="F27" s="76">
        <v>1</v>
      </c>
      <c r="G27" s="72" t="s">
        <v>924</v>
      </c>
      <c r="H27" s="78">
        <v>45637</v>
      </c>
      <c r="I27" s="72" t="s">
        <v>1299</v>
      </c>
      <c r="J27" s="72">
        <v>6.5</v>
      </c>
      <c r="K27" s="72"/>
      <c r="L27" s="79"/>
      <c r="M27" s="83"/>
      <c r="N27" s="79"/>
      <c r="O27" s="79"/>
      <c r="P27" s="85"/>
      <c r="Q27" s="79"/>
      <c r="R27" s="83"/>
      <c r="S27" s="79"/>
      <c r="T27" s="79"/>
      <c r="U27" s="72"/>
      <c r="V27" s="72"/>
      <c r="W27" s="72"/>
      <c r="X27" s="72"/>
      <c r="Y27" s="72"/>
      <c r="Z27" s="72"/>
      <c r="AA27" s="79"/>
      <c r="AB27" s="79"/>
      <c r="AC27" s="79"/>
      <c r="AD27" s="79"/>
      <c r="AE27" s="79"/>
    </row>
    <row r="28" spans="1:31" ht="16.5" x14ac:dyDescent="0.35">
      <c r="A28" s="71">
        <v>22</v>
      </c>
      <c r="B28" s="72">
        <v>2041210264</v>
      </c>
      <c r="C28" s="80" t="s">
        <v>322</v>
      </c>
      <c r="D28" s="81" t="s">
        <v>92</v>
      </c>
      <c r="E28" s="72" t="s">
        <v>319</v>
      </c>
      <c r="F28" s="76">
        <v>1</v>
      </c>
      <c r="G28" s="72" t="s">
        <v>1300</v>
      </c>
      <c r="H28" s="78">
        <v>45721</v>
      </c>
      <c r="I28" s="72" t="s">
        <v>1299</v>
      </c>
      <c r="J28" s="72">
        <v>7.5</v>
      </c>
      <c r="K28" s="72"/>
      <c r="L28" s="72"/>
      <c r="M28" s="78"/>
      <c r="N28" s="72"/>
      <c r="O28" s="72"/>
      <c r="P28" s="72"/>
      <c r="Q28" s="72"/>
      <c r="R28" s="78"/>
      <c r="S28" s="72"/>
      <c r="T28" s="72"/>
      <c r="U28" s="72"/>
      <c r="V28" s="72"/>
      <c r="W28" s="72"/>
      <c r="X28" s="72"/>
      <c r="Y28" s="72"/>
      <c r="Z28" s="79"/>
      <c r="AA28" s="79"/>
      <c r="AB28" s="79"/>
      <c r="AC28" s="79"/>
      <c r="AD28" s="79"/>
      <c r="AE28" s="79"/>
    </row>
    <row r="29" spans="1:31" ht="16.5" x14ac:dyDescent="0.35">
      <c r="A29" s="71">
        <v>23</v>
      </c>
      <c r="B29" s="72">
        <v>2041214067</v>
      </c>
      <c r="C29" s="80" t="s">
        <v>317</v>
      </c>
      <c r="D29" s="81" t="s">
        <v>318</v>
      </c>
      <c r="E29" s="72" t="s">
        <v>319</v>
      </c>
      <c r="F29" s="76">
        <v>2</v>
      </c>
      <c r="G29" s="72" t="s">
        <v>1300</v>
      </c>
      <c r="H29" s="78">
        <v>45455</v>
      </c>
      <c r="I29" s="72" t="s">
        <v>1299</v>
      </c>
      <c r="J29" s="72">
        <v>8.5</v>
      </c>
      <c r="K29" s="72"/>
      <c r="L29" s="72" t="s">
        <v>924</v>
      </c>
      <c r="M29" s="78">
        <v>45803</v>
      </c>
      <c r="N29" s="72" t="s">
        <v>1299</v>
      </c>
      <c r="O29" s="72">
        <v>8.5</v>
      </c>
      <c r="P29" s="72"/>
      <c r="Q29" s="72"/>
      <c r="R29" s="78"/>
      <c r="S29" s="72"/>
      <c r="T29" s="72"/>
      <c r="U29" s="72"/>
      <c r="V29" s="72"/>
      <c r="W29" s="72"/>
      <c r="X29" s="72"/>
      <c r="Y29" s="72"/>
      <c r="Z29" s="79"/>
      <c r="AA29" s="79"/>
      <c r="AB29" s="79"/>
      <c r="AC29" s="79"/>
      <c r="AD29" s="79"/>
      <c r="AE29" s="79"/>
    </row>
    <row r="30" spans="1:31" ht="16.5" x14ac:dyDescent="0.35">
      <c r="A30" s="71">
        <v>24</v>
      </c>
      <c r="B30" s="72">
        <v>2041210176</v>
      </c>
      <c r="C30" s="80" t="s">
        <v>1271</v>
      </c>
      <c r="D30" s="81" t="s">
        <v>561</v>
      </c>
      <c r="E30" s="72" t="s">
        <v>319</v>
      </c>
      <c r="F30" s="76">
        <v>3</v>
      </c>
      <c r="G30" s="72" t="s">
        <v>925</v>
      </c>
      <c r="H30" s="78">
        <v>45589</v>
      </c>
      <c r="I30" s="72" t="s">
        <v>1299</v>
      </c>
      <c r="J30" s="72">
        <v>4</v>
      </c>
      <c r="K30" s="72"/>
      <c r="L30" s="72" t="s">
        <v>1300</v>
      </c>
      <c r="M30" s="78">
        <v>45443</v>
      </c>
      <c r="N30" s="72" t="s">
        <v>1299</v>
      </c>
      <c r="O30" s="72">
        <v>4.5</v>
      </c>
      <c r="P30" s="72"/>
      <c r="Q30" s="72" t="s">
        <v>1300</v>
      </c>
      <c r="R30" s="78">
        <v>45471</v>
      </c>
      <c r="S30" s="72" t="s">
        <v>1299</v>
      </c>
      <c r="T30" s="72">
        <v>6.5</v>
      </c>
      <c r="U30" s="72"/>
      <c r="V30" s="72"/>
      <c r="W30" s="72"/>
      <c r="X30" s="72"/>
      <c r="Y30" s="72"/>
      <c r="Z30" s="72"/>
      <c r="AA30" s="79"/>
      <c r="AB30" s="79"/>
      <c r="AC30" s="79"/>
      <c r="AD30" s="79"/>
      <c r="AE30" s="79"/>
    </row>
    <row r="31" spans="1:31" ht="16.5" x14ac:dyDescent="0.35">
      <c r="A31" s="71">
        <v>25</v>
      </c>
      <c r="B31" s="72">
        <v>2041210175</v>
      </c>
      <c r="C31" s="80" t="s">
        <v>1053</v>
      </c>
      <c r="D31" s="81" t="s">
        <v>102</v>
      </c>
      <c r="E31" s="72" t="s">
        <v>319</v>
      </c>
      <c r="F31" s="76">
        <v>2</v>
      </c>
      <c r="G31" s="72" t="s">
        <v>924</v>
      </c>
      <c r="H31" s="78">
        <v>45629</v>
      </c>
      <c r="I31" s="72" t="s">
        <v>1299</v>
      </c>
      <c r="J31" s="72">
        <v>9</v>
      </c>
      <c r="K31" s="72"/>
      <c r="L31" s="72" t="s">
        <v>1300</v>
      </c>
      <c r="M31" s="78">
        <v>45436</v>
      </c>
      <c r="N31" s="72" t="s">
        <v>1299</v>
      </c>
      <c r="O31" s="72">
        <v>6.5</v>
      </c>
      <c r="P31" s="72"/>
      <c r="Q31" s="72"/>
      <c r="R31" s="78"/>
      <c r="S31" s="72"/>
      <c r="T31" s="72"/>
      <c r="U31" s="72"/>
      <c r="V31" s="72"/>
      <c r="W31" s="72"/>
      <c r="X31" s="72"/>
      <c r="Y31" s="72"/>
      <c r="Z31" s="72"/>
      <c r="AA31" s="79"/>
      <c r="AB31" s="79"/>
      <c r="AC31" s="79"/>
      <c r="AD31" s="79"/>
      <c r="AE31" s="79"/>
    </row>
    <row r="32" spans="1:31" ht="16.5" x14ac:dyDescent="0.35">
      <c r="A32" s="71">
        <v>26</v>
      </c>
      <c r="B32" s="72">
        <v>2041214109</v>
      </c>
      <c r="C32" s="80" t="s">
        <v>320</v>
      </c>
      <c r="D32" s="81" t="s">
        <v>66</v>
      </c>
      <c r="E32" s="72" t="s">
        <v>319</v>
      </c>
      <c r="F32" s="76">
        <v>5</v>
      </c>
      <c r="G32" s="72" t="s">
        <v>925</v>
      </c>
      <c r="H32" s="78">
        <v>45391</v>
      </c>
      <c r="I32" s="72" t="s">
        <v>1299</v>
      </c>
      <c r="J32" s="72">
        <v>5.5</v>
      </c>
      <c r="K32" s="72"/>
      <c r="L32" s="72" t="s">
        <v>1300</v>
      </c>
      <c r="M32" s="78">
        <v>45422</v>
      </c>
      <c r="N32" s="72" t="s">
        <v>1299</v>
      </c>
      <c r="O32" s="72">
        <v>7</v>
      </c>
      <c r="P32" s="72"/>
      <c r="Q32" s="72" t="s">
        <v>1300</v>
      </c>
      <c r="R32" s="78">
        <v>45455</v>
      </c>
      <c r="S32" s="72" t="s">
        <v>1299</v>
      </c>
      <c r="T32" s="72">
        <v>8</v>
      </c>
      <c r="U32" s="72"/>
      <c r="V32" s="72" t="s">
        <v>1301</v>
      </c>
      <c r="W32" s="78">
        <v>45797</v>
      </c>
      <c r="X32" s="72" t="s">
        <v>1299</v>
      </c>
      <c r="Y32" s="72">
        <v>6</v>
      </c>
      <c r="Z32" s="72"/>
      <c r="AA32" s="72" t="s">
        <v>924</v>
      </c>
      <c r="AB32" s="78">
        <v>45803</v>
      </c>
      <c r="AC32" s="72" t="s">
        <v>1299</v>
      </c>
      <c r="AD32" s="79">
        <v>7</v>
      </c>
      <c r="AE32" s="79"/>
    </row>
    <row r="33" spans="1:31" ht="16.5" x14ac:dyDescent="0.35">
      <c r="A33" s="71">
        <v>27</v>
      </c>
      <c r="B33" s="72">
        <v>2041214113</v>
      </c>
      <c r="C33" s="80" t="s">
        <v>1288</v>
      </c>
      <c r="D33" s="81" t="s">
        <v>56</v>
      </c>
      <c r="E33" s="72" t="s">
        <v>319</v>
      </c>
      <c r="F33" s="76">
        <v>1</v>
      </c>
      <c r="G33" s="72" t="s">
        <v>1300</v>
      </c>
      <c r="H33" s="78">
        <v>45422</v>
      </c>
      <c r="I33" s="72" t="s">
        <v>1299</v>
      </c>
      <c r="J33" s="72">
        <v>7</v>
      </c>
      <c r="K33" s="72"/>
      <c r="L33" s="79"/>
      <c r="M33" s="79"/>
      <c r="N33" s="79"/>
      <c r="O33" s="79"/>
      <c r="P33" s="72"/>
      <c r="Q33" s="72"/>
      <c r="R33" s="78"/>
      <c r="S33" s="72"/>
      <c r="T33" s="72"/>
      <c r="U33" s="72"/>
      <c r="V33" s="72"/>
      <c r="W33" s="72"/>
      <c r="X33" s="72"/>
      <c r="Y33" s="72"/>
      <c r="Z33" s="72"/>
      <c r="AA33" s="79"/>
      <c r="AB33" s="79"/>
      <c r="AC33" s="79"/>
      <c r="AD33" s="79"/>
      <c r="AE33" s="79"/>
    </row>
    <row r="34" spans="1:31" ht="16.5" x14ac:dyDescent="0.35">
      <c r="A34" s="71">
        <v>28</v>
      </c>
      <c r="B34" s="72">
        <v>2005210982</v>
      </c>
      <c r="C34" s="80" t="s">
        <v>323</v>
      </c>
      <c r="D34" s="81" t="s">
        <v>324</v>
      </c>
      <c r="E34" s="72" t="s">
        <v>326</v>
      </c>
      <c r="F34" s="76">
        <v>4</v>
      </c>
      <c r="G34" s="72" t="s">
        <v>924</v>
      </c>
      <c r="H34" s="78">
        <v>45602</v>
      </c>
      <c r="I34" s="72" t="s">
        <v>1299</v>
      </c>
      <c r="J34" s="72">
        <v>7</v>
      </c>
      <c r="K34" s="72"/>
      <c r="L34" s="72" t="s">
        <v>1301</v>
      </c>
      <c r="M34" s="78">
        <v>45629</v>
      </c>
      <c r="N34" s="72" t="s">
        <v>1299</v>
      </c>
      <c r="O34" s="72">
        <v>7</v>
      </c>
      <c r="P34" s="72"/>
      <c r="Q34" s="72" t="s">
        <v>1300</v>
      </c>
      <c r="R34" s="78">
        <v>45721</v>
      </c>
      <c r="S34" s="72" t="s">
        <v>1299</v>
      </c>
      <c r="T34" s="72">
        <v>8.5</v>
      </c>
      <c r="U34" s="72"/>
      <c r="V34" s="72" t="s">
        <v>924</v>
      </c>
      <c r="W34" s="78">
        <v>45803</v>
      </c>
      <c r="X34" s="72" t="s">
        <v>1299</v>
      </c>
      <c r="Y34" s="72">
        <v>8</v>
      </c>
      <c r="Z34" s="72"/>
      <c r="AA34" s="79"/>
      <c r="AB34" s="79"/>
      <c r="AC34" s="79"/>
      <c r="AD34" s="79"/>
      <c r="AE34" s="79"/>
    </row>
    <row r="35" spans="1:31" ht="16.5" x14ac:dyDescent="0.35">
      <c r="A35" s="71">
        <v>29</v>
      </c>
      <c r="B35" s="72">
        <v>2005210184</v>
      </c>
      <c r="C35" s="80" t="s">
        <v>1277</v>
      </c>
      <c r="D35" s="81" t="s">
        <v>173</v>
      </c>
      <c r="E35" s="72" t="s">
        <v>1265</v>
      </c>
      <c r="F35" s="76">
        <v>2</v>
      </c>
      <c r="G35" s="72" t="s">
        <v>925</v>
      </c>
      <c r="H35" s="78">
        <v>45405</v>
      </c>
      <c r="I35" s="72" t="s">
        <v>1299</v>
      </c>
      <c r="J35" s="72">
        <v>7</v>
      </c>
      <c r="K35" s="72"/>
      <c r="L35" s="72" t="s">
        <v>1300</v>
      </c>
      <c r="M35" s="78">
        <v>45436</v>
      </c>
      <c r="N35" s="72" t="s">
        <v>1299</v>
      </c>
      <c r="O35" s="72">
        <v>7.5</v>
      </c>
      <c r="P35" s="72"/>
      <c r="Q35" s="72"/>
      <c r="R35" s="78"/>
      <c r="S35" s="72"/>
      <c r="T35" s="72"/>
      <c r="U35" s="72"/>
      <c r="V35" s="72"/>
      <c r="W35" s="72"/>
      <c r="X35" s="72"/>
      <c r="Y35" s="72"/>
      <c r="Z35" s="72"/>
      <c r="AA35" s="79"/>
      <c r="AB35" s="79"/>
      <c r="AC35" s="79"/>
      <c r="AD35" s="79"/>
      <c r="AE35" s="79"/>
    </row>
    <row r="36" spans="1:31" ht="16.5" x14ac:dyDescent="0.35">
      <c r="A36" s="71">
        <v>30</v>
      </c>
      <c r="B36" s="72">
        <v>2005210209</v>
      </c>
      <c r="C36" s="80" t="s">
        <v>1262</v>
      </c>
      <c r="D36" s="81" t="s">
        <v>1263</v>
      </c>
      <c r="E36" s="72" t="s">
        <v>1265</v>
      </c>
      <c r="F36" s="76">
        <v>4</v>
      </c>
      <c r="G36" s="72" t="s">
        <v>924</v>
      </c>
      <c r="H36" s="78">
        <v>45602</v>
      </c>
      <c r="I36" s="72" t="s">
        <v>1299</v>
      </c>
      <c r="J36" s="72">
        <v>8.5</v>
      </c>
      <c r="K36" s="72"/>
      <c r="L36" s="72" t="s">
        <v>1300</v>
      </c>
      <c r="M36" s="78">
        <v>45631</v>
      </c>
      <c r="N36" s="72" t="s">
        <v>1299</v>
      </c>
      <c r="O36" s="72">
        <v>8.5</v>
      </c>
      <c r="P36" s="72"/>
      <c r="Q36" s="72" t="s">
        <v>925</v>
      </c>
      <c r="R36" s="78">
        <v>45559</v>
      </c>
      <c r="S36" s="72" t="s">
        <v>1299</v>
      </c>
      <c r="T36" s="72">
        <v>8</v>
      </c>
      <c r="U36" s="72"/>
      <c r="V36" s="72" t="s">
        <v>1300</v>
      </c>
      <c r="W36" s="78">
        <v>45422</v>
      </c>
      <c r="X36" s="72" t="s">
        <v>1299</v>
      </c>
      <c r="Y36" s="72">
        <v>7.5</v>
      </c>
      <c r="Z36" s="72"/>
      <c r="AA36" s="79"/>
      <c r="AB36" s="79"/>
      <c r="AC36" s="79"/>
      <c r="AD36" s="79"/>
      <c r="AE36" s="79"/>
    </row>
    <row r="37" spans="1:31" ht="16.5" x14ac:dyDescent="0.35">
      <c r="A37" s="71">
        <v>31</v>
      </c>
      <c r="B37" s="72">
        <v>2005210573</v>
      </c>
      <c r="C37" s="80" t="s">
        <v>1257</v>
      </c>
      <c r="D37" s="81" t="s">
        <v>120</v>
      </c>
      <c r="E37" s="72" t="s">
        <v>1258</v>
      </c>
      <c r="F37" s="76">
        <v>0</v>
      </c>
      <c r="G37" s="72"/>
      <c r="H37" s="78"/>
      <c r="I37" s="72"/>
      <c r="J37" s="72"/>
      <c r="K37" s="72"/>
      <c r="L37" s="72"/>
      <c r="M37" s="72"/>
      <c r="N37" s="72"/>
      <c r="O37" s="72"/>
      <c r="P37" s="72"/>
      <c r="Q37" s="72"/>
      <c r="R37" s="78"/>
      <c r="S37" s="72"/>
      <c r="T37" s="72"/>
      <c r="U37" s="72"/>
      <c r="V37" s="72"/>
      <c r="W37" s="72"/>
      <c r="X37" s="72"/>
      <c r="Y37" s="72"/>
      <c r="Z37" s="72"/>
      <c r="AA37" s="79"/>
      <c r="AB37" s="79"/>
      <c r="AC37" s="79"/>
      <c r="AD37" s="79"/>
      <c r="AE37" s="79"/>
    </row>
    <row r="38" spans="1:31" ht="16.5" x14ac:dyDescent="0.35">
      <c r="A38" s="71">
        <v>32</v>
      </c>
      <c r="B38" s="72">
        <v>2005211043</v>
      </c>
      <c r="C38" s="80" t="s">
        <v>721</v>
      </c>
      <c r="D38" s="81" t="s">
        <v>47</v>
      </c>
      <c r="E38" s="72" t="s">
        <v>1258</v>
      </c>
      <c r="F38" s="76">
        <v>1</v>
      </c>
      <c r="G38" s="72" t="s">
        <v>924</v>
      </c>
      <c r="H38" s="78">
        <v>45602</v>
      </c>
      <c r="I38" s="72" t="s">
        <v>1299</v>
      </c>
      <c r="J38" s="72">
        <v>6</v>
      </c>
      <c r="K38" s="72"/>
      <c r="L38" s="72"/>
      <c r="M38" s="72"/>
      <c r="N38" s="72"/>
      <c r="O38" s="72"/>
      <c r="P38" s="72"/>
      <c r="Q38" s="72"/>
      <c r="R38" s="78"/>
      <c r="S38" s="72"/>
      <c r="T38" s="72"/>
      <c r="U38" s="72"/>
      <c r="V38" s="72"/>
      <c r="W38" s="72"/>
      <c r="X38" s="72"/>
      <c r="Y38" s="72"/>
      <c r="Z38" s="72"/>
      <c r="AA38" s="79"/>
      <c r="AB38" s="79"/>
      <c r="AC38" s="79"/>
      <c r="AD38" s="79"/>
      <c r="AE38" s="79"/>
    </row>
    <row r="39" spans="1:31" ht="16.5" x14ac:dyDescent="0.35">
      <c r="A39" s="71">
        <v>33</v>
      </c>
      <c r="B39" s="72">
        <v>2005211255</v>
      </c>
      <c r="C39" s="80" t="s">
        <v>93</v>
      </c>
      <c r="D39" s="81" t="s">
        <v>168</v>
      </c>
      <c r="E39" s="72" t="s">
        <v>1258</v>
      </c>
      <c r="F39" s="76">
        <v>2</v>
      </c>
      <c r="G39" s="72" t="s">
        <v>924</v>
      </c>
      <c r="H39" s="78">
        <v>45645</v>
      </c>
      <c r="I39" s="72" t="s">
        <v>1299</v>
      </c>
      <c r="J39" s="72">
        <v>6</v>
      </c>
      <c r="K39" s="72"/>
      <c r="L39" s="72" t="s">
        <v>924</v>
      </c>
      <c r="M39" s="78">
        <v>45817</v>
      </c>
      <c r="N39" s="72" t="s">
        <v>1299</v>
      </c>
      <c r="O39" s="79">
        <v>8</v>
      </c>
      <c r="P39" s="72"/>
      <c r="Q39" s="72"/>
      <c r="R39" s="78"/>
      <c r="S39" s="72"/>
      <c r="T39" s="72"/>
      <c r="U39" s="72"/>
      <c r="V39" s="72"/>
      <c r="W39" s="72"/>
      <c r="X39" s="72"/>
      <c r="Y39" s="72"/>
      <c r="Z39" s="72"/>
      <c r="AA39" s="79"/>
      <c r="AB39" s="79"/>
      <c r="AC39" s="79"/>
      <c r="AD39" s="79"/>
      <c r="AE39" s="79"/>
    </row>
    <row r="40" spans="1:31" ht="16.5" x14ac:dyDescent="0.35">
      <c r="A40" s="71">
        <v>34</v>
      </c>
      <c r="B40" s="72">
        <v>2005210553</v>
      </c>
      <c r="C40" s="80" t="s">
        <v>328</v>
      </c>
      <c r="D40" s="81" t="s">
        <v>154</v>
      </c>
      <c r="E40" s="72" t="s">
        <v>330</v>
      </c>
      <c r="F40" s="76">
        <v>2</v>
      </c>
      <c r="G40" s="72" t="s">
        <v>924</v>
      </c>
      <c r="H40" s="78">
        <v>45817</v>
      </c>
      <c r="I40" s="72" t="s">
        <v>1299</v>
      </c>
      <c r="J40" s="72">
        <v>10</v>
      </c>
      <c r="K40" s="72"/>
      <c r="L40" s="72" t="s">
        <v>925</v>
      </c>
      <c r="M40" s="78">
        <v>45818</v>
      </c>
      <c r="N40" s="72" t="s">
        <v>1299</v>
      </c>
      <c r="O40" s="72">
        <v>8.5</v>
      </c>
      <c r="P40" s="72"/>
      <c r="Q40" s="72"/>
      <c r="R40" s="78"/>
      <c r="S40" s="72"/>
      <c r="T40" s="72"/>
      <c r="U40" s="72"/>
      <c r="V40" s="72"/>
      <c r="W40" s="72"/>
      <c r="X40" s="72"/>
      <c r="Y40" s="72"/>
      <c r="Z40" s="72"/>
      <c r="AA40" s="79"/>
      <c r="AB40" s="79"/>
      <c r="AC40" s="79"/>
      <c r="AD40" s="79"/>
      <c r="AE40" s="79"/>
    </row>
    <row r="41" spans="1:31" ht="16.5" x14ac:dyDescent="0.35">
      <c r="A41" s="71">
        <v>35</v>
      </c>
      <c r="B41" s="72">
        <v>2005211085</v>
      </c>
      <c r="C41" s="80" t="s">
        <v>174</v>
      </c>
      <c r="D41" s="81" t="s">
        <v>446</v>
      </c>
      <c r="E41" s="72" t="s">
        <v>331</v>
      </c>
      <c r="F41" s="76">
        <v>0</v>
      </c>
      <c r="G41" s="72"/>
      <c r="H41" s="78"/>
      <c r="I41" s="72"/>
      <c r="J41" s="72"/>
      <c r="K41" s="72"/>
      <c r="L41" s="72"/>
      <c r="M41" s="72"/>
      <c r="N41" s="72"/>
      <c r="O41" s="72"/>
      <c r="P41" s="72"/>
      <c r="Q41" s="72"/>
      <c r="R41" s="78"/>
      <c r="S41" s="72"/>
      <c r="T41" s="72"/>
      <c r="U41" s="72"/>
      <c r="V41" s="72"/>
      <c r="W41" s="72"/>
      <c r="X41" s="72"/>
      <c r="Y41" s="72"/>
      <c r="Z41" s="72"/>
      <c r="AA41" s="79"/>
      <c r="AB41" s="79"/>
      <c r="AC41" s="79"/>
      <c r="AD41" s="79"/>
      <c r="AE41" s="79"/>
    </row>
    <row r="42" spans="1:31" ht="16.5" x14ac:dyDescent="0.35">
      <c r="A42" s="71">
        <v>36</v>
      </c>
      <c r="B42" s="72">
        <v>2005211090</v>
      </c>
      <c r="C42" s="80" t="s">
        <v>1250</v>
      </c>
      <c r="D42" s="81" t="s">
        <v>36</v>
      </c>
      <c r="E42" s="72" t="s">
        <v>1251</v>
      </c>
      <c r="F42" s="76">
        <v>0</v>
      </c>
      <c r="G42" s="72"/>
      <c r="H42" s="78"/>
      <c r="I42" s="72"/>
      <c r="J42" s="72"/>
      <c r="K42" s="72"/>
      <c r="L42" s="72"/>
      <c r="M42" s="72"/>
      <c r="N42" s="72"/>
      <c r="O42" s="72"/>
      <c r="P42" s="72"/>
      <c r="Q42" s="72"/>
      <c r="R42" s="78"/>
      <c r="S42" s="72"/>
      <c r="T42" s="72"/>
      <c r="U42" s="72"/>
      <c r="V42" s="72"/>
      <c r="W42" s="72"/>
      <c r="X42" s="72"/>
      <c r="Y42" s="72"/>
      <c r="Z42" s="72"/>
      <c r="AA42" s="79"/>
      <c r="AB42" s="79"/>
      <c r="AC42" s="79"/>
      <c r="AD42" s="79"/>
      <c r="AE42" s="79"/>
    </row>
    <row r="43" spans="1:31" ht="16.5" x14ac:dyDescent="0.35">
      <c r="A43" s="71">
        <v>37</v>
      </c>
      <c r="B43" s="72">
        <v>2005217995</v>
      </c>
      <c r="C43" s="80" t="s">
        <v>1281</v>
      </c>
      <c r="D43" s="81" t="s">
        <v>76</v>
      </c>
      <c r="E43" s="72" t="s">
        <v>1251</v>
      </c>
      <c r="F43" s="76">
        <v>2</v>
      </c>
      <c r="G43" s="72" t="s">
        <v>924</v>
      </c>
      <c r="H43" s="78">
        <v>45602</v>
      </c>
      <c r="I43" s="72" t="s">
        <v>1299</v>
      </c>
      <c r="J43" s="72">
        <v>8</v>
      </c>
      <c r="K43" s="72"/>
      <c r="L43" s="72" t="s">
        <v>925</v>
      </c>
      <c r="M43" s="78">
        <v>45589</v>
      </c>
      <c r="N43" s="72" t="s">
        <v>1299</v>
      </c>
      <c r="O43" s="72">
        <v>8</v>
      </c>
      <c r="P43" s="72"/>
      <c r="Q43" s="72"/>
      <c r="R43" s="78"/>
      <c r="S43" s="72"/>
      <c r="T43" s="72"/>
      <c r="U43" s="72"/>
      <c r="V43" s="72"/>
      <c r="W43" s="72"/>
      <c r="X43" s="72"/>
      <c r="Y43" s="72"/>
      <c r="Z43" s="72"/>
      <c r="AA43" s="79"/>
      <c r="AB43" s="79"/>
      <c r="AC43" s="79"/>
      <c r="AD43" s="79"/>
      <c r="AE43" s="79"/>
    </row>
    <row r="44" spans="1:31" ht="16.5" x14ac:dyDescent="0.35">
      <c r="A44" s="71">
        <v>38</v>
      </c>
      <c r="B44" s="72">
        <v>2005218010</v>
      </c>
      <c r="C44" s="80" t="s">
        <v>1266</v>
      </c>
      <c r="D44" s="81" t="s">
        <v>318</v>
      </c>
      <c r="E44" s="72" t="s">
        <v>1251</v>
      </c>
      <c r="F44" s="76">
        <v>1</v>
      </c>
      <c r="G44" s="72" t="s">
        <v>925</v>
      </c>
      <c r="H44" s="78">
        <v>45636</v>
      </c>
      <c r="I44" s="72" t="s">
        <v>1299</v>
      </c>
      <c r="J44" s="72">
        <v>8</v>
      </c>
      <c r="K44" s="72"/>
      <c r="L44" s="79"/>
      <c r="M44" s="79"/>
      <c r="N44" s="79"/>
      <c r="O44" s="79"/>
      <c r="P44" s="72"/>
      <c r="Q44" s="79"/>
      <c r="R44" s="83"/>
      <c r="S44" s="79"/>
      <c r="T44" s="79"/>
      <c r="U44" s="72"/>
      <c r="V44" s="72"/>
      <c r="W44" s="72"/>
      <c r="X44" s="72"/>
      <c r="Y44" s="72"/>
      <c r="Z44" s="72"/>
      <c r="AA44" s="79"/>
      <c r="AB44" s="79"/>
      <c r="AC44" s="79"/>
      <c r="AD44" s="79"/>
      <c r="AE44" s="79"/>
    </row>
    <row r="45" spans="1:31" ht="16.5" x14ac:dyDescent="0.35">
      <c r="A45" s="71">
        <v>39</v>
      </c>
      <c r="B45" s="72">
        <v>2005218108</v>
      </c>
      <c r="C45" s="80" t="s">
        <v>1273</v>
      </c>
      <c r="D45" s="81" t="s">
        <v>168</v>
      </c>
      <c r="E45" s="72" t="s">
        <v>332</v>
      </c>
      <c r="F45" s="76">
        <v>2</v>
      </c>
      <c r="G45" s="72" t="s">
        <v>924</v>
      </c>
      <c r="H45" s="78">
        <v>45629</v>
      </c>
      <c r="I45" s="72" t="s">
        <v>1299</v>
      </c>
      <c r="J45" s="72">
        <v>7</v>
      </c>
      <c r="K45" s="72"/>
      <c r="L45" s="72" t="s">
        <v>925</v>
      </c>
      <c r="M45" s="78">
        <v>45559</v>
      </c>
      <c r="N45" s="72" t="s">
        <v>1299</v>
      </c>
      <c r="O45" s="72">
        <v>8</v>
      </c>
      <c r="P45" s="72"/>
      <c r="Q45" s="72"/>
      <c r="R45" s="78"/>
      <c r="S45" s="72"/>
      <c r="T45" s="72"/>
      <c r="U45" s="72"/>
      <c r="V45" s="72"/>
      <c r="W45" s="72"/>
      <c r="X45" s="72"/>
      <c r="Y45" s="72"/>
      <c r="Z45" s="72"/>
      <c r="AA45" s="79"/>
      <c r="AB45" s="79"/>
      <c r="AC45" s="79"/>
      <c r="AD45" s="79"/>
      <c r="AE45" s="79"/>
    </row>
    <row r="46" spans="1:31" ht="16.5" x14ac:dyDescent="0.35">
      <c r="A46" s="71">
        <v>40</v>
      </c>
      <c r="B46" s="72">
        <v>2005212241</v>
      </c>
      <c r="C46" s="80" t="s">
        <v>1253</v>
      </c>
      <c r="D46" s="81" t="s">
        <v>109</v>
      </c>
      <c r="E46" s="72" t="s">
        <v>334</v>
      </c>
      <c r="F46" s="76">
        <v>0</v>
      </c>
      <c r="G46" s="72"/>
      <c r="H46" s="78"/>
      <c r="I46" s="72"/>
      <c r="J46" s="72"/>
      <c r="K46" s="72"/>
      <c r="L46" s="72"/>
      <c r="M46" s="72"/>
      <c r="N46" s="72"/>
      <c r="O46" s="72"/>
      <c r="P46" s="72"/>
      <c r="Q46" s="72"/>
      <c r="R46" s="78"/>
      <c r="S46" s="72"/>
      <c r="T46" s="72"/>
      <c r="U46" s="72"/>
      <c r="V46" s="72"/>
      <c r="W46" s="72"/>
      <c r="X46" s="72"/>
      <c r="Y46" s="72"/>
      <c r="Z46" s="72"/>
      <c r="AA46" s="79"/>
      <c r="AB46" s="79"/>
      <c r="AC46" s="79"/>
      <c r="AD46" s="79"/>
      <c r="AE46" s="79"/>
    </row>
    <row r="47" spans="1:31" ht="16.5" x14ac:dyDescent="0.35">
      <c r="A47" s="71">
        <v>41</v>
      </c>
      <c r="B47" s="72">
        <v>2005212202</v>
      </c>
      <c r="C47" s="80" t="s">
        <v>1285</v>
      </c>
      <c r="D47" s="81" t="s">
        <v>205</v>
      </c>
      <c r="E47" s="72" t="s">
        <v>1532</v>
      </c>
      <c r="F47" s="76">
        <v>2</v>
      </c>
      <c r="G47" s="72" t="s">
        <v>1301</v>
      </c>
      <c r="H47" s="78">
        <v>45629</v>
      </c>
      <c r="I47" s="72" t="s">
        <v>1299</v>
      </c>
      <c r="J47" s="72">
        <v>7</v>
      </c>
      <c r="K47" s="72"/>
      <c r="L47" s="72" t="s">
        <v>924</v>
      </c>
      <c r="M47" s="78">
        <v>45645</v>
      </c>
      <c r="N47" s="72" t="s">
        <v>1299</v>
      </c>
      <c r="O47" s="72">
        <v>6.5</v>
      </c>
      <c r="P47" s="72"/>
      <c r="Q47" s="72"/>
      <c r="R47" s="78"/>
      <c r="S47" s="72"/>
      <c r="T47" s="72"/>
      <c r="U47" s="72"/>
      <c r="V47" s="72"/>
      <c r="W47" s="72"/>
      <c r="X47" s="72"/>
      <c r="Y47" s="72"/>
      <c r="Z47" s="72"/>
      <c r="AA47" s="79"/>
      <c r="AB47" s="79"/>
      <c r="AC47" s="79"/>
      <c r="AD47" s="79"/>
      <c r="AE47" s="79"/>
    </row>
    <row r="48" spans="1:31" ht="16.5" x14ac:dyDescent="0.35">
      <c r="A48" s="71">
        <v>42</v>
      </c>
      <c r="B48" s="72">
        <v>2022220050</v>
      </c>
      <c r="C48" s="80" t="s">
        <v>757</v>
      </c>
      <c r="D48" s="81" t="s">
        <v>71</v>
      </c>
      <c r="E48" s="72" t="s">
        <v>758</v>
      </c>
      <c r="F48" s="76">
        <v>3</v>
      </c>
      <c r="G48" s="72" t="s">
        <v>1300</v>
      </c>
      <c r="H48" s="78">
        <v>45728</v>
      </c>
      <c r="I48" s="72" t="s">
        <v>1299</v>
      </c>
      <c r="J48" s="72">
        <v>8</v>
      </c>
      <c r="K48" s="72"/>
      <c r="L48" s="72" t="s">
        <v>928</v>
      </c>
      <c r="M48" s="78">
        <v>45800</v>
      </c>
      <c r="N48" s="72" t="s">
        <v>1299</v>
      </c>
      <c r="O48" s="72">
        <v>9</v>
      </c>
      <c r="P48" s="72"/>
      <c r="Q48" s="72" t="s">
        <v>924</v>
      </c>
      <c r="R48" s="78">
        <v>45803</v>
      </c>
      <c r="S48" s="72" t="s">
        <v>1299</v>
      </c>
      <c r="T48" s="72">
        <v>9.5</v>
      </c>
      <c r="U48" s="72"/>
      <c r="V48" s="72"/>
      <c r="W48" s="72"/>
      <c r="X48" s="72"/>
      <c r="Y48" s="72"/>
      <c r="Z48" s="72"/>
      <c r="AA48" s="79"/>
      <c r="AB48" s="79"/>
      <c r="AC48" s="79"/>
      <c r="AD48" s="79"/>
      <c r="AE48" s="79"/>
    </row>
    <row r="49" spans="1:31" ht="16.5" x14ac:dyDescent="0.35">
      <c r="A49" s="71">
        <v>43</v>
      </c>
      <c r="B49" s="72">
        <v>2022220068</v>
      </c>
      <c r="C49" s="80" t="s">
        <v>199</v>
      </c>
      <c r="D49" s="81" t="s">
        <v>71</v>
      </c>
      <c r="E49" s="72" t="s">
        <v>758</v>
      </c>
      <c r="F49" s="76">
        <v>3</v>
      </c>
      <c r="G49" s="72" t="s">
        <v>1300</v>
      </c>
      <c r="H49" s="78">
        <v>45728</v>
      </c>
      <c r="I49" s="72" t="s">
        <v>1299</v>
      </c>
      <c r="J49" s="72">
        <v>8</v>
      </c>
      <c r="K49" s="72"/>
      <c r="L49" s="72" t="s">
        <v>925</v>
      </c>
      <c r="M49" s="78">
        <v>45757</v>
      </c>
      <c r="N49" s="72" t="s">
        <v>1299</v>
      </c>
      <c r="O49" s="72">
        <v>9</v>
      </c>
      <c r="P49" s="72"/>
      <c r="Q49" s="79" t="s">
        <v>928</v>
      </c>
      <c r="R49" s="83">
        <v>45799</v>
      </c>
      <c r="S49" s="79" t="s">
        <v>1299</v>
      </c>
      <c r="T49" s="72">
        <v>10</v>
      </c>
      <c r="U49" s="72"/>
      <c r="V49" s="72"/>
      <c r="W49" s="72"/>
      <c r="X49" s="72"/>
      <c r="Y49" s="72"/>
      <c r="Z49" s="72"/>
      <c r="AA49" s="79"/>
      <c r="AB49" s="79"/>
      <c r="AC49" s="79"/>
      <c r="AD49" s="79"/>
      <c r="AE49" s="79"/>
    </row>
    <row r="50" spans="1:31" ht="16.5" x14ac:dyDescent="0.35">
      <c r="A50" s="71">
        <v>44</v>
      </c>
      <c r="B50" s="72">
        <v>2022220181</v>
      </c>
      <c r="C50" s="80" t="s">
        <v>760</v>
      </c>
      <c r="D50" s="81" t="s">
        <v>36</v>
      </c>
      <c r="E50" s="72" t="s">
        <v>758</v>
      </c>
      <c r="F50" s="76">
        <v>2</v>
      </c>
      <c r="G50" s="72" t="s">
        <v>924</v>
      </c>
      <c r="H50" s="78">
        <v>45629</v>
      </c>
      <c r="I50" s="72" t="s">
        <v>1299</v>
      </c>
      <c r="J50" s="72">
        <v>8.5</v>
      </c>
      <c r="K50" s="72"/>
      <c r="L50" s="72" t="s">
        <v>1300</v>
      </c>
      <c r="M50" s="78">
        <v>45749</v>
      </c>
      <c r="N50" s="72" t="s">
        <v>1299</v>
      </c>
      <c r="O50" s="72">
        <v>8.5</v>
      </c>
      <c r="P50" s="72"/>
      <c r="Q50" s="72"/>
      <c r="R50" s="78"/>
      <c r="S50" s="72"/>
      <c r="T50" s="72"/>
      <c r="U50" s="72"/>
      <c r="V50" s="72"/>
      <c r="W50" s="72"/>
      <c r="X50" s="72"/>
      <c r="Y50" s="72"/>
      <c r="Z50" s="72"/>
      <c r="AA50" s="79"/>
      <c r="AB50" s="79"/>
      <c r="AC50" s="79"/>
      <c r="AD50" s="79"/>
      <c r="AE50" s="79"/>
    </row>
    <row r="51" spans="1:31" ht="16.5" x14ac:dyDescent="0.35">
      <c r="A51" s="71">
        <v>45</v>
      </c>
      <c r="B51" s="72">
        <v>2022220211</v>
      </c>
      <c r="C51" s="80" t="s">
        <v>761</v>
      </c>
      <c r="D51" s="81" t="s">
        <v>36</v>
      </c>
      <c r="E51" s="72" t="s">
        <v>758</v>
      </c>
      <c r="F51" s="76">
        <v>3</v>
      </c>
      <c r="G51" s="72" t="s">
        <v>1300</v>
      </c>
      <c r="H51" s="78">
        <v>45721</v>
      </c>
      <c r="I51" s="72" t="s">
        <v>1299</v>
      </c>
      <c r="J51" s="72">
        <v>8</v>
      </c>
      <c r="K51" s="72"/>
      <c r="L51" s="72" t="s">
        <v>1301</v>
      </c>
      <c r="M51" s="78">
        <v>45757</v>
      </c>
      <c r="N51" s="72" t="s">
        <v>1299</v>
      </c>
      <c r="O51" s="72">
        <v>8.5</v>
      </c>
      <c r="P51" s="72"/>
      <c r="Q51" s="72" t="s">
        <v>924</v>
      </c>
      <c r="R51" s="78">
        <v>45787</v>
      </c>
      <c r="S51" s="72" t="s">
        <v>1299</v>
      </c>
      <c r="T51" s="72">
        <v>9.5</v>
      </c>
      <c r="U51" s="72">
        <v>0.5</v>
      </c>
      <c r="V51" s="72"/>
      <c r="W51" s="72"/>
      <c r="X51" s="72"/>
      <c r="Y51" s="72"/>
      <c r="Z51" s="72"/>
      <c r="AA51" s="79"/>
      <c r="AB51" s="79"/>
      <c r="AC51" s="79"/>
      <c r="AD51" s="79"/>
      <c r="AE51" s="79"/>
    </row>
    <row r="52" spans="1:31" ht="16.5" x14ac:dyDescent="0.35">
      <c r="A52" s="71">
        <v>46</v>
      </c>
      <c r="B52" s="72">
        <v>2022220170</v>
      </c>
      <c r="C52" s="80" t="s">
        <v>763</v>
      </c>
      <c r="D52" s="81" t="s">
        <v>36</v>
      </c>
      <c r="E52" s="72" t="s">
        <v>758</v>
      </c>
      <c r="F52" s="76">
        <v>3</v>
      </c>
      <c r="G52" s="72" t="s">
        <v>1300</v>
      </c>
      <c r="H52" s="78">
        <v>45756</v>
      </c>
      <c r="I52" s="72" t="s">
        <v>1299</v>
      </c>
      <c r="J52" s="72">
        <v>7.5</v>
      </c>
      <c r="K52" s="72"/>
      <c r="L52" s="72" t="s">
        <v>1301</v>
      </c>
      <c r="M52" s="78">
        <v>45757</v>
      </c>
      <c r="N52" s="72" t="s">
        <v>1299</v>
      </c>
      <c r="O52" s="72">
        <v>9.5</v>
      </c>
      <c r="P52" s="72"/>
      <c r="Q52" s="72" t="s">
        <v>924</v>
      </c>
      <c r="R52" s="78">
        <v>45786</v>
      </c>
      <c r="S52" s="72" t="s">
        <v>1299</v>
      </c>
      <c r="T52" s="72">
        <v>8.5</v>
      </c>
      <c r="U52" s="72">
        <v>0.5</v>
      </c>
      <c r="V52" s="72"/>
      <c r="W52" s="72"/>
      <c r="X52" s="72"/>
      <c r="Y52" s="72"/>
      <c r="Z52" s="72"/>
      <c r="AA52" s="79"/>
      <c r="AB52" s="79"/>
      <c r="AC52" s="79"/>
      <c r="AD52" s="79"/>
      <c r="AE52" s="79"/>
    </row>
    <row r="53" spans="1:31" ht="16.5" x14ac:dyDescent="0.35">
      <c r="A53" s="71">
        <v>47</v>
      </c>
      <c r="B53" s="72">
        <v>2022220182</v>
      </c>
      <c r="C53" s="80" t="s">
        <v>765</v>
      </c>
      <c r="D53" s="81" t="s">
        <v>36</v>
      </c>
      <c r="E53" s="72" t="s">
        <v>758</v>
      </c>
      <c r="F53" s="76">
        <v>3</v>
      </c>
      <c r="G53" s="72" t="s">
        <v>1300</v>
      </c>
      <c r="H53" s="78">
        <v>45721</v>
      </c>
      <c r="I53" s="72" t="s">
        <v>1299</v>
      </c>
      <c r="J53" s="72">
        <v>8.5</v>
      </c>
      <c r="K53" s="72"/>
      <c r="L53" s="72" t="s">
        <v>1301</v>
      </c>
      <c r="M53" s="78">
        <v>45785</v>
      </c>
      <c r="N53" s="72" t="s">
        <v>1299</v>
      </c>
      <c r="O53" s="72">
        <v>9.5</v>
      </c>
      <c r="P53" s="72"/>
      <c r="Q53" s="72" t="s">
        <v>924</v>
      </c>
      <c r="R53" s="78">
        <v>45798</v>
      </c>
      <c r="S53" s="72" t="s">
        <v>1299</v>
      </c>
      <c r="T53" s="72">
        <v>9</v>
      </c>
      <c r="U53" s="72">
        <v>0.5</v>
      </c>
      <c r="V53" s="72"/>
      <c r="W53" s="72"/>
      <c r="X53" s="72"/>
      <c r="Y53" s="72"/>
      <c r="Z53" s="72"/>
      <c r="AA53" s="79"/>
      <c r="AB53" s="79"/>
      <c r="AC53" s="79"/>
      <c r="AD53" s="79"/>
      <c r="AE53" s="79"/>
    </row>
    <row r="54" spans="1:31" ht="16.5" x14ac:dyDescent="0.35">
      <c r="A54" s="71">
        <v>48</v>
      </c>
      <c r="B54" s="72">
        <v>2022220199</v>
      </c>
      <c r="C54" s="80" t="s">
        <v>764</v>
      </c>
      <c r="D54" s="81" t="s">
        <v>36</v>
      </c>
      <c r="E54" s="72" t="s">
        <v>758</v>
      </c>
      <c r="F54" s="76">
        <v>2</v>
      </c>
      <c r="G54" s="72" t="s">
        <v>1300</v>
      </c>
      <c r="H54" s="78">
        <v>45631</v>
      </c>
      <c r="I54" s="72" t="s">
        <v>1299</v>
      </c>
      <c r="J54" s="72">
        <v>8.5</v>
      </c>
      <c r="K54" s="72"/>
      <c r="L54" s="72" t="s">
        <v>925</v>
      </c>
      <c r="M54" s="78">
        <v>45757</v>
      </c>
      <c r="N54" s="72" t="s">
        <v>1299</v>
      </c>
      <c r="O54" s="72">
        <v>8</v>
      </c>
      <c r="P54" s="72"/>
      <c r="Q54" s="72"/>
      <c r="R54" s="78"/>
      <c r="S54" s="72"/>
      <c r="T54" s="72"/>
      <c r="U54" s="72"/>
      <c r="V54" s="72"/>
      <c r="W54" s="72"/>
      <c r="X54" s="72"/>
      <c r="Y54" s="72"/>
      <c r="Z54" s="72"/>
      <c r="AA54" s="79"/>
      <c r="AB54" s="79"/>
      <c r="AC54" s="79"/>
      <c r="AD54" s="79"/>
      <c r="AE54" s="79"/>
    </row>
    <row r="55" spans="1:31" ht="16.5" x14ac:dyDescent="0.35">
      <c r="A55" s="71">
        <v>49</v>
      </c>
      <c r="B55" s="72">
        <v>2022220464</v>
      </c>
      <c r="C55" s="80" t="s">
        <v>74</v>
      </c>
      <c r="D55" s="81" t="s">
        <v>324</v>
      </c>
      <c r="E55" s="72" t="s">
        <v>758</v>
      </c>
      <c r="F55" s="76">
        <v>2</v>
      </c>
      <c r="G55" s="72" t="s">
        <v>1300</v>
      </c>
      <c r="H55" s="78">
        <v>45744</v>
      </c>
      <c r="I55" s="72" t="s">
        <v>1299</v>
      </c>
      <c r="J55" s="72">
        <v>9</v>
      </c>
      <c r="K55" s="72"/>
      <c r="L55" s="72" t="s">
        <v>924</v>
      </c>
      <c r="M55" s="78">
        <v>45776</v>
      </c>
      <c r="N55" s="72" t="s">
        <v>1299</v>
      </c>
      <c r="O55" s="72">
        <v>8.5</v>
      </c>
      <c r="P55" s="72"/>
      <c r="Q55" s="72"/>
      <c r="R55" s="78"/>
      <c r="S55" s="72"/>
      <c r="T55" s="72"/>
      <c r="U55" s="72"/>
      <c r="V55" s="72"/>
      <c r="W55" s="72"/>
      <c r="X55" s="72"/>
      <c r="Y55" s="72"/>
      <c r="Z55" s="72"/>
      <c r="AA55" s="79"/>
      <c r="AB55" s="79"/>
      <c r="AC55" s="79"/>
      <c r="AD55" s="79"/>
      <c r="AE55" s="79"/>
    </row>
    <row r="56" spans="1:31" ht="16.5" x14ac:dyDescent="0.35">
      <c r="A56" s="71">
        <v>50</v>
      </c>
      <c r="B56" s="72">
        <v>2022220619</v>
      </c>
      <c r="C56" s="80" t="s">
        <v>89</v>
      </c>
      <c r="D56" s="81" t="s">
        <v>704</v>
      </c>
      <c r="E56" s="72" t="s">
        <v>758</v>
      </c>
      <c r="F56" s="76">
        <v>2</v>
      </c>
      <c r="G56" s="72" t="s">
        <v>1300</v>
      </c>
      <c r="H56" s="78">
        <v>45644</v>
      </c>
      <c r="I56" s="72" t="s">
        <v>1299</v>
      </c>
      <c r="J56" s="72">
        <v>6</v>
      </c>
      <c r="K56" s="72"/>
      <c r="L56" s="72" t="s">
        <v>924</v>
      </c>
      <c r="M56" s="78">
        <v>45776</v>
      </c>
      <c r="N56" s="72" t="s">
        <v>1299</v>
      </c>
      <c r="O56" s="72">
        <v>7.5</v>
      </c>
      <c r="P56" s="72"/>
      <c r="Q56" s="72"/>
      <c r="R56" s="78"/>
      <c r="S56" s="72"/>
      <c r="T56" s="72"/>
      <c r="U56" s="72"/>
      <c r="V56" s="72"/>
      <c r="W56" s="72"/>
      <c r="X56" s="72"/>
      <c r="Y56" s="72"/>
      <c r="Z56" s="72"/>
      <c r="AA56" s="79"/>
      <c r="AB56" s="79"/>
      <c r="AC56" s="79"/>
      <c r="AD56" s="79"/>
      <c r="AE56" s="79"/>
    </row>
    <row r="57" spans="1:31" ht="16.5" x14ac:dyDescent="0.35">
      <c r="A57" s="71">
        <v>51</v>
      </c>
      <c r="B57" s="72">
        <v>2022220692</v>
      </c>
      <c r="C57" s="80" t="s">
        <v>772</v>
      </c>
      <c r="D57" s="81" t="s">
        <v>773</v>
      </c>
      <c r="E57" s="72" t="s">
        <v>758</v>
      </c>
      <c r="F57" s="76">
        <v>3</v>
      </c>
      <c r="G57" s="72" t="s">
        <v>1300</v>
      </c>
      <c r="H57" s="78">
        <v>45471</v>
      </c>
      <c r="I57" s="72" t="s">
        <v>1299</v>
      </c>
      <c r="J57" s="72">
        <v>8</v>
      </c>
      <c r="K57" s="72">
        <v>1</v>
      </c>
      <c r="L57" s="72" t="s">
        <v>925</v>
      </c>
      <c r="M57" s="78">
        <v>45797</v>
      </c>
      <c r="N57" s="72" t="s">
        <v>1299</v>
      </c>
      <c r="O57" s="72">
        <v>8.5</v>
      </c>
      <c r="P57" s="72"/>
      <c r="Q57" s="72" t="s">
        <v>924</v>
      </c>
      <c r="R57" s="78">
        <v>45803</v>
      </c>
      <c r="S57" s="72" t="s">
        <v>1299</v>
      </c>
      <c r="T57" s="72">
        <v>9.5</v>
      </c>
      <c r="U57" s="72"/>
      <c r="V57" s="72"/>
      <c r="W57" s="72"/>
      <c r="X57" s="72"/>
      <c r="Y57" s="72"/>
      <c r="Z57" s="72"/>
      <c r="AA57" s="79"/>
      <c r="AB57" s="79"/>
      <c r="AC57" s="79"/>
      <c r="AD57" s="79"/>
      <c r="AE57" s="79"/>
    </row>
    <row r="58" spans="1:31" ht="16.5" x14ac:dyDescent="0.35">
      <c r="A58" s="71">
        <v>52</v>
      </c>
      <c r="B58" s="72">
        <v>2022220980</v>
      </c>
      <c r="C58" s="80" t="s">
        <v>767</v>
      </c>
      <c r="D58" s="81" t="s">
        <v>768</v>
      </c>
      <c r="E58" s="72" t="s">
        <v>758</v>
      </c>
      <c r="F58" s="76">
        <v>3</v>
      </c>
      <c r="G58" s="72" t="s">
        <v>1300</v>
      </c>
      <c r="H58" s="78">
        <v>45644</v>
      </c>
      <c r="I58" s="72" t="s">
        <v>1299</v>
      </c>
      <c r="J58" s="72">
        <v>8</v>
      </c>
      <c r="K58" s="72"/>
      <c r="L58" s="72" t="s">
        <v>1301</v>
      </c>
      <c r="M58" s="78">
        <v>45785</v>
      </c>
      <c r="N58" s="72" t="s">
        <v>1299</v>
      </c>
      <c r="O58" s="72">
        <v>8</v>
      </c>
      <c r="P58" s="72"/>
      <c r="Q58" s="72" t="s">
        <v>928</v>
      </c>
      <c r="R58" s="78">
        <v>45800</v>
      </c>
      <c r="S58" s="72" t="s">
        <v>1299</v>
      </c>
      <c r="T58" s="72">
        <v>7</v>
      </c>
      <c r="U58" s="72"/>
      <c r="V58" s="72"/>
      <c r="W58" s="72"/>
      <c r="X58" s="72"/>
      <c r="Y58" s="72"/>
      <c r="Z58" s="72"/>
      <c r="AA58" s="79"/>
      <c r="AB58" s="79"/>
      <c r="AC58" s="79"/>
      <c r="AD58" s="79"/>
      <c r="AE58" s="79"/>
    </row>
    <row r="59" spans="1:31" ht="16.5" x14ac:dyDescent="0.35">
      <c r="A59" s="71">
        <v>53</v>
      </c>
      <c r="B59" s="72">
        <v>2022221018</v>
      </c>
      <c r="C59" s="80" t="s">
        <v>769</v>
      </c>
      <c r="D59" s="81" t="s">
        <v>770</v>
      </c>
      <c r="E59" s="72" t="s">
        <v>758</v>
      </c>
      <c r="F59" s="76">
        <v>3</v>
      </c>
      <c r="G59" s="72" t="s">
        <v>1300</v>
      </c>
      <c r="H59" s="78">
        <v>45721</v>
      </c>
      <c r="I59" s="72" t="s">
        <v>1299</v>
      </c>
      <c r="J59" s="72">
        <v>8.5</v>
      </c>
      <c r="K59" s="72"/>
      <c r="L59" s="72" t="s">
        <v>1301</v>
      </c>
      <c r="M59" s="78">
        <v>45785</v>
      </c>
      <c r="N59" s="72" t="s">
        <v>1299</v>
      </c>
      <c r="O59" s="72">
        <v>9.5</v>
      </c>
      <c r="P59" s="72"/>
      <c r="Q59" s="72" t="s">
        <v>924</v>
      </c>
      <c r="R59" s="78">
        <v>45798</v>
      </c>
      <c r="S59" s="72" t="s">
        <v>1299</v>
      </c>
      <c r="T59" s="72">
        <v>9</v>
      </c>
      <c r="U59" s="72"/>
      <c r="V59" s="72"/>
      <c r="W59" s="72"/>
      <c r="X59" s="72"/>
      <c r="Y59" s="72"/>
      <c r="Z59" s="72"/>
      <c r="AA59" s="79"/>
      <c r="AB59" s="79"/>
      <c r="AC59" s="79"/>
      <c r="AD59" s="79"/>
      <c r="AE59" s="79"/>
    </row>
    <row r="60" spans="1:31" ht="16.5" x14ac:dyDescent="0.35">
      <c r="A60" s="71">
        <v>54</v>
      </c>
      <c r="B60" s="72">
        <v>2022221072</v>
      </c>
      <c r="C60" s="80" t="s">
        <v>386</v>
      </c>
      <c r="D60" s="81" t="s">
        <v>774</v>
      </c>
      <c r="E60" s="72" t="s">
        <v>758</v>
      </c>
      <c r="F60" s="76">
        <v>2</v>
      </c>
      <c r="G60" s="72" t="s">
        <v>1300</v>
      </c>
      <c r="H60" s="78">
        <v>45728</v>
      </c>
      <c r="I60" s="72" t="s">
        <v>1299</v>
      </c>
      <c r="J60" s="72">
        <v>8</v>
      </c>
      <c r="K60" s="72"/>
      <c r="L60" s="72" t="s">
        <v>925</v>
      </c>
      <c r="M60" s="78">
        <v>45757</v>
      </c>
      <c r="N60" s="72" t="s">
        <v>1299</v>
      </c>
      <c r="O60" s="72">
        <v>7.5</v>
      </c>
      <c r="P60" s="72"/>
      <c r="Q60" s="72"/>
      <c r="R60" s="78"/>
      <c r="S60" s="72"/>
      <c r="T60" s="72"/>
      <c r="U60" s="72"/>
      <c r="V60" s="72"/>
      <c r="W60" s="72"/>
      <c r="X60" s="72"/>
      <c r="Y60" s="72"/>
      <c r="Z60" s="72"/>
      <c r="AA60" s="79"/>
      <c r="AB60" s="79"/>
      <c r="AC60" s="79"/>
      <c r="AD60" s="79"/>
      <c r="AE60" s="79"/>
    </row>
    <row r="61" spans="1:31" ht="16.5" x14ac:dyDescent="0.35">
      <c r="A61" s="71">
        <v>55</v>
      </c>
      <c r="B61" s="72">
        <v>2022221112</v>
      </c>
      <c r="C61" s="80" t="s">
        <v>775</v>
      </c>
      <c r="D61" s="81" t="s">
        <v>11</v>
      </c>
      <c r="E61" s="72" t="s">
        <v>758</v>
      </c>
      <c r="F61" s="76">
        <v>2</v>
      </c>
      <c r="G61" s="72" t="s">
        <v>1300</v>
      </c>
      <c r="H61" s="78">
        <v>45631</v>
      </c>
      <c r="I61" s="72" t="s">
        <v>1299</v>
      </c>
      <c r="J61" s="72">
        <v>8.5</v>
      </c>
      <c r="K61" s="72"/>
      <c r="L61" s="72" t="s">
        <v>925</v>
      </c>
      <c r="M61" s="78">
        <v>45757</v>
      </c>
      <c r="N61" s="72" t="s">
        <v>1299</v>
      </c>
      <c r="O61" s="72">
        <v>8.5</v>
      </c>
      <c r="P61" s="72"/>
      <c r="Q61" s="72"/>
      <c r="R61" s="78"/>
      <c r="S61" s="72"/>
      <c r="T61" s="72"/>
      <c r="U61" s="72"/>
      <c r="V61" s="72"/>
      <c r="W61" s="72"/>
      <c r="X61" s="72"/>
      <c r="Y61" s="72"/>
      <c r="Z61" s="72"/>
      <c r="AA61" s="79"/>
      <c r="AB61" s="79"/>
      <c r="AC61" s="79"/>
      <c r="AD61" s="79"/>
      <c r="AE61" s="79"/>
    </row>
    <row r="62" spans="1:31" ht="16.5" x14ac:dyDescent="0.35">
      <c r="A62" s="71">
        <v>56</v>
      </c>
      <c r="B62" s="72">
        <v>2022221149</v>
      </c>
      <c r="C62" s="80" t="s">
        <v>823</v>
      </c>
      <c r="D62" s="81" t="s">
        <v>85</v>
      </c>
      <c r="E62" s="72" t="s">
        <v>758</v>
      </c>
      <c r="F62" s="76">
        <v>3</v>
      </c>
      <c r="G62" s="72" t="s">
        <v>1300</v>
      </c>
      <c r="H62" s="78">
        <v>45749</v>
      </c>
      <c r="I62" s="72" t="s">
        <v>1299</v>
      </c>
      <c r="J62" s="72">
        <v>10</v>
      </c>
      <c r="K62" s="72"/>
      <c r="L62" s="72" t="s">
        <v>924</v>
      </c>
      <c r="M62" s="78">
        <v>45803</v>
      </c>
      <c r="N62" s="72" t="s">
        <v>1299</v>
      </c>
      <c r="O62" s="72">
        <v>9</v>
      </c>
      <c r="P62" s="72"/>
      <c r="Q62" s="72" t="s">
        <v>925</v>
      </c>
      <c r="R62" s="78">
        <v>45813</v>
      </c>
      <c r="S62" s="72" t="s">
        <v>1299</v>
      </c>
      <c r="T62" s="72">
        <v>8.5</v>
      </c>
      <c r="U62" s="72"/>
      <c r="V62" s="72"/>
      <c r="W62" s="72"/>
      <c r="X62" s="72"/>
      <c r="Y62" s="72"/>
      <c r="Z62" s="72"/>
      <c r="AA62" s="79"/>
      <c r="AB62" s="79"/>
      <c r="AC62" s="79"/>
      <c r="AD62" s="79"/>
      <c r="AE62" s="79"/>
    </row>
    <row r="63" spans="1:31" ht="16.5" x14ac:dyDescent="0.35">
      <c r="A63" s="71">
        <v>57</v>
      </c>
      <c r="B63" s="72">
        <v>2022221227</v>
      </c>
      <c r="C63" s="80" t="s">
        <v>779</v>
      </c>
      <c r="D63" s="81" t="s">
        <v>373</v>
      </c>
      <c r="E63" s="72" t="s">
        <v>758</v>
      </c>
      <c r="F63" s="76">
        <v>3</v>
      </c>
      <c r="G63" s="72" t="s">
        <v>1300</v>
      </c>
      <c r="H63" s="78">
        <v>45471</v>
      </c>
      <c r="I63" s="72" t="s">
        <v>1299</v>
      </c>
      <c r="J63" s="72">
        <v>7.5</v>
      </c>
      <c r="K63" s="72"/>
      <c r="L63" s="72" t="s">
        <v>925</v>
      </c>
      <c r="M63" s="78">
        <v>45757</v>
      </c>
      <c r="N63" s="72" t="s">
        <v>1299</v>
      </c>
      <c r="O63" s="72">
        <v>9</v>
      </c>
      <c r="P63" s="72"/>
      <c r="Q63" s="72" t="s">
        <v>924</v>
      </c>
      <c r="R63" s="78">
        <v>45786</v>
      </c>
      <c r="S63" s="72" t="s">
        <v>1299</v>
      </c>
      <c r="T63" s="72">
        <v>8.5</v>
      </c>
      <c r="U63" s="72"/>
      <c r="V63" s="72"/>
      <c r="W63" s="72"/>
      <c r="X63" s="72"/>
      <c r="Y63" s="72"/>
      <c r="Z63" s="72"/>
      <c r="AA63" s="79"/>
      <c r="AB63" s="79"/>
      <c r="AC63" s="79"/>
      <c r="AD63" s="79"/>
      <c r="AE63" s="79"/>
    </row>
    <row r="64" spans="1:31" ht="16.5" x14ac:dyDescent="0.35">
      <c r="A64" s="71">
        <v>58</v>
      </c>
      <c r="B64" s="72">
        <v>2022221231</v>
      </c>
      <c r="C64" s="80" t="s">
        <v>778</v>
      </c>
      <c r="D64" s="81" t="s">
        <v>373</v>
      </c>
      <c r="E64" s="72" t="s">
        <v>758</v>
      </c>
      <c r="F64" s="76">
        <v>2</v>
      </c>
      <c r="G64" s="72" t="s">
        <v>1301</v>
      </c>
      <c r="H64" s="78">
        <v>45629</v>
      </c>
      <c r="I64" s="72" t="s">
        <v>1299</v>
      </c>
      <c r="J64" s="72">
        <v>9.5</v>
      </c>
      <c r="K64" s="72"/>
      <c r="L64" s="72" t="s">
        <v>925</v>
      </c>
      <c r="M64" s="78">
        <v>45797</v>
      </c>
      <c r="N64" s="72" t="s">
        <v>1299</v>
      </c>
      <c r="O64" s="72">
        <v>5</v>
      </c>
      <c r="P64" s="72"/>
      <c r="Q64" s="72"/>
      <c r="R64" s="78"/>
      <c r="S64" s="72"/>
      <c r="T64" s="72"/>
      <c r="U64" s="72"/>
      <c r="V64" s="72"/>
      <c r="W64" s="72"/>
      <c r="X64" s="72"/>
      <c r="Y64" s="72"/>
      <c r="Z64" s="72"/>
      <c r="AA64" s="79"/>
      <c r="AB64" s="79"/>
      <c r="AC64" s="79"/>
      <c r="AD64" s="79"/>
      <c r="AE64" s="79"/>
    </row>
    <row r="65" spans="1:31" ht="16.5" x14ac:dyDescent="0.35">
      <c r="A65" s="71">
        <v>59</v>
      </c>
      <c r="B65" s="72">
        <v>2022221290</v>
      </c>
      <c r="C65" s="80" t="s">
        <v>777</v>
      </c>
      <c r="D65" s="81" t="s">
        <v>172</v>
      </c>
      <c r="E65" s="72" t="s">
        <v>758</v>
      </c>
      <c r="F65" s="76">
        <v>4</v>
      </c>
      <c r="G65" s="72" t="s">
        <v>1300</v>
      </c>
      <c r="H65" s="78">
        <v>45742</v>
      </c>
      <c r="I65" s="72" t="s">
        <v>1299</v>
      </c>
      <c r="J65" s="72">
        <v>8</v>
      </c>
      <c r="K65" s="72"/>
      <c r="L65" s="72" t="s">
        <v>924</v>
      </c>
      <c r="M65" s="78">
        <v>45776</v>
      </c>
      <c r="N65" s="72" t="s">
        <v>1299</v>
      </c>
      <c r="O65" s="72">
        <v>6.5</v>
      </c>
      <c r="P65" s="72"/>
      <c r="Q65" s="72" t="s">
        <v>1300</v>
      </c>
      <c r="R65" s="78">
        <v>45471</v>
      </c>
      <c r="S65" s="72" t="s">
        <v>1299</v>
      </c>
      <c r="T65" s="72">
        <v>5</v>
      </c>
      <c r="U65" s="72"/>
      <c r="V65" s="72" t="s">
        <v>1300</v>
      </c>
      <c r="W65" s="78">
        <v>45448</v>
      </c>
      <c r="X65" s="72" t="s">
        <v>1299</v>
      </c>
      <c r="Y65" s="72">
        <v>6</v>
      </c>
      <c r="Z65" s="72"/>
      <c r="AA65" s="79"/>
      <c r="AB65" s="79"/>
      <c r="AC65" s="79"/>
      <c r="AD65" s="79"/>
      <c r="AE65" s="79"/>
    </row>
    <row r="66" spans="1:31" ht="16.5" x14ac:dyDescent="0.35">
      <c r="A66" s="71">
        <v>60</v>
      </c>
      <c r="B66" s="72">
        <v>2022221300</v>
      </c>
      <c r="C66" s="80" t="s">
        <v>776</v>
      </c>
      <c r="D66" s="81" t="s">
        <v>172</v>
      </c>
      <c r="E66" s="72" t="s">
        <v>758</v>
      </c>
      <c r="F66" s="76">
        <v>3</v>
      </c>
      <c r="G66" s="72" t="s">
        <v>924</v>
      </c>
      <c r="H66" s="78">
        <v>45637</v>
      </c>
      <c r="I66" s="72" t="s">
        <v>1299</v>
      </c>
      <c r="J66" s="72">
        <v>9</v>
      </c>
      <c r="K66" s="72"/>
      <c r="L66" s="72" t="s">
        <v>1300</v>
      </c>
      <c r="M66" s="78">
        <v>45791</v>
      </c>
      <c r="N66" s="72" t="s">
        <v>1299</v>
      </c>
      <c r="O66" s="72">
        <v>8</v>
      </c>
      <c r="P66" s="72"/>
      <c r="Q66" s="72" t="s">
        <v>928</v>
      </c>
      <c r="R66" s="78">
        <v>45800</v>
      </c>
      <c r="S66" s="72" t="s">
        <v>1299</v>
      </c>
      <c r="T66" s="72">
        <v>8.5</v>
      </c>
      <c r="U66" s="72"/>
      <c r="V66" s="72"/>
      <c r="W66" s="72"/>
      <c r="X66" s="72"/>
      <c r="Y66" s="72"/>
      <c r="Z66" s="72"/>
      <c r="AA66" s="79"/>
      <c r="AB66" s="79"/>
      <c r="AC66" s="79"/>
      <c r="AD66" s="79"/>
      <c r="AE66" s="79"/>
    </row>
    <row r="67" spans="1:31" ht="16.5" x14ac:dyDescent="0.35">
      <c r="A67" s="71">
        <v>61</v>
      </c>
      <c r="B67" s="72">
        <v>2022221299</v>
      </c>
      <c r="C67" s="80" t="s">
        <v>288</v>
      </c>
      <c r="D67" s="81" t="s">
        <v>172</v>
      </c>
      <c r="E67" s="72" t="s">
        <v>758</v>
      </c>
      <c r="F67" s="76">
        <v>2</v>
      </c>
      <c r="G67" s="72" t="s">
        <v>1300</v>
      </c>
      <c r="H67" s="78">
        <v>45721</v>
      </c>
      <c r="I67" s="72" t="s">
        <v>1299</v>
      </c>
      <c r="J67" s="72">
        <v>6.5</v>
      </c>
      <c r="K67" s="72"/>
      <c r="L67" s="72" t="s">
        <v>1301</v>
      </c>
      <c r="M67" s="78">
        <v>45785</v>
      </c>
      <c r="N67" s="72" t="s">
        <v>1299</v>
      </c>
      <c r="O67" s="72">
        <v>6.5</v>
      </c>
      <c r="P67" s="72"/>
      <c r="Q67" s="72"/>
      <c r="R67" s="78"/>
      <c r="S67" s="72"/>
      <c r="T67" s="72"/>
      <c r="U67" s="72"/>
      <c r="V67" s="72"/>
      <c r="W67" s="72"/>
      <c r="X67" s="72"/>
      <c r="Y67" s="72"/>
      <c r="Z67" s="72"/>
      <c r="AA67" s="79"/>
      <c r="AB67" s="79"/>
      <c r="AC67" s="79"/>
      <c r="AD67" s="79"/>
      <c r="AE67" s="79"/>
    </row>
    <row r="68" spans="1:31" ht="16.5" x14ac:dyDescent="0.35">
      <c r="A68" s="71">
        <v>62</v>
      </c>
      <c r="B68" s="72">
        <v>2022221423</v>
      </c>
      <c r="C68" s="80" t="s">
        <v>945</v>
      </c>
      <c r="D68" s="81" t="s">
        <v>88</v>
      </c>
      <c r="E68" s="72" t="s">
        <v>758</v>
      </c>
      <c r="F68" s="76">
        <v>0</v>
      </c>
      <c r="G68" s="72"/>
      <c r="H68" s="78"/>
      <c r="I68" s="72"/>
      <c r="J68" s="72"/>
      <c r="K68" s="72"/>
      <c r="L68" s="72"/>
      <c r="M68" s="72"/>
      <c r="N68" s="72"/>
      <c r="O68" s="72"/>
      <c r="P68" s="72"/>
      <c r="Q68" s="72"/>
      <c r="R68" s="78"/>
      <c r="S68" s="72"/>
      <c r="T68" s="72"/>
      <c r="U68" s="72"/>
      <c r="V68" s="72"/>
      <c r="W68" s="72"/>
      <c r="X68" s="72"/>
      <c r="Y68" s="72"/>
      <c r="Z68" s="72"/>
      <c r="AA68" s="79"/>
      <c r="AB68" s="79"/>
      <c r="AC68" s="79"/>
      <c r="AD68" s="79"/>
      <c r="AE68" s="79"/>
    </row>
    <row r="69" spans="1:31" ht="16.5" x14ac:dyDescent="0.35">
      <c r="A69" s="71">
        <v>63</v>
      </c>
      <c r="B69" s="72">
        <v>2022221536</v>
      </c>
      <c r="C69" s="80" t="s">
        <v>780</v>
      </c>
      <c r="D69" s="81" t="s">
        <v>781</v>
      </c>
      <c r="E69" s="72" t="s">
        <v>758</v>
      </c>
      <c r="F69" s="76">
        <v>2</v>
      </c>
      <c r="G69" s="72" t="s">
        <v>1301</v>
      </c>
      <c r="H69" s="78">
        <v>45629</v>
      </c>
      <c r="I69" s="72" t="s">
        <v>1299</v>
      </c>
      <c r="J69" s="72">
        <v>8.5</v>
      </c>
      <c r="K69" s="72"/>
      <c r="L69" s="72" t="s">
        <v>1300</v>
      </c>
      <c r="M69" s="78">
        <v>45784</v>
      </c>
      <c r="N69" s="72" t="s">
        <v>1299</v>
      </c>
      <c r="O69" s="72">
        <v>7.5</v>
      </c>
      <c r="P69" s="72"/>
      <c r="Q69" s="72"/>
      <c r="R69" s="78"/>
      <c r="S69" s="72"/>
      <c r="T69" s="72"/>
      <c r="U69" s="72"/>
      <c r="V69" s="72"/>
      <c r="W69" s="72"/>
      <c r="X69" s="72"/>
      <c r="Y69" s="72"/>
      <c r="Z69" s="72"/>
      <c r="AA69" s="79"/>
      <c r="AB69" s="79"/>
      <c r="AC69" s="79"/>
      <c r="AD69" s="79"/>
      <c r="AE69" s="79"/>
    </row>
    <row r="70" spans="1:31" ht="16.5" x14ac:dyDescent="0.35">
      <c r="A70" s="71">
        <v>64</v>
      </c>
      <c r="B70" s="72">
        <v>2022221773</v>
      </c>
      <c r="C70" s="80" t="s">
        <v>783</v>
      </c>
      <c r="D70" s="81" t="s">
        <v>479</v>
      </c>
      <c r="E70" s="72" t="s">
        <v>758</v>
      </c>
      <c r="F70" s="76">
        <v>3</v>
      </c>
      <c r="G70" s="72" t="s">
        <v>1300</v>
      </c>
      <c r="H70" s="78">
        <v>45728</v>
      </c>
      <c r="I70" s="72" t="s">
        <v>1299</v>
      </c>
      <c r="J70" s="72">
        <v>7.5</v>
      </c>
      <c r="K70" s="72"/>
      <c r="L70" s="72" t="s">
        <v>1301</v>
      </c>
      <c r="M70" s="78">
        <v>45783</v>
      </c>
      <c r="N70" s="72" t="s">
        <v>1299</v>
      </c>
      <c r="O70" s="72">
        <v>9</v>
      </c>
      <c r="P70" s="72"/>
      <c r="Q70" s="72" t="s">
        <v>1300</v>
      </c>
      <c r="R70" s="78">
        <v>45448</v>
      </c>
      <c r="S70" s="72" t="s">
        <v>1299</v>
      </c>
      <c r="T70" s="72">
        <v>7</v>
      </c>
      <c r="U70" s="72"/>
      <c r="V70" s="72"/>
      <c r="W70" s="72"/>
      <c r="X70" s="72"/>
      <c r="Y70" s="72"/>
      <c r="Z70" s="72"/>
      <c r="AA70" s="79"/>
      <c r="AB70" s="79"/>
      <c r="AC70" s="79"/>
      <c r="AD70" s="79"/>
      <c r="AE70" s="79"/>
    </row>
    <row r="71" spans="1:31" ht="16.5" x14ac:dyDescent="0.35">
      <c r="A71" s="71">
        <v>65</v>
      </c>
      <c r="B71" s="72">
        <v>2022221801</v>
      </c>
      <c r="C71" s="80" t="s">
        <v>782</v>
      </c>
      <c r="D71" s="81" t="s">
        <v>437</v>
      </c>
      <c r="E71" s="72" t="s">
        <v>758</v>
      </c>
      <c r="F71" s="76">
        <v>3</v>
      </c>
      <c r="G71" s="72" t="s">
        <v>1300</v>
      </c>
      <c r="H71" s="78">
        <v>45749</v>
      </c>
      <c r="I71" s="72" t="s">
        <v>1299</v>
      </c>
      <c r="J71" s="72">
        <v>9</v>
      </c>
      <c r="K71" s="72"/>
      <c r="L71" s="72" t="s">
        <v>1301</v>
      </c>
      <c r="M71" s="78">
        <v>45783</v>
      </c>
      <c r="N71" s="72" t="s">
        <v>1299</v>
      </c>
      <c r="O71" s="72">
        <v>8.5</v>
      </c>
      <c r="P71" s="72"/>
      <c r="Q71" s="72" t="s">
        <v>924</v>
      </c>
      <c r="R71" s="78">
        <v>45798</v>
      </c>
      <c r="S71" s="72" t="s">
        <v>1299</v>
      </c>
      <c r="T71" s="72">
        <v>8</v>
      </c>
      <c r="U71" s="72"/>
      <c r="V71" s="72"/>
      <c r="W71" s="72"/>
      <c r="X71" s="72"/>
      <c r="Y71" s="72"/>
      <c r="Z71" s="72"/>
      <c r="AA71" s="79"/>
      <c r="AB71" s="79"/>
      <c r="AC71" s="79"/>
      <c r="AD71" s="79"/>
      <c r="AE71" s="79"/>
    </row>
    <row r="72" spans="1:31" ht="16.5" x14ac:dyDescent="0.35">
      <c r="A72" s="71">
        <v>66</v>
      </c>
      <c r="B72" s="72">
        <v>2022221841</v>
      </c>
      <c r="C72" s="80" t="s">
        <v>824</v>
      </c>
      <c r="D72" s="81" t="s">
        <v>173</v>
      </c>
      <c r="E72" s="72" t="s">
        <v>758</v>
      </c>
      <c r="F72" s="76">
        <v>1</v>
      </c>
      <c r="G72" s="72" t="s">
        <v>924</v>
      </c>
      <c r="H72" s="78">
        <v>45798</v>
      </c>
      <c r="I72" s="72" t="s">
        <v>1299</v>
      </c>
      <c r="J72" s="72">
        <v>8</v>
      </c>
      <c r="K72" s="72"/>
      <c r="L72" s="72"/>
      <c r="M72" s="72"/>
      <c r="N72" s="72"/>
      <c r="O72" s="72"/>
      <c r="P72" s="72"/>
      <c r="Q72" s="72"/>
      <c r="R72" s="78"/>
      <c r="S72" s="72"/>
      <c r="T72" s="72"/>
      <c r="U72" s="72"/>
      <c r="V72" s="72"/>
      <c r="W72" s="72"/>
      <c r="X72" s="72"/>
      <c r="Y72" s="72"/>
      <c r="Z72" s="72"/>
      <c r="AA72" s="79"/>
      <c r="AB72" s="79"/>
      <c r="AC72" s="79"/>
      <c r="AD72" s="79"/>
      <c r="AE72" s="79"/>
    </row>
    <row r="73" spans="1:31" ht="16.5" x14ac:dyDescent="0.35">
      <c r="A73" s="71">
        <v>67</v>
      </c>
      <c r="B73" s="72">
        <v>2022222085</v>
      </c>
      <c r="C73" s="80" t="s">
        <v>214</v>
      </c>
      <c r="D73" s="81" t="s">
        <v>122</v>
      </c>
      <c r="E73" s="72" t="s">
        <v>758</v>
      </c>
      <c r="F73" s="76">
        <v>0</v>
      </c>
      <c r="G73" s="72"/>
      <c r="H73" s="78"/>
      <c r="I73" s="72"/>
      <c r="J73" s="72"/>
      <c r="K73" s="72"/>
      <c r="L73" s="72"/>
      <c r="M73" s="78"/>
      <c r="N73" s="72"/>
      <c r="O73" s="72"/>
      <c r="P73" s="72"/>
      <c r="Q73" s="72"/>
      <c r="R73" s="78"/>
      <c r="S73" s="72"/>
      <c r="T73" s="72"/>
      <c r="U73" s="72"/>
      <c r="V73" s="72"/>
      <c r="W73" s="72"/>
      <c r="X73" s="72"/>
      <c r="Y73" s="72"/>
      <c r="Z73" s="72"/>
      <c r="AA73" s="79"/>
      <c r="AB73" s="79"/>
      <c r="AC73" s="79"/>
      <c r="AD73" s="79"/>
      <c r="AE73" s="79"/>
    </row>
    <row r="74" spans="1:31" ht="16.5" x14ac:dyDescent="0.35">
      <c r="A74" s="71">
        <v>68</v>
      </c>
      <c r="B74" s="72">
        <v>2022222151</v>
      </c>
      <c r="C74" s="80" t="s">
        <v>785</v>
      </c>
      <c r="D74" s="81" t="s">
        <v>232</v>
      </c>
      <c r="E74" s="72" t="s">
        <v>758</v>
      </c>
      <c r="F74" s="76">
        <v>3</v>
      </c>
      <c r="G74" s="72" t="s">
        <v>1300</v>
      </c>
      <c r="H74" s="78">
        <v>45756</v>
      </c>
      <c r="I74" s="72" t="s">
        <v>1299</v>
      </c>
      <c r="J74" s="72">
        <v>7</v>
      </c>
      <c r="K74" s="72"/>
      <c r="L74" s="72" t="s">
        <v>1301</v>
      </c>
      <c r="M74" s="78">
        <v>45757</v>
      </c>
      <c r="N74" s="72" t="s">
        <v>1299</v>
      </c>
      <c r="O74" s="72">
        <v>9.5</v>
      </c>
      <c r="P74" s="72"/>
      <c r="Q74" s="72" t="s">
        <v>924</v>
      </c>
      <c r="R74" s="78">
        <v>45803</v>
      </c>
      <c r="S74" s="72" t="s">
        <v>1299</v>
      </c>
      <c r="T74" s="72">
        <v>8</v>
      </c>
      <c r="U74" s="72"/>
      <c r="V74" s="72"/>
      <c r="W74" s="72"/>
      <c r="X74" s="72"/>
      <c r="Y74" s="72"/>
      <c r="Z74" s="72"/>
      <c r="AA74" s="79"/>
      <c r="AB74" s="79"/>
      <c r="AC74" s="79"/>
      <c r="AD74" s="79"/>
      <c r="AE74" s="79"/>
    </row>
    <row r="75" spans="1:31" ht="16.5" x14ac:dyDescent="0.35">
      <c r="A75" s="71">
        <v>69</v>
      </c>
      <c r="B75" s="72">
        <v>2022222221</v>
      </c>
      <c r="C75" s="80" t="s">
        <v>786</v>
      </c>
      <c r="D75" s="81" t="s">
        <v>311</v>
      </c>
      <c r="E75" s="72" t="s">
        <v>758</v>
      </c>
      <c r="F75" s="76">
        <v>2</v>
      </c>
      <c r="G75" s="72" t="s">
        <v>1300</v>
      </c>
      <c r="H75" s="78">
        <v>45744</v>
      </c>
      <c r="I75" s="72" t="s">
        <v>1299</v>
      </c>
      <c r="J75" s="72">
        <v>8</v>
      </c>
      <c r="K75" s="72"/>
      <c r="L75" s="72" t="s">
        <v>924</v>
      </c>
      <c r="M75" s="78">
        <v>45776</v>
      </c>
      <c r="N75" s="72" t="s">
        <v>1299</v>
      </c>
      <c r="O75" s="72">
        <v>9.5</v>
      </c>
      <c r="P75" s="72"/>
      <c r="Q75" s="72"/>
      <c r="R75" s="78"/>
      <c r="S75" s="72"/>
      <c r="T75" s="72"/>
      <c r="U75" s="72"/>
      <c r="V75" s="72"/>
      <c r="W75" s="72"/>
      <c r="X75" s="72"/>
      <c r="Y75" s="72"/>
      <c r="Z75" s="72"/>
      <c r="AA75" s="79"/>
      <c r="AB75" s="79"/>
      <c r="AC75" s="79"/>
      <c r="AD75" s="79"/>
      <c r="AE75" s="79"/>
    </row>
    <row r="76" spans="1:31" ht="16.5" x14ac:dyDescent="0.35">
      <c r="A76" s="71">
        <v>70</v>
      </c>
      <c r="B76" s="72">
        <v>2022222260</v>
      </c>
      <c r="C76" s="80" t="s">
        <v>95</v>
      </c>
      <c r="D76" s="81" t="s">
        <v>202</v>
      </c>
      <c r="E76" s="72" t="s">
        <v>758</v>
      </c>
      <c r="F76" s="76">
        <v>5</v>
      </c>
      <c r="G76" s="72" t="s">
        <v>924</v>
      </c>
      <c r="H76" s="78">
        <v>45645</v>
      </c>
      <c r="I76" s="72" t="s">
        <v>1299</v>
      </c>
      <c r="J76" s="72">
        <v>6</v>
      </c>
      <c r="K76" s="72"/>
      <c r="L76" s="72" t="s">
        <v>1300</v>
      </c>
      <c r="M76" s="78">
        <v>45728</v>
      </c>
      <c r="N76" s="72" t="s">
        <v>1299</v>
      </c>
      <c r="O76" s="72">
        <v>8</v>
      </c>
      <c r="P76" s="72"/>
      <c r="Q76" s="72" t="s">
        <v>924</v>
      </c>
      <c r="R76" s="78">
        <v>45786</v>
      </c>
      <c r="S76" s="72" t="s">
        <v>1299</v>
      </c>
      <c r="T76" s="72">
        <v>8</v>
      </c>
      <c r="U76" s="72"/>
      <c r="V76" s="72" t="s">
        <v>928</v>
      </c>
      <c r="W76" s="78">
        <v>45800</v>
      </c>
      <c r="X76" s="72" t="s">
        <v>1299</v>
      </c>
      <c r="Y76" s="72">
        <v>9</v>
      </c>
      <c r="Z76" s="72"/>
      <c r="AA76" s="72" t="s">
        <v>1300</v>
      </c>
      <c r="AB76" s="78">
        <v>45631</v>
      </c>
      <c r="AC76" s="72" t="s">
        <v>1299</v>
      </c>
      <c r="AD76" s="79">
        <v>7.5</v>
      </c>
      <c r="AE76" s="79"/>
    </row>
    <row r="77" spans="1:31" ht="16.5" x14ac:dyDescent="0.35">
      <c r="A77" s="71">
        <v>71</v>
      </c>
      <c r="B77" s="72">
        <v>2022222480</v>
      </c>
      <c r="C77" s="80" t="s">
        <v>949</v>
      </c>
      <c r="D77" s="81" t="s">
        <v>58</v>
      </c>
      <c r="E77" s="72" t="s">
        <v>758</v>
      </c>
      <c r="F77" s="76">
        <v>0</v>
      </c>
      <c r="G77" s="72"/>
      <c r="H77" s="78"/>
      <c r="I77" s="72"/>
      <c r="J77" s="72"/>
      <c r="K77" s="72"/>
      <c r="L77" s="72"/>
      <c r="M77" s="72"/>
      <c r="N77" s="72"/>
      <c r="O77" s="72"/>
      <c r="P77" s="72"/>
      <c r="Q77" s="72"/>
      <c r="R77" s="78"/>
      <c r="S77" s="72"/>
      <c r="T77" s="72"/>
      <c r="U77" s="72"/>
      <c r="V77" s="72"/>
      <c r="W77" s="72"/>
      <c r="X77" s="72"/>
      <c r="Y77" s="72"/>
      <c r="Z77" s="72"/>
      <c r="AA77" s="79"/>
      <c r="AB77" s="79"/>
      <c r="AC77" s="79"/>
      <c r="AD77" s="79"/>
      <c r="AE77" s="79"/>
    </row>
    <row r="78" spans="1:31" ht="16.5" x14ac:dyDescent="0.35">
      <c r="A78" s="71">
        <v>72</v>
      </c>
      <c r="B78" s="72">
        <v>2022222474</v>
      </c>
      <c r="C78" s="80" t="s">
        <v>787</v>
      </c>
      <c r="D78" s="81" t="s">
        <v>58</v>
      </c>
      <c r="E78" s="72" t="s">
        <v>758</v>
      </c>
      <c r="F78" s="76">
        <v>3</v>
      </c>
      <c r="G78" s="72" t="s">
        <v>1300</v>
      </c>
      <c r="H78" s="78">
        <v>45749</v>
      </c>
      <c r="I78" s="72" t="s">
        <v>1299</v>
      </c>
      <c r="J78" s="72">
        <v>9.5</v>
      </c>
      <c r="K78" s="72"/>
      <c r="L78" s="72" t="s">
        <v>924</v>
      </c>
      <c r="M78" s="78">
        <v>45786</v>
      </c>
      <c r="N78" s="72" t="s">
        <v>1299</v>
      </c>
      <c r="O78" s="72">
        <v>9</v>
      </c>
      <c r="P78" s="72"/>
      <c r="Q78" s="72" t="s">
        <v>928</v>
      </c>
      <c r="R78" s="78">
        <v>45800</v>
      </c>
      <c r="S78" s="72" t="s">
        <v>1299</v>
      </c>
      <c r="T78" s="72">
        <v>9</v>
      </c>
      <c r="U78" s="72"/>
      <c r="V78" s="72"/>
      <c r="W78" s="72"/>
      <c r="X78" s="72"/>
      <c r="Y78" s="72"/>
      <c r="Z78" s="72"/>
      <c r="AA78" s="79"/>
      <c r="AB78" s="79"/>
      <c r="AC78" s="79"/>
      <c r="AD78" s="79"/>
      <c r="AE78" s="79"/>
    </row>
    <row r="79" spans="1:31" ht="16.5" x14ac:dyDescent="0.35">
      <c r="A79" s="71">
        <v>73</v>
      </c>
      <c r="B79" s="72">
        <v>2022222537</v>
      </c>
      <c r="C79" s="80" t="s">
        <v>788</v>
      </c>
      <c r="D79" s="81" t="s">
        <v>484</v>
      </c>
      <c r="E79" s="72" t="s">
        <v>758</v>
      </c>
      <c r="F79" s="76">
        <v>3</v>
      </c>
      <c r="G79" s="72" t="s">
        <v>1300</v>
      </c>
      <c r="H79" s="78">
        <v>45728</v>
      </c>
      <c r="I79" s="72" t="s">
        <v>1299</v>
      </c>
      <c r="J79" s="72">
        <v>8.5</v>
      </c>
      <c r="K79" s="72"/>
      <c r="L79" s="72" t="s">
        <v>1301</v>
      </c>
      <c r="M79" s="78">
        <v>45783</v>
      </c>
      <c r="N79" s="72" t="s">
        <v>1299</v>
      </c>
      <c r="O79" s="72">
        <v>9</v>
      </c>
      <c r="P79" s="72"/>
      <c r="Q79" s="72" t="s">
        <v>1300</v>
      </c>
      <c r="R79" s="78">
        <v>45448</v>
      </c>
      <c r="S79" s="72" t="s">
        <v>1299</v>
      </c>
      <c r="T79" s="72">
        <v>5</v>
      </c>
      <c r="U79" s="72"/>
      <c r="V79" s="72"/>
      <c r="W79" s="72"/>
      <c r="X79" s="72"/>
      <c r="Y79" s="72"/>
      <c r="Z79" s="72"/>
      <c r="AA79" s="79"/>
      <c r="AB79" s="79"/>
      <c r="AC79" s="79"/>
      <c r="AD79" s="79"/>
      <c r="AE79" s="79"/>
    </row>
    <row r="80" spans="1:31" ht="16.5" x14ac:dyDescent="0.35">
      <c r="A80" s="71">
        <v>74</v>
      </c>
      <c r="B80" s="72">
        <v>2022222669</v>
      </c>
      <c r="C80" s="80" t="s">
        <v>789</v>
      </c>
      <c r="D80" s="81" t="s">
        <v>790</v>
      </c>
      <c r="E80" s="72" t="s">
        <v>758</v>
      </c>
      <c r="F80" s="76">
        <v>2</v>
      </c>
      <c r="G80" s="72" t="s">
        <v>924</v>
      </c>
      <c r="H80" s="78">
        <v>45629</v>
      </c>
      <c r="I80" s="72" t="s">
        <v>1299</v>
      </c>
      <c r="J80" s="72">
        <v>8.5</v>
      </c>
      <c r="K80" s="72"/>
      <c r="L80" s="72" t="s">
        <v>1300</v>
      </c>
      <c r="M80" s="78">
        <v>45742</v>
      </c>
      <c r="N80" s="72" t="s">
        <v>1299</v>
      </c>
      <c r="O80" s="72">
        <v>8</v>
      </c>
      <c r="P80" s="72"/>
      <c r="Q80" s="72"/>
      <c r="R80" s="78"/>
      <c r="S80" s="72"/>
      <c r="T80" s="72"/>
      <c r="U80" s="72"/>
      <c r="V80" s="72"/>
      <c r="W80" s="72"/>
      <c r="X80" s="72"/>
      <c r="Y80" s="72"/>
      <c r="Z80" s="72"/>
      <c r="AA80" s="79"/>
      <c r="AB80" s="79"/>
      <c r="AC80" s="79"/>
      <c r="AD80" s="79"/>
      <c r="AE80" s="79"/>
    </row>
    <row r="81" spans="1:31" ht="16.5" x14ac:dyDescent="0.35">
      <c r="A81" s="71">
        <v>75</v>
      </c>
      <c r="B81" s="72">
        <v>2022222721</v>
      </c>
      <c r="C81" s="80" t="s">
        <v>791</v>
      </c>
      <c r="D81" s="81" t="s">
        <v>91</v>
      </c>
      <c r="E81" s="72" t="s">
        <v>758</v>
      </c>
      <c r="F81" s="76">
        <v>2</v>
      </c>
      <c r="G81" s="72" t="s">
        <v>1300</v>
      </c>
      <c r="H81" s="78">
        <v>45728</v>
      </c>
      <c r="I81" s="72" t="s">
        <v>1299</v>
      </c>
      <c r="J81" s="72">
        <v>9.5</v>
      </c>
      <c r="K81" s="72"/>
      <c r="L81" s="72" t="s">
        <v>924</v>
      </c>
      <c r="M81" s="78">
        <v>45787</v>
      </c>
      <c r="N81" s="72" t="s">
        <v>1299</v>
      </c>
      <c r="O81" s="72">
        <v>9.5</v>
      </c>
      <c r="P81" s="72"/>
      <c r="Q81" s="72"/>
      <c r="R81" s="78"/>
      <c r="S81" s="72"/>
      <c r="T81" s="72"/>
      <c r="U81" s="72"/>
      <c r="V81" s="72"/>
      <c r="W81" s="72"/>
      <c r="X81" s="72"/>
      <c r="Y81" s="72"/>
      <c r="Z81" s="79"/>
      <c r="AA81" s="79"/>
      <c r="AB81" s="79"/>
      <c r="AC81" s="79"/>
      <c r="AD81" s="79"/>
      <c r="AE81" s="79"/>
    </row>
    <row r="82" spans="1:31" ht="16.5" x14ac:dyDescent="0.35">
      <c r="A82" s="71">
        <v>76</v>
      </c>
      <c r="B82" s="72">
        <v>2022222838</v>
      </c>
      <c r="C82" s="80" t="s">
        <v>792</v>
      </c>
      <c r="D82" s="81" t="s">
        <v>362</v>
      </c>
      <c r="E82" s="72" t="s">
        <v>758</v>
      </c>
      <c r="F82" s="76">
        <v>2</v>
      </c>
      <c r="G82" s="72" t="s">
        <v>924</v>
      </c>
      <c r="H82" s="78">
        <v>45629</v>
      </c>
      <c r="I82" s="72" t="s">
        <v>1299</v>
      </c>
      <c r="J82" s="72">
        <v>8.5</v>
      </c>
      <c r="K82" s="72"/>
      <c r="L82" s="72" t="s">
        <v>1300</v>
      </c>
      <c r="M82" s="78">
        <v>45631</v>
      </c>
      <c r="N82" s="72" t="s">
        <v>1299</v>
      </c>
      <c r="O82" s="72">
        <v>9.5</v>
      </c>
      <c r="P82" s="72"/>
      <c r="Q82" s="72"/>
      <c r="R82" s="78"/>
      <c r="S82" s="72"/>
      <c r="T82" s="72"/>
      <c r="U82" s="72"/>
      <c r="V82" s="72"/>
      <c r="W82" s="72"/>
      <c r="X82" s="72"/>
      <c r="Y82" s="72"/>
      <c r="Z82" s="72"/>
      <c r="AA82" s="79"/>
      <c r="AB82" s="79"/>
      <c r="AC82" s="79"/>
      <c r="AD82" s="79"/>
      <c r="AE82" s="79"/>
    </row>
    <row r="83" spans="1:31" ht="16.5" x14ac:dyDescent="0.35">
      <c r="A83" s="71">
        <v>77</v>
      </c>
      <c r="B83" s="72">
        <v>2022222952</v>
      </c>
      <c r="C83" s="80" t="s">
        <v>95</v>
      </c>
      <c r="D83" s="81" t="s">
        <v>92</v>
      </c>
      <c r="E83" s="72" t="s">
        <v>758</v>
      </c>
      <c r="F83" s="76">
        <v>2</v>
      </c>
      <c r="G83" s="72" t="s">
        <v>1300</v>
      </c>
      <c r="H83" s="78">
        <v>45631</v>
      </c>
      <c r="I83" s="72" t="s">
        <v>1299</v>
      </c>
      <c r="J83" s="72">
        <v>7.5</v>
      </c>
      <c r="K83" s="72"/>
      <c r="L83" s="72" t="s">
        <v>924</v>
      </c>
      <c r="M83" s="78">
        <v>45786</v>
      </c>
      <c r="N83" s="72" t="s">
        <v>1299</v>
      </c>
      <c r="O83" s="72">
        <v>7</v>
      </c>
      <c r="P83" s="72"/>
      <c r="Q83" s="72"/>
      <c r="R83" s="78"/>
      <c r="S83" s="72"/>
      <c r="T83" s="72"/>
      <c r="U83" s="72"/>
      <c r="V83" s="72"/>
      <c r="W83" s="72"/>
      <c r="X83" s="72"/>
      <c r="Y83" s="72"/>
      <c r="Z83" s="72"/>
      <c r="AA83" s="79"/>
      <c r="AB83" s="79"/>
      <c r="AC83" s="79"/>
      <c r="AD83" s="79"/>
      <c r="AE83" s="79"/>
    </row>
    <row r="84" spans="1:31" ht="16.5" x14ac:dyDescent="0.35">
      <c r="A84" s="71">
        <v>78</v>
      </c>
      <c r="B84" s="72">
        <v>2022222956</v>
      </c>
      <c r="C84" s="80" t="s">
        <v>795</v>
      </c>
      <c r="D84" s="81" t="s">
        <v>92</v>
      </c>
      <c r="E84" s="72" t="s">
        <v>758</v>
      </c>
      <c r="F84" s="76">
        <v>2</v>
      </c>
      <c r="G84" s="72" t="s">
        <v>1300</v>
      </c>
      <c r="H84" s="78">
        <v>45721</v>
      </c>
      <c r="I84" s="72" t="s">
        <v>1299</v>
      </c>
      <c r="J84" s="72">
        <v>6.5</v>
      </c>
      <c r="K84" s="72"/>
      <c r="L84" s="72" t="s">
        <v>924</v>
      </c>
      <c r="M84" s="78">
        <v>45776</v>
      </c>
      <c r="N84" s="72" t="s">
        <v>1299</v>
      </c>
      <c r="O84" s="72">
        <v>6.5</v>
      </c>
      <c r="P84" s="72"/>
      <c r="Q84" s="72"/>
      <c r="R84" s="78"/>
      <c r="S84" s="72"/>
      <c r="T84" s="72"/>
      <c r="U84" s="72"/>
      <c r="V84" s="72"/>
      <c r="W84" s="72"/>
      <c r="X84" s="72"/>
      <c r="Y84" s="72"/>
      <c r="Z84" s="72"/>
      <c r="AA84" s="79"/>
      <c r="AB84" s="79"/>
      <c r="AC84" s="79"/>
      <c r="AD84" s="79"/>
      <c r="AE84" s="79"/>
    </row>
    <row r="85" spans="1:31" ht="16.5" x14ac:dyDescent="0.35">
      <c r="A85" s="71">
        <v>79</v>
      </c>
      <c r="B85" s="72">
        <v>2022222954</v>
      </c>
      <c r="C85" s="80" t="s">
        <v>221</v>
      </c>
      <c r="D85" s="81" t="s">
        <v>92</v>
      </c>
      <c r="E85" s="72" t="s">
        <v>758</v>
      </c>
      <c r="F85" s="76">
        <v>4</v>
      </c>
      <c r="G85" s="72" t="s">
        <v>925</v>
      </c>
      <c r="H85" s="78">
        <v>45405</v>
      </c>
      <c r="I85" s="72" t="s">
        <v>1299</v>
      </c>
      <c r="J85" s="72">
        <v>6</v>
      </c>
      <c r="K85" s="72"/>
      <c r="L85" s="72" t="s">
        <v>1300</v>
      </c>
      <c r="M85" s="78">
        <v>45728</v>
      </c>
      <c r="N85" s="72" t="s">
        <v>1299</v>
      </c>
      <c r="O85" s="72">
        <v>9</v>
      </c>
      <c r="P85" s="72"/>
      <c r="Q85" s="72" t="s">
        <v>924</v>
      </c>
      <c r="R85" s="78">
        <v>45786</v>
      </c>
      <c r="S85" s="72" t="s">
        <v>1299</v>
      </c>
      <c r="T85" s="72">
        <v>8.5</v>
      </c>
      <c r="U85" s="72"/>
      <c r="V85" s="72" t="s">
        <v>1300</v>
      </c>
      <c r="W85" s="78">
        <v>45471</v>
      </c>
      <c r="X85" s="72" t="s">
        <v>1299</v>
      </c>
      <c r="Y85" s="72">
        <v>5</v>
      </c>
      <c r="Z85" s="72"/>
      <c r="AA85" s="79"/>
      <c r="AB85" s="79"/>
      <c r="AC85" s="79"/>
      <c r="AD85" s="79"/>
      <c r="AE85" s="79"/>
    </row>
    <row r="86" spans="1:31" ht="16.5" x14ac:dyDescent="0.35">
      <c r="A86" s="71">
        <v>80</v>
      </c>
      <c r="B86" s="72">
        <v>2022222955</v>
      </c>
      <c r="C86" s="80" t="s">
        <v>793</v>
      </c>
      <c r="D86" s="81" t="s">
        <v>92</v>
      </c>
      <c r="E86" s="72" t="s">
        <v>758</v>
      </c>
      <c r="F86" s="76">
        <v>2</v>
      </c>
      <c r="G86" s="72" t="s">
        <v>1300</v>
      </c>
      <c r="H86" s="78">
        <v>45721</v>
      </c>
      <c r="I86" s="72" t="s">
        <v>1309</v>
      </c>
      <c r="J86" s="72">
        <v>7</v>
      </c>
      <c r="K86" s="72"/>
      <c r="L86" s="72" t="s">
        <v>924</v>
      </c>
      <c r="M86" s="78">
        <v>45776</v>
      </c>
      <c r="N86" s="72" t="s">
        <v>1299</v>
      </c>
      <c r="O86" s="72">
        <v>7</v>
      </c>
      <c r="P86" s="72"/>
      <c r="Q86" s="72"/>
      <c r="R86" s="78"/>
      <c r="S86" s="72"/>
      <c r="T86" s="72"/>
      <c r="U86" s="72"/>
      <c r="V86" s="72"/>
      <c r="W86" s="72"/>
      <c r="X86" s="72"/>
      <c r="Y86" s="72"/>
      <c r="Z86" s="72"/>
      <c r="AA86" s="79"/>
      <c r="AB86" s="79"/>
      <c r="AC86" s="79"/>
      <c r="AD86" s="79"/>
      <c r="AE86" s="79"/>
    </row>
    <row r="87" spans="1:31" ht="16.5" x14ac:dyDescent="0.35">
      <c r="A87" s="71">
        <v>81</v>
      </c>
      <c r="B87" s="72">
        <v>2022223013</v>
      </c>
      <c r="C87" s="80" t="s">
        <v>796</v>
      </c>
      <c r="D87" s="81" t="s">
        <v>241</v>
      </c>
      <c r="E87" s="72" t="s">
        <v>758</v>
      </c>
      <c r="F87" s="76">
        <v>3</v>
      </c>
      <c r="G87" s="72" t="s">
        <v>1300</v>
      </c>
      <c r="H87" s="78">
        <v>45721</v>
      </c>
      <c r="I87" s="72" t="s">
        <v>1299</v>
      </c>
      <c r="J87" s="72">
        <v>8</v>
      </c>
      <c r="K87" s="72"/>
      <c r="L87" s="72" t="s">
        <v>1301</v>
      </c>
      <c r="M87" s="78">
        <v>45785</v>
      </c>
      <c r="N87" s="72" t="s">
        <v>1299</v>
      </c>
      <c r="O87" s="72">
        <v>9.5</v>
      </c>
      <c r="P87" s="72"/>
      <c r="Q87" s="72" t="s">
        <v>924</v>
      </c>
      <c r="R87" s="78">
        <v>45798</v>
      </c>
      <c r="S87" s="72" t="s">
        <v>1299</v>
      </c>
      <c r="T87" s="72">
        <v>9</v>
      </c>
      <c r="U87" s="72">
        <v>0.5</v>
      </c>
      <c r="V87" s="72"/>
      <c r="W87" s="72"/>
      <c r="X87" s="72"/>
      <c r="Y87" s="72"/>
      <c r="Z87" s="72"/>
      <c r="AA87" s="79"/>
      <c r="AB87" s="79"/>
      <c r="AC87" s="79"/>
      <c r="AD87" s="79"/>
      <c r="AE87" s="79"/>
    </row>
    <row r="88" spans="1:31" ht="16.5" x14ac:dyDescent="0.35">
      <c r="A88" s="71">
        <v>82</v>
      </c>
      <c r="B88" s="72">
        <v>2022223101</v>
      </c>
      <c r="C88" s="80" t="s">
        <v>798</v>
      </c>
      <c r="D88" s="81" t="s">
        <v>51</v>
      </c>
      <c r="E88" s="72" t="s">
        <v>758</v>
      </c>
      <c r="F88" s="76">
        <v>2</v>
      </c>
      <c r="G88" s="72" t="s">
        <v>1300</v>
      </c>
      <c r="H88" s="78">
        <v>45749</v>
      </c>
      <c r="I88" s="72" t="s">
        <v>1299</v>
      </c>
      <c r="J88" s="72">
        <v>8</v>
      </c>
      <c r="K88" s="72"/>
      <c r="L88" s="72" t="s">
        <v>924</v>
      </c>
      <c r="M88" s="78">
        <v>45776</v>
      </c>
      <c r="N88" s="72" t="s">
        <v>1299</v>
      </c>
      <c r="O88" s="72">
        <v>9.5</v>
      </c>
      <c r="P88" s="72"/>
      <c r="Q88" s="72"/>
      <c r="R88" s="78"/>
      <c r="S88" s="72"/>
      <c r="T88" s="72"/>
      <c r="U88" s="72"/>
      <c r="V88" s="72"/>
      <c r="W88" s="72"/>
      <c r="X88" s="72"/>
      <c r="Y88" s="72"/>
      <c r="Z88" s="72"/>
      <c r="AA88" s="79"/>
      <c r="AB88" s="79"/>
      <c r="AC88" s="79"/>
      <c r="AD88" s="79"/>
      <c r="AE88" s="79"/>
    </row>
    <row r="89" spans="1:31" ht="16.5" x14ac:dyDescent="0.35">
      <c r="A89" s="71">
        <v>83</v>
      </c>
      <c r="B89" s="72">
        <v>2022223171</v>
      </c>
      <c r="C89" s="80" t="s">
        <v>800</v>
      </c>
      <c r="D89" s="81" t="s">
        <v>205</v>
      </c>
      <c r="E89" s="72" t="s">
        <v>758</v>
      </c>
      <c r="F89" s="76">
        <v>2</v>
      </c>
      <c r="G89" s="72" t="s">
        <v>1300</v>
      </c>
      <c r="H89" s="78">
        <v>45749</v>
      </c>
      <c r="I89" s="72" t="s">
        <v>1299</v>
      </c>
      <c r="J89" s="72">
        <v>8</v>
      </c>
      <c r="K89" s="72"/>
      <c r="L89" s="72" t="s">
        <v>924</v>
      </c>
      <c r="M89" s="78">
        <v>45776</v>
      </c>
      <c r="N89" s="72" t="s">
        <v>1299</v>
      </c>
      <c r="O89" s="72">
        <v>9</v>
      </c>
      <c r="P89" s="72"/>
      <c r="Q89" s="72"/>
      <c r="R89" s="78"/>
      <c r="S89" s="72"/>
      <c r="T89" s="72"/>
      <c r="U89" s="72"/>
      <c r="V89" s="72"/>
      <c r="W89" s="72"/>
      <c r="X89" s="72"/>
      <c r="Y89" s="72"/>
      <c r="Z89" s="72"/>
      <c r="AA89" s="79"/>
      <c r="AB89" s="79"/>
      <c r="AC89" s="79"/>
      <c r="AD89" s="79"/>
      <c r="AE89" s="79"/>
    </row>
    <row r="90" spans="1:31" ht="16.5" x14ac:dyDescent="0.35">
      <c r="A90" s="71">
        <v>84</v>
      </c>
      <c r="B90" s="72">
        <v>2022223260</v>
      </c>
      <c r="C90" s="80" t="s">
        <v>801</v>
      </c>
      <c r="D90" s="81" t="s">
        <v>367</v>
      </c>
      <c r="E90" s="72" t="s">
        <v>758</v>
      </c>
      <c r="F90" s="76">
        <v>3</v>
      </c>
      <c r="G90" s="72" t="s">
        <v>925</v>
      </c>
      <c r="H90" s="78">
        <v>45356</v>
      </c>
      <c r="I90" s="72" t="s">
        <v>1299</v>
      </c>
      <c r="J90" s="72">
        <v>3</v>
      </c>
      <c r="K90" s="72"/>
      <c r="L90" s="72" t="s">
        <v>928</v>
      </c>
      <c r="M90" s="78">
        <v>45800</v>
      </c>
      <c r="N90" s="72" t="s">
        <v>1299</v>
      </c>
      <c r="O90" s="72">
        <v>8</v>
      </c>
      <c r="P90" s="72"/>
      <c r="Q90" s="72" t="s">
        <v>924</v>
      </c>
      <c r="R90" s="78">
        <v>45803</v>
      </c>
      <c r="S90" s="72" t="s">
        <v>1299</v>
      </c>
      <c r="T90" s="72">
        <v>8.5</v>
      </c>
      <c r="U90" s="72"/>
      <c r="V90" s="72"/>
      <c r="W90" s="72"/>
      <c r="X90" s="72"/>
      <c r="Y90" s="72"/>
      <c r="Z90" s="72"/>
      <c r="AA90" s="79"/>
      <c r="AB90" s="79"/>
      <c r="AC90" s="79"/>
      <c r="AD90" s="79"/>
      <c r="AE90" s="79"/>
    </row>
    <row r="91" spans="1:31" ht="16.5" x14ac:dyDescent="0.35">
      <c r="A91" s="71">
        <v>85</v>
      </c>
      <c r="B91" s="72">
        <v>2022223251</v>
      </c>
      <c r="C91" s="80" t="s">
        <v>146</v>
      </c>
      <c r="D91" s="81" t="s">
        <v>367</v>
      </c>
      <c r="E91" s="72" t="s">
        <v>758</v>
      </c>
      <c r="F91" s="76">
        <v>3</v>
      </c>
      <c r="G91" s="72" t="s">
        <v>1300</v>
      </c>
      <c r="H91" s="78">
        <v>45721</v>
      </c>
      <c r="I91" s="72" t="s">
        <v>1299</v>
      </c>
      <c r="J91" s="72">
        <v>8</v>
      </c>
      <c r="K91" s="72"/>
      <c r="L91" s="72" t="s">
        <v>1301</v>
      </c>
      <c r="M91" s="78">
        <v>45785</v>
      </c>
      <c r="N91" s="72" t="s">
        <v>1299</v>
      </c>
      <c r="O91" s="72">
        <v>9.5</v>
      </c>
      <c r="P91" s="72"/>
      <c r="Q91" s="72" t="s">
        <v>924</v>
      </c>
      <c r="R91" s="78">
        <v>45798</v>
      </c>
      <c r="S91" s="72" t="s">
        <v>1299</v>
      </c>
      <c r="T91" s="72">
        <v>9</v>
      </c>
      <c r="U91" s="72">
        <v>0.5</v>
      </c>
      <c r="V91" s="72"/>
      <c r="W91" s="72"/>
      <c r="X91" s="72"/>
      <c r="Y91" s="72"/>
      <c r="Z91" s="72"/>
      <c r="AA91" s="79"/>
      <c r="AB91" s="79"/>
      <c r="AC91" s="79"/>
      <c r="AD91" s="79"/>
      <c r="AE91" s="79"/>
    </row>
    <row r="92" spans="1:31" ht="16.5" x14ac:dyDescent="0.35">
      <c r="A92" s="71">
        <v>86</v>
      </c>
      <c r="B92" s="72">
        <v>2022223409</v>
      </c>
      <c r="C92" s="80" t="s">
        <v>802</v>
      </c>
      <c r="D92" s="81" t="s">
        <v>76</v>
      </c>
      <c r="E92" s="72" t="s">
        <v>758</v>
      </c>
      <c r="F92" s="76">
        <v>4</v>
      </c>
      <c r="G92" s="72" t="s">
        <v>1300</v>
      </c>
      <c r="H92" s="78">
        <v>45471</v>
      </c>
      <c r="I92" s="72" t="s">
        <v>1299</v>
      </c>
      <c r="J92" s="72">
        <v>7.5</v>
      </c>
      <c r="K92" s="72"/>
      <c r="L92" s="72" t="s">
        <v>925</v>
      </c>
      <c r="M92" s="78">
        <v>45356</v>
      </c>
      <c r="N92" s="72" t="s">
        <v>1299</v>
      </c>
      <c r="O92" s="72">
        <v>8.5</v>
      </c>
      <c r="P92" s="72"/>
      <c r="Q92" s="72" t="s">
        <v>1300</v>
      </c>
      <c r="R92" s="78">
        <v>45791</v>
      </c>
      <c r="S92" s="72" t="s">
        <v>1299</v>
      </c>
      <c r="T92" s="72">
        <v>8</v>
      </c>
      <c r="U92" s="72"/>
      <c r="V92" s="72" t="s">
        <v>924</v>
      </c>
      <c r="W92" s="78">
        <v>45803</v>
      </c>
      <c r="X92" s="72" t="s">
        <v>1299</v>
      </c>
      <c r="Y92" s="72">
        <v>8</v>
      </c>
      <c r="Z92" s="72"/>
      <c r="AA92" s="79"/>
      <c r="AB92" s="79"/>
      <c r="AC92" s="79"/>
      <c r="AD92" s="79"/>
      <c r="AE92" s="79"/>
    </row>
    <row r="93" spans="1:31" ht="16.5" x14ac:dyDescent="0.35">
      <c r="A93" s="71">
        <v>87</v>
      </c>
      <c r="B93" s="72">
        <v>2022223453</v>
      </c>
      <c r="C93" s="80" t="s">
        <v>578</v>
      </c>
      <c r="D93" s="81" t="s">
        <v>803</v>
      </c>
      <c r="E93" s="72" t="s">
        <v>758</v>
      </c>
      <c r="F93" s="76">
        <v>2</v>
      </c>
      <c r="G93" s="72" t="s">
        <v>1300</v>
      </c>
      <c r="H93" s="78">
        <v>45631</v>
      </c>
      <c r="I93" s="72" t="s">
        <v>1299</v>
      </c>
      <c r="J93" s="72">
        <v>8</v>
      </c>
      <c r="K93" s="72"/>
      <c r="L93" s="72" t="s">
        <v>924</v>
      </c>
      <c r="M93" s="78">
        <v>45776</v>
      </c>
      <c r="N93" s="72" t="s">
        <v>1299</v>
      </c>
      <c r="O93" s="72">
        <v>9.5</v>
      </c>
      <c r="P93" s="72"/>
      <c r="Q93" s="72"/>
      <c r="R93" s="78"/>
      <c r="S93" s="72"/>
      <c r="T93" s="72"/>
      <c r="U93" s="72"/>
      <c r="V93" s="72"/>
      <c r="W93" s="72"/>
      <c r="X93" s="72"/>
      <c r="Y93" s="72"/>
      <c r="Z93" s="72"/>
      <c r="AA93" s="79"/>
      <c r="AB93" s="79"/>
      <c r="AC93" s="79"/>
      <c r="AD93" s="79"/>
      <c r="AE93" s="79"/>
    </row>
    <row r="94" spans="1:31" ht="16.5" x14ac:dyDescent="0.35">
      <c r="A94" s="71">
        <v>88</v>
      </c>
      <c r="B94" s="72">
        <v>2022223529</v>
      </c>
      <c r="C94" s="80" t="s">
        <v>93</v>
      </c>
      <c r="D94" s="81" t="s">
        <v>318</v>
      </c>
      <c r="E94" s="72" t="s">
        <v>758</v>
      </c>
      <c r="F94" s="76">
        <v>4</v>
      </c>
      <c r="G94" s="72" t="s">
        <v>1300</v>
      </c>
      <c r="H94" s="78">
        <v>45471</v>
      </c>
      <c r="I94" s="72" t="s">
        <v>1299</v>
      </c>
      <c r="J94" s="72">
        <v>6</v>
      </c>
      <c r="K94" s="72"/>
      <c r="L94" s="72" t="s">
        <v>1300</v>
      </c>
      <c r="M94" s="78">
        <v>45631</v>
      </c>
      <c r="N94" s="72" t="s">
        <v>1299</v>
      </c>
      <c r="O94" s="72">
        <v>7</v>
      </c>
      <c r="P94" s="72"/>
      <c r="Q94" s="72" t="s">
        <v>925</v>
      </c>
      <c r="R94" s="78">
        <v>45356</v>
      </c>
      <c r="S94" s="72" t="s">
        <v>1299</v>
      </c>
      <c r="T94" s="72">
        <v>8.5</v>
      </c>
      <c r="U94" s="72"/>
      <c r="V94" s="72" t="s">
        <v>925</v>
      </c>
      <c r="W94" s="78">
        <v>45797</v>
      </c>
      <c r="X94" s="72" t="s">
        <v>1299</v>
      </c>
      <c r="Y94" s="72">
        <v>8.5</v>
      </c>
      <c r="Z94" s="72"/>
      <c r="AA94" s="79"/>
      <c r="AB94" s="79"/>
      <c r="AC94" s="79"/>
      <c r="AD94" s="79"/>
      <c r="AE94" s="79"/>
    </row>
    <row r="95" spans="1:31" ht="16.5" x14ac:dyDescent="0.35">
      <c r="A95" s="71">
        <v>89</v>
      </c>
      <c r="B95" s="72">
        <v>2022223634</v>
      </c>
      <c r="C95" s="80" t="s">
        <v>804</v>
      </c>
      <c r="D95" s="81" t="s">
        <v>303</v>
      </c>
      <c r="E95" s="72" t="s">
        <v>758</v>
      </c>
      <c r="F95" s="76">
        <v>2</v>
      </c>
      <c r="G95" s="72" t="s">
        <v>1300</v>
      </c>
      <c r="H95" s="78">
        <v>45744</v>
      </c>
      <c r="I95" s="72" t="s">
        <v>1299</v>
      </c>
      <c r="J95" s="72">
        <v>7.5</v>
      </c>
      <c r="K95" s="72"/>
      <c r="L95" s="72" t="s">
        <v>1301</v>
      </c>
      <c r="M95" s="78">
        <v>45785</v>
      </c>
      <c r="N95" s="72" t="s">
        <v>1299</v>
      </c>
      <c r="O95" s="72">
        <v>9</v>
      </c>
      <c r="P95" s="72"/>
      <c r="Q95" s="72"/>
      <c r="R95" s="78"/>
      <c r="S95" s="72"/>
      <c r="T95" s="72"/>
      <c r="U95" s="72"/>
      <c r="V95" s="72"/>
      <c r="W95" s="72"/>
      <c r="X95" s="72"/>
      <c r="Y95" s="72"/>
      <c r="Z95" s="72"/>
      <c r="AA95" s="79"/>
      <c r="AB95" s="79"/>
      <c r="AC95" s="79"/>
      <c r="AD95" s="79"/>
      <c r="AE95" s="79"/>
    </row>
    <row r="96" spans="1:31" ht="16.5" x14ac:dyDescent="0.35">
      <c r="A96" s="71">
        <v>90</v>
      </c>
      <c r="B96" s="72">
        <v>2022223957</v>
      </c>
      <c r="C96" s="80" t="s">
        <v>825</v>
      </c>
      <c r="D96" s="81" t="s">
        <v>750</v>
      </c>
      <c r="E96" s="72" t="s">
        <v>758</v>
      </c>
      <c r="F96" s="76">
        <v>4</v>
      </c>
      <c r="G96" s="72" t="s">
        <v>1300</v>
      </c>
      <c r="H96" s="78">
        <v>45756</v>
      </c>
      <c r="I96" s="72" t="s">
        <v>1299</v>
      </c>
      <c r="J96" s="72">
        <v>7</v>
      </c>
      <c r="K96" s="72"/>
      <c r="L96" s="72" t="s">
        <v>1300</v>
      </c>
      <c r="M96" s="78">
        <v>45791</v>
      </c>
      <c r="N96" s="72" t="s">
        <v>1299</v>
      </c>
      <c r="O96" s="72">
        <v>8</v>
      </c>
      <c r="P96" s="72"/>
      <c r="Q96" s="72" t="s">
        <v>925</v>
      </c>
      <c r="R96" s="78">
        <v>45797</v>
      </c>
      <c r="S96" s="72" t="s">
        <v>1299</v>
      </c>
      <c r="T96" s="72">
        <v>9</v>
      </c>
      <c r="U96" s="72"/>
      <c r="V96" s="72" t="s">
        <v>928</v>
      </c>
      <c r="W96" s="78">
        <v>45800</v>
      </c>
      <c r="X96" s="72" t="s">
        <v>1299</v>
      </c>
      <c r="Y96" s="72">
        <v>9.5</v>
      </c>
      <c r="Z96" s="72"/>
      <c r="AA96" s="79"/>
      <c r="AB96" s="79"/>
      <c r="AC96" s="79"/>
      <c r="AD96" s="79"/>
      <c r="AE96" s="79"/>
    </row>
    <row r="97" spans="1:31" ht="16.5" x14ac:dyDescent="0.35">
      <c r="A97" s="71">
        <v>91</v>
      </c>
      <c r="B97" s="72">
        <v>2022224110</v>
      </c>
      <c r="C97" s="80" t="s">
        <v>699</v>
      </c>
      <c r="D97" s="81" t="s">
        <v>65</v>
      </c>
      <c r="E97" s="72" t="s">
        <v>758</v>
      </c>
      <c r="F97" s="76">
        <v>4</v>
      </c>
      <c r="G97" s="72" t="s">
        <v>1300</v>
      </c>
      <c r="H97" s="78">
        <v>45721</v>
      </c>
      <c r="I97" s="72" t="s">
        <v>1299</v>
      </c>
      <c r="J97" s="72">
        <v>7.5</v>
      </c>
      <c r="K97" s="72"/>
      <c r="L97" s="72" t="s">
        <v>1301</v>
      </c>
      <c r="M97" s="78">
        <v>45757</v>
      </c>
      <c r="N97" s="72" t="s">
        <v>1299</v>
      </c>
      <c r="O97" s="72">
        <v>9</v>
      </c>
      <c r="P97" s="72"/>
      <c r="Q97" s="72" t="s">
        <v>928</v>
      </c>
      <c r="R97" s="78">
        <v>45800</v>
      </c>
      <c r="S97" s="72" t="s">
        <v>1299</v>
      </c>
      <c r="T97" s="72">
        <v>8.5</v>
      </c>
      <c r="U97" s="72"/>
      <c r="V97" s="72" t="s">
        <v>924</v>
      </c>
      <c r="W97" s="78">
        <v>45776</v>
      </c>
      <c r="X97" s="72" t="s">
        <v>1299</v>
      </c>
      <c r="Y97" s="72">
        <v>8.5</v>
      </c>
      <c r="Z97" s="72"/>
      <c r="AA97" s="79"/>
      <c r="AB97" s="79"/>
      <c r="AC97" s="79"/>
      <c r="AD97" s="79"/>
      <c r="AE97" s="79"/>
    </row>
    <row r="98" spans="1:31" ht="16.5" x14ac:dyDescent="0.35">
      <c r="A98" s="71">
        <v>92</v>
      </c>
      <c r="B98" s="72">
        <v>2022224187</v>
      </c>
      <c r="C98" s="80" t="s">
        <v>806</v>
      </c>
      <c r="D98" s="81" t="s">
        <v>807</v>
      </c>
      <c r="E98" s="72" t="s">
        <v>758</v>
      </c>
      <c r="F98" s="76">
        <v>2</v>
      </c>
      <c r="G98" s="72" t="s">
        <v>1300</v>
      </c>
      <c r="H98" s="78">
        <v>45728</v>
      </c>
      <c r="I98" s="72" t="s">
        <v>1299</v>
      </c>
      <c r="J98" s="72">
        <v>9</v>
      </c>
      <c r="K98" s="72"/>
      <c r="L98" s="72" t="s">
        <v>924</v>
      </c>
      <c r="M98" s="78">
        <v>45776</v>
      </c>
      <c r="N98" s="72" t="s">
        <v>1299</v>
      </c>
      <c r="O98" s="72">
        <v>8.5</v>
      </c>
      <c r="P98" s="72"/>
      <c r="Q98" s="72"/>
      <c r="R98" s="78"/>
      <c r="S98" s="72"/>
      <c r="T98" s="72"/>
      <c r="U98" s="72"/>
      <c r="V98" s="72"/>
      <c r="W98" s="72"/>
      <c r="X98" s="72"/>
      <c r="Y98" s="72"/>
      <c r="Z98" s="72"/>
      <c r="AA98" s="79"/>
      <c r="AB98" s="79"/>
      <c r="AC98" s="79"/>
      <c r="AD98" s="79"/>
      <c r="AE98" s="79"/>
    </row>
    <row r="99" spans="1:31" ht="16.5" x14ac:dyDescent="0.35">
      <c r="A99" s="71">
        <v>93</v>
      </c>
      <c r="B99" s="72">
        <v>2022224567</v>
      </c>
      <c r="C99" s="80" t="s">
        <v>816</v>
      </c>
      <c r="D99" s="81" t="s">
        <v>817</v>
      </c>
      <c r="E99" s="72" t="s">
        <v>758</v>
      </c>
      <c r="F99" s="76">
        <v>3</v>
      </c>
      <c r="G99" s="72" t="s">
        <v>1300</v>
      </c>
      <c r="H99" s="78">
        <v>45749</v>
      </c>
      <c r="I99" s="86" t="s">
        <v>1299</v>
      </c>
      <c r="J99" s="72">
        <v>9.5</v>
      </c>
      <c r="K99" s="72"/>
      <c r="L99" s="72" t="s">
        <v>924</v>
      </c>
      <c r="M99" s="78">
        <v>45798</v>
      </c>
      <c r="N99" s="72" t="s">
        <v>1299</v>
      </c>
      <c r="O99" s="72">
        <v>8</v>
      </c>
      <c r="P99" s="72"/>
      <c r="Q99" s="72" t="s">
        <v>928</v>
      </c>
      <c r="R99" s="78">
        <v>45800</v>
      </c>
      <c r="S99" s="72" t="s">
        <v>1299</v>
      </c>
      <c r="T99" s="72">
        <v>9</v>
      </c>
      <c r="U99" s="72"/>
      <c r="V99" s="72"/>
      <c r="W99" s="72"/>
      <c r="X99" s="72"/>
      <c r="Y99" s="72"/>
      <c r="Z99" s="72"/>
      <c r="AA99" s="79"/>
      <c r="AB99" s="79"/>
      <c r="AC99" s="79"/>
      <c r="AD99" s="79"/>
      <c r="AE99" s="79"/>
    </row>
    <row r="100" spans="1:31" ht="16.5" x14ac:dyDescent="0.35">
      <c r="A100" s="71">
        <v>94</v>
      </c>
      <c r="B100" s="72">
        <v>2022224892</v>
      </c>
      <c r="C100" s="80" t="s">
        <v>808</v>
      </c>
      <c r="D100" s="81" t="s">
        <v>304</v>
      </c>
      <c r="E100" s="72" t="s">
        <v>758</v>
      </c>
      <c r="F100" s="76">
        <v>3</v>
      </c>
      <c r="G100" s="72" t="s">
        <v>1300</v>
      </c>
      <c r="H100" s="78">
        <v>45721</v>
      </c>
      <c r="I100" s="72" t="s">
        <v>1299</v>
      </c>
      <c r="J100" s="72">
        <v>8.5</v>
      </c>
      <c r="K100" s="72"/>
      <c r="L100" s="72" t="s">
        <v>1301</v>
      </c>
      <c r="M100" s="78">
        <v>45757</v>
      </c>
      <c r="N100" s="72" t="s">
        <v>1299</v>
      </c>
      <c r="O100" s="72">
        <v>9.5</v>
      </c>
      <c r="P100" s="72"/>
      <c r="Q100" s="72" t="s">
        <v>924</v>
      </c>
      <c r="R100" s="78">
        <v>45787</v>
      </c>
      <c r="S100" s="72" t="s">
        <v>1299</v>
      </c>
      <c r="T100" s="72">
        <v>9.5</v>
      </c>
      <c r="U100" s="72">
        <v>0.5</v>
      </c>
      <c r="V100" s="72"/>
      <c r="W100" s="72"/>
      <c r="X100" s="72"/>
      <c r="Y100" s="72"/>
      <c r="Z100" s="72"/>
      <c r="AA100" s="79"/>
      <c r="AB100" s="79"/>
      <c r="AC100" s="79"/>
      <c r="AD100" s="79"/>
      <c r="AE100" s="79"/>
    </row>
    <row r="101" spans="1:31" ht="16.5" x14ac:dyDescent="0.35">
      <c r="A101" s="71">
        <v>95</v>
      </c>
      <c r="B101" s="72">
        <v>2022225134</v>
      </c>
      <c r="C101" s="80" t="s">
        <v>812</v>
      </c>
      <c r="D101" s="81" t="s">
        <v>515</v>
      </c>
      <c r="E101" s="72" t="s">
        <v>758</v>
      </c>
      <c r="F101" s="76">
        <v>2</v>
      </c>
      <c r="G101" s="72" t="s">
        <v>1300</v>
      </c>
      <c r="H101" s="78">
        <v>45631</v>
      </c>
      <c r="I101" s="72" t="s">
        <v>1299</v>
      </c>
      <c r="J101" s="72">
        <v>9</v>
      </c>
      <c r="K101" s="72"/>
      <c r="L101" s="72" t="s">
        <v>924</v>
      </c>
      <c r="M101" s="78">
        <v>45776</v>
      </c>
      <c r="N101" s="72" t="s">
        <v>1299</v>
      </c>
      <c r="O101" s="72">
        <v>9.5</v>
      </c>
      <c r="P101" s="72"/>
      <c r="Q101" s="72"/>
      <c r="R101" s="78"/>
      <c r="S101" s="72"/>
      <c r="T101" s="72"/>
      <c r="U101" s="72"/>
      <c r="V101" s="72"/>
      <c r="W101" s="72"/>
      <c r="X101" s="72"/>
      <c r="Y101" s="72"/>
      <c r="Z101" s="72"/>
      <c r="AA101" s="79"/>
      <c r="AB101" s="79"/>
      <c r="AC101" s="79"/>
      <c r="AD101" s="79"/>
      <c r="AE101" s="79"/>
    </row>
    <row r="102" spans="1:31" ht="16.5" x14ac:dyDescent="0.35">
      <c r="A102" s="71">
        <v>96</v>
      </c>
      <c r="B102" s="72">
        <v>2022225251</v>
      </c>
      <c r="C102" s="80" t="s">
        <v>810</v>
      </c>
      <c r="D102" s="81" t="s">
        <v>123</v>
      </c>
      <c r="E102" s="72" t="s">
        <v>758</v>
      </c>
      <c r="F102" s="76">
        <v>2</v>
      </c>
      <c r="G102" s="72" t="s">
        <v>1300</v>
      </c>
      <c r="H102" s="78">
        <v>45728</v>
      </c>
      <c r="I102" s="72" t="s">
        <v>1299</v>
      </c>
      <c r="J102" s="72">
        <v>8.5</v>
      </c>
      <c r="K102" s="72"/>
      <c r="L102" s="72" t="s">
        <v>924</v>
      </c>
      <c r="M102" s="78">
        <v>45776</v>
      </c>
      <c r="N102" s="72" t="s">
        <v>1299</v>
      </c>
      <c r="O102" s="72">
        <v>9</v>
      </c>
      <c r="P102" s="72"/>
      <c r="Q102" s="72"/>
      <c r="R102" s="78"/>
      <c r="S102" s="72"/>
      <c r="T102" s="72"/>
      <c r="U102" s="72"/>
      <c r="V102" s="72"/>
      <c r="W102" s="72"/>
      <c r="X102" s="72"/>
      <c r="Y102" s="72"/>
      <c r="Z102" s="72"/>
      <c r="AA102" s="79"/>
      <c r="AB102" s="79"/>
      <c r="AC102" s="79"/>
      <c r="AD102" s="79"/>
      <c r="AE102" s="79"/>
    </row>
    <row r="103" spans="1:31" ht="16.5" x14ac:dyDescent="0.35">
      <c r="A103" s="71">
        <v>97</v>
      </c>
      <c r="B103" s="72">
        <v>2022225257</v>
      </c>
      <c r="C103" s="80" t="s">
        <v>958</v>
      </c>
      <c r="D103" s="81" t="s">
        <v>123</v>
      </c>
      <c r="E103" s="72" t="s">
        <v>758</v>
      </c>
      <c r="F103" s="76">
        <v>0</v>
      </c>
      <c r="G103" s="72"/>
      <c r="H103" s="78"/>
      <c r="I103" s="72"/>
      <c r="J103" s="72"/>
      <c r="K103" s="72"/>
      <c r="L103" s="72"/>
      <c r="M103" s="78"/>
      <c r="N103" s="72"/>
      <c r="O103" s="72"/>
      <c r="P103" s="72"/>
      <c r="Q103" s="72"/>
      <c r="R103" s="78"/>
      <c r="S103" s="72"/>
      <c r="T103" s="72"/>
      <c r="U103" s="72"/>
      <c r="V103" s="72"/>
      <c r="W103" s="72"/>
      <c r="X103" s="72"/>
      <c r="Y103" s="72"/>
      <c r="Z103" s="72"/>
      <c r="AA103" s="79"/>
      <c r="AB103" s="79"/>
      <c r="AC103" s="79"/>
      <c r="AD103" s="79"/>
      <c r="AE103" s="79"/>
    </row>
    <row r="104" spans="1:31" ht="16.5" x14ac:dyDescent="0.35">
      <c r="A104" s="71">
        <v>98</v>
      </c>
      <c r="B104" s="72">
        <v>2022225466</v>
      </c>
      <c r="C104" s="80" t="s">
        <v>814</v>
      </c>
      <c r="D104" s="81" t="s">
        <v>138</v>
      </c>
      <c r="E104" s="72" t="s">
        <v>758</v>
      </c>
      <c r="F104" s="76">
        <v>2</v>
      </c>
      <c r="G104" s="72" t="s">
        <v>1301</v>
      </c>
      <c r="H104" s="78">
        <v>45629</v>
      </c>
      <c r="I104" s="72" t="s">
        <v>1299</v>
      </c>
      <c r="J104" s="72">
        <v>7</v>
      </c>
      <c r="K104" s="72"/>
      <c r="L104" s="72" t="s">
        <v>925</v>
      </c>
      <c r="M104" s="78">
        <v>45757</v>
      </c>
      <c r="N104" s="72" t="s">
        <v>1299</v>
      </c>
      <c r="O104" s="72">
        <v>7.5</v>
      </c>
      <c r="P104" s="72"/>
      <c r="Q104" s="72"/>
      <c r="R104" s="78"/>
      <c r="S104" s="72"/>
      <c r="T104" s="72"/>
      <c r="U104" s="72"/>
      <c r="V104" s="72"/>
      <c r="W104" s="72"/>
      <c r="X104" s="72"/>
      <c r="Y104" s="72"/>
      <c r="Z104" s="72"/>
      <c r="AA104" s="79"/>
      <c r="AB104" s="79"/>
      <c r="AC104" s="79"/>
      <c r="AD104" s="79"/>
      <c r="AE104" s="79"/>
    </row>
    <row r="105" spans="1:31" ht="16.5" x14ac:dyDescent="0.35">
      <c r="A105" s="71">
        <v>99</v>
      </c>
      <c r="B105" s="72">
        <v>2022225607</v>
      </c>
      <c r="C105" s="80" t="s">
        <v>815</v>
      </c>
      <c r="D105" s="81" t="s">
        <v>115</v>
      </c>
      <c r="E105" s="72" t="s">
        <v>758</v>
      </c>
      <c r="F105" s="76">
        <v>2</v>
      </c>
      <c r="G105" s="72" t="s">
        <v>1300</v>
      </c>
      <c r="H105" s="78">
        <v>45631</v>
      </c>
      <c r="I105" s="72" t="s">
        <v>1299</v>
      </c>
      <c r="J105" s="72">
        <v>9</v>
      </c>
      <c r="K105" s="72"/>
      <c r="L105" s="72" t="s">
        <v>924</v>
      </c>
      <c r="M105" s="78">
        <v>45776</v>
      </c>
      <c r="N105" s="72" t="s">
        <v>1299</v>
      </c>
      <c r="O105" s="72">
        <v>9.5</v>
      </c>
      <c r="P105" s="72"/>
      <c r="Q105" s="72"/>
      <c r="R105" s="78"/>
      <c r="S105" s="72"/>
      <c r="T105" s="72"/>
      <c r="U105" s="72"/>
      <c r="V105" s="72"/>
      <c r="W105" s="72"/>
      <c r="X105" s="72"/>
      <c r="Y105" s="72"/>
      <c r="Z105" s="72"/>
      <c r="AA105" s="79"/>
      <c r="AB105" s="79"/>
      <c r="AC105" s="79"/>
      <c r="AD105" s="79"/>
      <c r="AE105" s="79"/>
    </row>
    <row r="106" spans="1:31" ht="16.5" x14ac:dyDescent="0.35">
      <c r="A106" s="71">
        <v>100</v>
      </c>
      <c r="B106" s="72">
        <v>2022225798</v>
      </c>
      <c r="C106" s="80" t="s">
        <v>818</v>
      </c>
      <c r="D106" s="81" t="s">
        <v>262</v>
      </c>
      <c r="E106" s="72" t="s">
        <v>758</v>
      </c>
      <c r="F106" s="76">
        <v>2</v>
      </c>
      <c r="G106" s="72" t="s">
        <v>1300</v>
      </c>
      <c r="H106" s="78">
        <v>45471</v>
      </c>
      <c r="I106" s="72" t="s">
        <v>1299</v>
      </c>
      <c r="J106" s="72">
        <v>9.5</v>
      </c>
      <c r="K106" s="72"/>
      <c r="L106" s="72" t="s">
        <v>924</v>
      </c>
      <c r="M106" s="78">
        <v>45787</v>
      </c>
      <c r="N106" s="72" t="s">
        <v>1299</v>
      </c>
      <c r="O106" s="72">
        <v>9</v>
      </c>
      <c r="P106" s="72"/>
      <c r="Q106" s="72"/>
      <c r="R106" s="72"/>
      <c r="S106" s="72" t="s">
        <v>1290</v>
      </c>
      <c r="T106" s="72" t="s">
        <v>1290</v>
      </c>
      <c r="U106" s="72"/>
      <c r="V106" s="72"/>
      <c r="W106" s="72"/>
      <c r="X106" s="72"/>
      <c r="Y106" s="72"/>
      <c r="Z106" s="72"/>
      <c r="AA106" s="79"/>
      <c r="AB106" s="79"/>
      <c r="AC106" s="79"/>
      <c r="AD106" s="79"/>
      <c r="AE106" s="79"/>
    </row>
    <row r="107" spans="1:31" ht="16.5" x14ac:dyDescent="0.35">
      <c r="A107" s="71">
        <v>101</v>
      </c>
      <c r="B107" s="72">
        <v>2022225891</v>
      </c>
      <c r="C107" s="80" t="s">
        <v>819</v>
      </c>
      <c r="D107" s="81" t="s">
        <v>820</v>
      </c>
      <c r="E107" s="72" t="s">
        <v>758</v>
      </c>
      <c r="F107" s="76">
        <v>5</v>
      </c>
      <c r="G107" s="72" t="s">
        <v>924</v>
      </c>
      <c r="H107" s="78">
        <v>45637</v>
      </c>
      <c r="I107" s="72" t="s">
        <v>1299</v>
      </c>
      <c r="J107" s="72">
        <v>6</v>
      </c>
      <c r="K107" s="72"/>
      <c r="L107" s="79" t="s">
        <v>925</v>
      </c>
      <c r="M107" s="83">
        <v>45356</v>
      </c>
      <c r="N107" s="79" t="s">
        <v>1299</v>
      </c>
      <c r="O107" s="79">
        <v>8.5</v>
      </c>
      <c r="P107" s="72"/>
      <c r="Q107" s="72" t="s">
        <v>1300</v>
      </c>
      <c r="R107" s="78">
        <v>45728</v>
      </c>
      <c r="S107" s="72" t="s">
        <v>1299</v>
      </c>
      <c r="T107" s="72">
        <v>8.5</v>
      </c>
      <c r="U107" s="72"/>
      <c r="V107" s="72" t="s">
        <v>1300</v>
      </c>
      <c r="W107" s="78">
        <v>45471</v>
      </c>
      <c r="X107" s="72" t="s">
        <v>1299</v>
      </c>
      <c r="Y107" s="87">
        <v>5</v>
      </c>
      <c r="Z107" s="72"/>
      <c r="AA107" s="79" t="s">
        <v>1300</v>
      </c>
      <c r="AB107" s="83">
        <v>45448</v>
      </c>
      <c r="AC107" s="79" t="s">
        <v>1299</v>
      </c>
      <c r="AD107" s="79">
        <v>3.5</v>
      </c>
      <c r="AE107" s="79"/>
    </row>
    <row r="108" spans="1:31" ht="16.5" x14ac:dyDescent="0.35">
      <c r="A108" s="71">
        <v>102</v>
      </c>
      <c r="B108" s="72">
        <v>2022226009</v>
      </c>
      <c r="C108" s="80" t="s">
        <v>435</v>
      </c>
      <c r="D108" s="81" t="s">
        <v>56</v>
      </c>
      <c r="E108" s="72" t="s">
        <v>758</v>
      </c>
      <c r="F108" s="76">
        <v>2</v>
      </c>
      <c r="G108" s="72" t="s">
        <v>1300</v>
      </c>
      <c r="H108" s="78">
        <v>45721</v>
      </c>
      <c r="I108" s="72" t="s">
        <v>1299</v>
      </c>
      <c r="J108" s="72">
        <v>8</v>
      </c>
      <c r="K108" s="72"/>
      <c r="L108" s="72" t="s">
        <v>924</v>
      </c>
      <c r="M108" s="78">
        <v>45787</v>
      </c>
      <c r="N108" s="72" t="s">
        <v>1299</v>
      </c>
      <c r="O108" s="72">
        <v>9.5</v>
      </c>
      <c r="P108" s="72"/>
      <c r="Q108" s="72"/>
      <c r="R108" s="78"/>
      <c r="S108" s="72"/>
      <c r="T108" s="72"/>
      <c r="U108" s="72"/>
      <c r="V108" s="72"/>
      <c r="W108" s="72"/>
      <c r="X108" s="72"/>
      <c r="Y108" s="72"/>
      <c r="Z108" s="72"/>
      <c r="AA108" s="79"/>
      <c r="AB108" s="79"/>
      <c r="AC108" s="79"/>
      <c r="AD108" s="79"/>
      <c r="AE108" s="79"/>
    </row>
    <row r="109" spans="1:31" ht="16.5" x14ac:dyDescent="0.35">
      <c r="A109" s="71">
        <v>103</v>
      </c>
      <c r="B109" s="72">
        <v>2022226028</v>
      </c>
      <c r="C109" s="80" t="s">
        <v>341</v>
      </c>
      <c r="D109" s="81" t="s">
        <v>56</v>
      </c>
      <c r="E109" s="72" t="s">
        <v>758</v>
      </c>
      <c r="F109" s="76">
        <v>2</v>
      </c>
      <c r="G109" s="72" t="s">
        <v>1300</v>
      </c>
      <c r="H109" s="78">
        <v>45644</v>
      </c>
      <c r="I109" s="72" t="s">
        <v>1299</v>
      </c>
      <c r="J109" s="72">
        <v>6.5</v>
      </c>
      <c r="K109" s="72"/>
      <c r="L109" s="72" t="s">
        <v>1301</v>
      </c>
      <c r="M109" s="78">
        <v>45783</v>
      </c>
      <c r="N109" s="72" t="s">
        <v>1299</v>
      </c>
      <c r="O109" s="79">
        <v>8.5</v>
      </c>
      <c r="P109" s="72"/>
      <c r="Q109" s="72"/>
      <c r="R109" s="72"/>
      <c r="S109" s="72"/>
      <c r="T109" s="72"/>
      <c r="U109" s="79"/>
      <c r="V109" s="79"/>
      <c r="W109" s="79"/>
      <c r="X109" s="79"/>
      <c r="Y109" s="79"/>
      <c r="Z109" s="72"/>
      <c r="AA109" s="79"/>
      <c r="AB109" s="79"/>
      <c r="AC109" s="79"/>
      <c r="AD109" s="79"/>
      <c r="AE109" s="79"/>
    </row>
    <row r="110" spans="1:31" ht="16.5" x14ac:dyDescent="0.35">
      <c r="A110" s="71">
        <v>104</v>
      </c>
      <c r="B110" s="72">
        <v>2022226039</v>
      </c>
      <c r="C110" s="80" t="s">
        <v>530</v>
      </c>
      <c r="D110" s="81" t="s">
        <v>56</v>
      </c>
      <c r="E110" s="72" t="s">
        <v>758</v>
      </c>
      <c r="F110" s="76">
        <v>2</v>
      </c>
      <c r="G110" s="72" t="s">
        <v>1301</v>
      </c>
      <c r="H110" s="78">
        <v>45757</v>
      </c>
      <c r="I110" s="72" t="s">
        <v>1299</v>
      </c>
      <c r="J110" s="72">
        <v>9.5</v>
      </c>
      <c r="K110" s="72"/>
      <c r="L110" s="72" t="s">
        <v>924</v>
      </c>
      <c r="M110" s="78">
        <v>45787</v>
      </c>
      <c r="N110" s="72" t="s">
        <v>1299</v>
      </c>
      <c r="O110" s="72">
        <v>9</v>
      </c>
      <c r="P110" s="72"/>
      <c r="Q110" s="72"/>
      <c r="R110" s="78"/>
      <c r="S110" s="72"/>
      <c r="T110" s="72"/>
      <c r="U110" s="72"/>
      <c r="V110" s="72"/>
      <c r="W110" s="72"/>
      <c r="X110" s="72"/>
      <c r="Y110" s="72"/>
      <c r="Z110" s="72"/>
      <c r="AA110" s="79"/>
      <c r="AB110" s="79"/>
      <c r="AC110" s="79"/>
      <c r="AD110" s="79"/>
      <c r="AE110" s="79"/>
    </row>
    <row r="111" spans="1:31" ht="16.5" x14ac:dyDescent="0.35">
      <c r="A111" s="71">
        <v>105</v>
      </c>
      <c r="B111" s="72">
        <v>2022226018</v>
      </c>
      <c r="C111" s="80" t="s">
        <v>184</v>
      </c>
      <c r="D111" s="81" t="s">
        <v>56</v>
      </c>
      <c r="E111" s="72" t="s">
        <v>758</v>
      </c>
      <c r="F111" s="76">
        <v>2</v>
      </c>
      <c r="G111" s="72" t="s">
        <v>1300</v>
      </c>
      <c r="H111" s="78">
        <v>45631</v>
      </c>
      <c r="I111" s="72" t="s">
        <v>1299</v>
      </c>
      <c r="J111" s="72">
        <v>8</v>
      </c>
      <c r="K111" s="72"/>
      <c r="L111" s="72" t="s">
        <v>924</v>
      </c>
      <c r="M111" s="78">
        <v>45776</v>
      </c>
      <c r="N111" s="72" t="s">
        <v>1299</v>
      </c>
      <c r="O111" s="72">
        <v>9</v>
      </c>
      <c r="P111" s="72"/>
      <c r="Q111" s="72"/>
      <c r="R111" s="78"/>
      <c r="S111" s="72"/>
      <c r="T111" s="72"/>
      <c r="U111" s="72"/>
      <c r="V111" s="72"/>
      <c r="W111" s="72"/>
      <c r="X111" s="72"/>
      <c r="Y111" s="72"/>
      <c r="Z111" s="72"/>
      <c r="AA111" s="79"/>
      <c r="AB111" s="79"/>
      <c r="AC111" s="79"/>
      <c r="AD111" s="79"/>
      <c r="AE111" s="79"/>
    </row>
    <row r="112" spans="1:31" ht="16.5" x14ac:dyDescent="0.35">
      <c r="A112" s="71">
        <v>106</v>
      </c>
      <c r="B112" s="72">
        <v>2022226027</v>
      </c>
      <c r="C112" s="80" t="s">
        <v>822</v>
      </c>
      <c r="D112" s="81" t="s">
        <v>56</v>
      </c>
      <c r="E112" s="72" t="s">
        <v>758</v>
      </c>
      <c r="F112" s="76">
        <v>2</v>
      </c>
      <c r="G112" s="72" t="s">
        <v>1301</v>
      </c>
      <c r="H112" s="78">
        <v>45757</v>
      </c>
      <c r="I112" s="72" t="s">
        <v>1299</v>
      </c>
      <c r="J112" s="72">
        <v>9.5</v>
      </c>
      <c r="K112" s="72"/>
      <c r="L112" s="72" t="s">
        <v>924</v>
      </c>
      <c r="M112" s="78">
        <v>45787</v>
      </c>
      <c r="N112" s="72" t="s">
        <v>1299</v>
      </c>
      <c r="O112" s="72">
        <v>9.5</v>
      </c>
      <c r="P112" s="72"/>
      <c r="Q112" s="72"/>
      <c r="R112" s="78"/>
      <c r="S112" s="72"/>
      <c r="T112" s="72"/>
      <c r="U112" s="72"/>
      <c r="V112" s="72"/>
      <c r="W112" s="72"/>
      <c r="X112" s="72"/>
      <c r="Y112" s="72"/>
      <c r="Z112" s="72"/>
      <c r="AA112" s="79"/>
      <c r="AB112" s="79"/>
      <c r="AC112" s="79"/>
      <c r="AD112" s="79"/>
      <c r="AE112" s="79"/>
    </row>
    <row r="113" spans="1:31" ht="16.5" x14ac:dyDescent="0.35">
      <c r="A113" s="71">
        <v>107</v>
      </c>
      <c r="B113" s="72">
        <v>2022226088</v>
      </c>
      <c r="C113" s="80" t="s">
        <v>297</v>
      </c>
      <c r="D113" s="81" t="s">
        <v>24</v>
      </c>
      <c r="E113" s="72" t="s">
        <v>758</v>
      </c>
      <c r="F113" s="76">
        <v>4</v>
      </c>
      <c r="G113" s="72" t="s">
        <v>1300</v>
      </c>
      <c r="H113" s="78">
        <v>45728</v>
      </c>
      <c r="I113" s="72" t="s">
        <v>1299</v>
      </c>
      <c r="J113" s="72">
        <v>8.5</v>
      </c>
      <c r="K113" s="72"/>
      <c r="L113" s="72" t="s">
        <v>924</v>
      </c>
      <c r="M113" s="78">
        <v>45798</v>
      </c>
      <c r="N113" s="72" t="s">
        <v>1299</v>
      </c>
      <c r="O113" s="72">
        <v>8</v>
      </c>
      <c r="P113" s="72"/>
      <c r="Q113" s="72" t="s">
        <v>928</v>
      </c>
      <c r="R113" s="78">
        <v>45800</v>
      </c>
      <c r="S113" s="72" t="s">
        <v>1299</v>
      </c>
      <c r="T113" s="72">
        <v>8.5</v>
      </c>
      <c r="U113" s="72"/>
      <c r="V113" s="72" t="s">
        <v>1300</v>
      </c>
      <c r="W113" s="78">
        <v>45448</v>
      </c>
      <c r="X113" s="72" t="s">
        <v>1299</v>
      </c>
      <c r="Y113" s="72">
        <v>5</v>
      </c>
      <c r="Z113" s="72"/>
      <c r="AA113" s="79"/>
      <c r="AB113" s="79"/>
      <c r="AC113" s="79"/>
      <c r="AD113" s="79"/>
      <c r="AE113" s="79"/>
    </row>
    <row r="114" spans="1:31" ht="16.5" x14ac:dyDescent="0.35">
      <c r="A114" s="71">
        <v>108</v>
      </c>
      <c r="B114" s="72">
        <v>2022220369</v>
      </c>
      <c r="C114" s="80" t="s">
        <v>826</v>
      </c>
      <c r="D114" s="81" t="s">
        <v>827</v>
      </c>
      <c r="E114" s="72" t="s">
        <v>468</v>
      </c>
      <c r="F114" s="76">
        <v>2</v>
      </c>
      <c r="G114" s="72" t="s">
        <v>924</v>
      </c>
      <c r="H114" s="78">
        <v>45623</v>
      </c>
      <c r="I114" s="72" t="s">
        <v>1299</v>
      </c>
      <c r="J114" s="72">
        <v>8</v>
      </c>
      <c r="K114" s="72"/>
      <c r="L114" s="72" t="s">
        <v>1300</v>
      </c>
      <c r="M114" s="78">
        <v>45784</v>
      </c>
      <c r="N114" s="72" t="s">
        <v>1299</v>
      </c>
      <c r="O114" s="72">
        <v>9</v>
      </c>
      <c r="P114" s="72"/>
      <c r="Q114" s="72"/>
      <c r="R114" s="78"/>
      <c r="S114" s="72"/>
      <c r="T114" s="72"/>
      <c r="U114" s="72"/>
      <c r="V114" s="72"/>
      <c r="W114" s="72"/>
      <c r="X114" s="72"/>
      <c r="Y114" s="72"/>
      <c r="Z114" s="72"/>
      <c r="AA114" s="79"/>
      <c r="AB114" s="79"/>
      <c r="AC114" s="79"/>
      <c r="AD114" s="79"/>
      <c r="AE114" s="79"/>
    </row>
    <row r="115" spans="1:31" ht="16.5" x14ac:dyDescent="0.35">
      <c r="A115" s="71">
        <v>109</v>
      </c>
      <c r="B115" s="72">
        <v>2022220508</v>
      </c>
      <c r="C115" s="80" t="s">
        <v>746</v>
      </c>
      <c r="D115" s="81" t="s">
        <v>539</v>
      </c>
      <c r="E115" s="72" t="s">
        <v>468</v>
      </c>
      <c r="F115" s="76">
        <v>3</v>
      </c>
      <c r="G115" s="72" t="s">
        <v>1301</v>
      </c>
      <c r="H115" s="78">
        <v>45630</v>
      </c>
      <c r="I115" s="72" t="s">
        <v>1299</v>
      </c>
      <c r="J115" s="72">
        <v>7</v>
      </c>
      <c r="K115" s="72"/>
      <c r="L115" s="72" t="s">
        <v>1300</v>
      </c>
      <c r="M115" s="78">
        <v>45728</v>
      </c>
      <c r="N115" s="72" t="s">
        <v>1299</v>
      </c>
      <c r="O115" s="72">
        <v>7</v>
      </c>
      <c r="P115" s="72"/>
      <c r="Q115" s="72" t="s">
        <v>925</v>
      </c>
      <c r="R115" s="78">
        <v>45757</v>
      </c>
      <c r="S115" s="72" t="s">
        <v>1299</v>
      </c>
      <c r="T115" s="72">
        <v>8.5</v>
      </c>
      <c r="U115" s="72"/>
      <c r="V115" s="72"/>
      <c r="W115" s="72"/>
      <c r="X115" s="72"/>
      <c r="Y115" s="72"/>
      <c r="Z115" s="72"/>
      <c r="AA115" s="79"/>
      <c r="AB115" s="79"/>
      <c r="AC115" s="79"/>
      <c r="AD115" s="79"/>
      <c r="AE115" s="79"/>
    </row>
    <row r="116" spans="1:31" ht="16.5" x14ac:dyDescent="0.35">
      <c r="A116" s="71">
        <v>110</v>
      </c>
      <c r="B116" s="72">
        <v>2022220505</v>
      </c>
      <c r="C116" s="80" t="s">
        <v>829</v>
      </c>
      <c r="D116" s="81" t="s">
        <v>539</v>
      </c>
      <c r="E116" s="72" t="s">
        <v>468</v>
      </c>
      <c r="F116" s="76">
        <v>2</v>
      </c>
      <c r="G116" s="72" t="s">
        <v>1301</v>
      </c>
      <c r="H116" s="78">
        <v>45630</v>
      </c>
      <c r="I116" s="72" t="s">
        <v>1299</v>
      </c>
      <c r="J116" s="72">
        <v>6.5</v>
      </c>
      <c r="K116" s="72"/>
      <c r="L116" s="72" t="s">
        <v>1300</v>
      </c>
      <c r="M116" s="78">
        <v>45728</v>
      </c>
      <c r="N116" s="72" t="s">
        <v>1299</v>
      </c>
      <c r="O116" s="72">
        <v>5</v>
      </c>
      <c r="P116" s="72"/>
      <c r="Q116" s="72"/>
      <c r="R116" s="78"/>
      <c r="S116" s="72"/>
      <c r="T116" s="72"/>
      <c r="U116" s="72"/>
      <c r="V116" s="72"/>
      <c r="W116" s="72"/>
      <c r="X116" s="72"/>
      <c r="Y116" s="72"/>
      <c r="Z116" s="72"/>
      <c r="AA116" s="79"/>
      <c r="AB116" s="79"/>
      <c r="AC116" s="79"/>
      <c r="AD116" s="79"/>
      <c r="AE116" s="79"/>
    </row>
    <row r="117" spans="1:31" ht="16.5" x14ac:dyDescent="0.35">
      <c r="A117" s="71">
        <v>111</v>
      </c>
      <c r="B117" s="72">
        <v>2022220553</v>
      </c>
      <c r="C117" s="80" t="s">
        <v>830</v>
      </c>
      <c r="D117" s="81" t="s">
        <v>831</v>
      </c>
      <c r="E117" s="72" t="s">
        <v>468</v>
      </c>
      <c r="F117" s="76">
        <v>2</v>
      </c>
      <c r="G117" s="72" t="s">
        <v>1300</v>
      </c>
      <c r="H117" s="78">
        <v>45644</v>
      </c>
      <c r="I117" s="72" t="s">
        <v>1299</v>
      </c>
      <c r="J117" s="72">
        <v>6.5</v>
      </c>
      <c r="K117" s="72"/>
      <c r="L117" s="72" t="s">
        <v>1301</v>
      </c>
      <c r="M117" s="78">
        <v>45757</v>
      </c>
      <c r="N117" s="72" t="s">
        <v>1299</v>
      </c>
      <c r="O117" s="72">
        <v>7.5</v>
      </c>
      <c r="P117" s="72"/>
      <c r="Q117" s="72"/>
      <c r="R117" s="78"/>
      <c r="S117" s="72"/>
      <c r="T117" s="72"/>
      <c r="U117" s="72"/>
      <c r="V117" s="72"/>
      <c r="W117" s="72"/>
      <c r="X117" s="72"/>
      <c r="Y117" s="72"/>
      <c r="Z117" s="72"/>
      <c r="AA117" s="79"/>
      <c r="AB117" s="79"/>
      <c r="AC117" s="79"/>
      <c r="AD117" s="79"/>
      <c r="AE117" s="79"/>
    </row>
    <row r="118" spans="1:31" ht="16.5" x14ac:dyDescent="0.35">
      <c r="A118" s="71">
        <v>112</v>
      </c>
      <c r="B118" s="72">
        <v>2022220787</v>
      </c>
      <c r="C118" s="80" t="s">
        <v>832</v>
      </c>
      <c r="D118" s="81" t="s">
        <v>84</v>
      </c>
      <c r="E118" s="72" t="s">
        <v>468</v>
      </c>
      <c r="F118" s="76">
        <v>2</v>
      </c>
      <c r="G118" s="72" t="s">
        <v>1300</v>
      </c>
      <c r="H118" s="78">
        <v>45784</v>
      </c>
      <c r="I118" s="72" t="s">
        <v>1299</v>
      </c>
      <c r="J118" s="72">
        <v>8.5</v>
      </c>
      <c r="K118" s="72"/>
      <c r="L118" s="72" t="s">
        <v>1301</v>
      </c>
      <c r="M118" s="78">
        <v>45783</v>
      </c>
      <c r="N118" s="72" t="s">
        <v>1299</v>
      </c>
      <c r="O118" s="72">
        <v>9</v>
      </c>
      <c r="P118" s="72"/>
      <c r="Q118" s="72"/>
      <c r="R118" s="78"/>
      <c r="S118" s="72"/>
      <c r="T118" s="72"/>
      <c r="U118" s="72"/>
      <c r="V118" s="72"/>
      <c r="W118" s="72"/>
      <c r="X118" s="72"/>
      <c r="Y118" s="72"/>
      <c r="Z118" s="72"/>
      <c r="AA118" s="79"/>
      <c r="AB118" s="79"/>
      <c r="AC118" s="79"/>
      <c r="AD118" s="79"/>
      <c r="AE118" s="79"/>
    </row>
    <row r="119" spans="1:31" ht="16.5" x14ac:dyDescent="0.35">
      <c r="A119" s="71">
        <v>113</v>
      </c>
      <c r="B119" s="72">
        <v>2022221184</v>
      </c>
      <c r="C119" s="80" t="s">
        <v>963</v>
      </c>
      <c r="D119" s="81" t="s">
        <v>75</v>
      </c>
      <c r="E119" s="72" t="s">
        <v>468</v>
      </c>
      <c r="F119" s="76">
        <v>0</v>
      </c>
      <c r="G119" s="72"/>
      <c r="H119" s="78"/>
      <c r="I119" s="72"/>
      <c r="J119" s="72"/>
      <c r="K119" s="72"/>
      <c r="L119" s="72"/>
      <c r="M119" s="72"/>
      <c r="N119" s="72"/>
      <c r="O119" s="72"/>
      <c r="P119" s="72"/>
      <c r="Q119" s="72"/>
      <c r="R119" s="78"/>
      <c r="S119" s="72"/>
      <c r="T119" s="72"/>
      <c r="U119" s="72"/>
      <c r="V119" s="72"/>
      <c r="W119" s="72"/>
      <c r="X119" s="72"/>
      <c r="Y119" s="72"/>
      <c r="Z119" s="72"/>
      <c r="AA119" s="79"/>
      <c r="AB119" s="79"/>
      <c r="AC119" s="79"/>
      <c r="AD119" s="79"/>
      <c r="AE119" s="79"/>
    </row>
    <row r="120" spans="1:31" ht="16.5" x14ac:dyDescent="0.35">
      <c r="A120" s="71">
        <v>114</v>
      </c>
      <c r="B120" s="72">
        <v>2022221183</v>
      </c>
      <c r="C120" s="80" t="s">
        <v>965</v>
      </c>
      <c r="D120" s="81" t="s">
        <v>75</v>
      </c>
      <c r="E120" s="72" t="s">
        <v>468</v>
      </c>
      <c r="F120" s="76">
        <v>0</v>
      </c>
      <c r="G120" s="72"/>
      <c r="H120" s="78"/>
      <c r="I120" s="72"/>
      <c r="J120" s="72"/>
      <c r="K120" s="72"/>
      <c r="L120" s="72"/>
      <c r="M120" s="72"/>
      <c r="N120" s="72"/>
      <c r="O120" s="72"/>
      <c r="P120" s="72"/>
      <c r="Q120" s="72"/>
      <c r="R120" s="78"/>
      <c r="S120" s="72"/>
      <c r="T120" s="72"/>
      <c r="U120" s="72"/>
      <c r="V120" s="72"/>
      <c r="W120" s="72"/>
      <c r="X120" s="72"/>
      <c r="Y120" s="72"/>
      <c r="Z120" s="72"/>
      <c r="AA120" s="79"/>
      <c r="AB120" s="79"/>
      <c r="AC120" s="79"/>
      <c r="AD120" s="79"/>
      <c r="AE120" s="79"/>
    </row>
    <row r="121" spans="1:31" ht="16.5" x14ac:dyDescent="0.35">
      <c r="A121" s="71">
        <v>115</v>
      </c>
      <c r="B121" s="72">
        <v>2022221204</v>
      </c>
      <c r="C121" s="80" t="s">
        <v>474</v>
      </c>
      <c r="D121" s="81" t="s">
        <v>475</v>
      </c>
      <c r="E121" s="72" t="s">
        <v>468</v>
      </c>
      <c r="F121" s="76">
        <v>2</v>
      </c>
      <c r="G121" s="72" t="s">
        <v>1300</v>
      </c>
      <c r="H121" s="78">
        <v>45721</v>
      </c>
      <c r="I121" s="72" t="s">
        <v>1299</v>
      </c>
      <c r="J121" s="72">
        <v>8</v>
      </c>
      <c r="K121" s="72"/>
      <c r="L121" s="72" t="s">
        <v>1301</v>
      </c>
      <c r="M121" s="78">
        <v>45785</v>
      </c>
      <c r="N121" s="72" t="s">
        <v>1299</v>
      </c>
      <c r="O121" s="72">
        <v>9</v>
      </c>
      <c r="P121" s="72"/>
      <c r="Q121" s="72"/>
      <c r="R121" s="78"/>
      <c r="S121" s="72"/>
      <c r="T121" s="72"/>
      <c r="U121" s="72"/>
      <c r="V121" s="72"/>
      <c r="W121" s="72"/>
      <c r="X121" s="72"/>
      <c r="Y121" s="72"/>
      <c r="Z121" s="72"/>
      <c r="AA121" s="79"/>
      <c r="AB121" s="79"/>
      <c r="AC121" s="79"/>
      <c r="AD121" s="79"/>
      <c r="AE121" s="79"/>
    </row>
    <row r="122" spans="1:31" ht="16.5" x14ac:dyDescent="0.35">
      <c r="A122" s="71">
        <v>116</v>
      </c>
      <c r="B122" s="72">
        <v>2022221306</v>
      </c>
      <c r="C122" s="80" t="s">
        <v>267</v>
      </c>
      <c r="D122" s="81" t="s">
        <v>172</v>
      </c>
      <c r="E122" s="72" t="s">
        <v>468</v>
      </c>
      <c r="F122" s="76">
        <v>2</v>
      </c>
      <c r="G122" s="72" t="s">
        <v>1300</v>
      </c>
      <c r="H122" s="78">
        <v>45737</v>
      </c>
      <c r="I122" s="72" t="s">
        <v>1299</v>
      </c>
      <c r="J122" s="72">
        <v>8.5</v>
      </c>
      <c r="K122" s="72">
        <v>0.5</v>
      </c>
      <c r="L122" s="72" t="s">
        <v>925</v>
      </c>
      <c r="M122" s="78">
        <v>45797</v>
      </c>
      <c r="N122" s="72" t="s">
        <v>1299</v>
      </c>
      <c r="O122" s="72">
        <v>8</v>
      </c>
      <c r="P122" s="72"/>
      <c r="Q122" s="72"/>
      <c r="R122" s="78"/>
      <c r="S122" s="72"/>
      <c r="T122" s="72"/>
      <c r="U122" s="72"/>
      <c r="V122" s="72"/>
      <c r="W122" s="72"/>
      <c r="X122" s="72"/>
      <c r="Y122" s="72"/>
      <c r="Z122" s="72"/>
      <c r="AA122" s="79"/>
      <c r="AB122" s="79"/>
      <c r="AC122" s="79"/>
      <c r="AD122" s="79"/>
      <c r="AE122" s="79"/>
    </row>
    <row r="123" spans="1:31" ht="16.5" x14ac:dyDescent="0.35">
      <c r="A123" s="71">
        <v>117</v>
      </c>
      <c r="B123" s="72">
        <v>2022221305</v>
      </c>
      <c r="C123" s="80" t="s">
        <v>471</v>
      </c>
      <c r="D123" s="81" t="s">
        <v>172</v>
      </c>
      <c r="E123" s="72" t="s">
        <v>468</v>
      </c>
      <c r="F123" s="76">
        <v>2</v>
      </c>
      <c r="G123" s="72" t="s">
        <v>1300</v>
      </c>
      <c r="H123" s="78">
        <v>45737</v>
      </c>
      <c r="I123" s="72" t="s">
        <v>1299</v>
      </c>
      <c r="J123" s="72">
        <v>7</v>
      </c>
      <c r="K123" s="72">
        <v>0.5</v>
      </c>
      <c r="L123" s="72" t="s">
        <v>928</v>
      </c>
      <c r="M123" s="78">
        <v>45800</v>
      </c>
      <c r="N123" s="72" t="s">
        <v>1299</v>
      </c>
      <c r="O123" s="72">
        <v>9</v>
      </c>
      <c r="P123" s="72"/>
      <c r="Q123" s="72"/>
      <c r="R123" s="78"/>
      <c r="S123" s="72"/>
      <c r="T123" s="72"/>
      <c r="U123" s="72"/>
      <c r="V123" s="72"/>
      <c r="W123" s="72"/>
      <c r="X123" s="72"/>
      <c r="Y123" s="72"/>
      <c r="Z123" s="72"/>
      <c r="AA123" s="79"/>
      <c r="AB123" s="79"/>
      <c r="AC123" s="79"/>
      <c r="AD123" s="79"/>
      <c r="AE123" s="79"/>
    </row>
    <row r="124" spans="1:31" ht="16.5" x14ac:dyDescent="0.35">
      <c r="A124" s="71">
        <v>118</v>
      </c>
      <c r="B124" s="72">
        <v>2022221296</v>
      </c>
      <c r="C124" s="80" t="s">
        <v>473</v>
      </c>
      <c r="D124" s="81" t="s">
        <v>172</v>
      </c>
      <c r="E124" s="72" t="s">
        <v>468</v>
      </c>
      <c r="F124" s="76">
        <v>2</v>
      </c>
      <c r="G124" s="72" t="s">
        <v>1301</v>
      </c>
      <c r="H124" s="78">
        <v>45630</v>
      </c>
      <c r="I124" s="72" t="s">
        <v>1299</v>
      </c>
      <c r="J124" s="72">
        <v>9</v>
      </c>
      <c r="K124" s="72"/>
      <c r="L124" s="72" t="s">
        <v>924</v>
      </c>
      <c r="M124" s="78">
        <v>45637</v>
      </c>
      <c r="N124" s="72" t="s">
        <v>1299</v>
      </c>
      <c r="O124" s="72">
        <v>9</v>
      </c>
      <c r="P124" s="72"/>
      <c r="Q124" s="72"/>
      <c r="R124" s="78"/>
      <c r="S124" s="72"/>
      <c r="T124" s="72"/>
      <c r="U124" s="72"/>
      <c r="V124" s="72"/>
      <c r="W124" s="72"/>
      <c r="X124" s="72"/>
      <c r="Y124" s="72"/>
      <c r="Z124" s="72"/>
      <c r="AA124" s="79"/>
      <c r="AB124" s="79"/>
      <c r="AC124" s="79"/>
      <c r="AD124" s="79"/>
      <c r="AE124" s="79"/>
    </row>
    <row r="125" spans="1:31" ht="16.5" x14ac:dyDescent="0.35">
      <c r="A125" s="71">
        <v>119</v>
      </c>
      <c r="B125" s="72">
        <v>2022221374</v>
      </c>
      <c r="C125" s="80" t="s">
        <v>467</v>
      </c>
      <c r="D125" s="81" t="s">
        <v>105</v>
      </c>
      <c r="E125" s="72" t="s">
        <v>468</v>
      </c>
      <c r="F125" s="76">
        <v>3</v>
      </c>
      <c r="G125" s="72" t="s">
        <v>1300</v>
      </c>
      <c r="H125" s="78">
        <v>45471</v>
      </c>
      <c r="I125" s="72" t="s">
        <v>1299</v>
      </c>
      <c r="J125" s="72">
        <v>5</v>
      </c>
      <c r="K125" s="72"/>
      <c r="L125" s="72" t="s">
        <v>925</v>
      </c>
      <c r="M125" s="78">
        <v>45797</v>
      </c>
      <c r="N125" s="72" t="s">
        <v>1299</v>
      </c>
      <c r="O125" s="72">
        <v>7</v>
      </c>
      <c r="P125" s="72"/>
      <c r="Q125" s="72" t="s">
        <v>924</v>
      </c>
      <c r="R125" s="78">
        <v>45776</v>
      </c>
      <c r="S125" s="72" t="s">
        <v>1299</v>
      </c>
      <c r="T125" s="72">
        <v>9.5</v>
      </c>
      <c r="U125" s="72"/>
      <c r="V125" s="72"/>
      <c r="W125" s="72"/>
      <c r="X125" s="72"/>
      <c r="Y125" s="72"/>
      <c r="Z125" s="72"/>
      <c r="AA125" s="79"/>
      <c r="AB125" s="79"/>
      <c r="AC125" s="79"/>
      <c r="AD125" s="79"/>
      <c r="AE125" s="79"/>
    </row>
    <row r="126" spans="1:31" ht="16.5" x14ac:dyDescent="0.35">
      <c r="A126" s="71">
        <v>120</v>
      </c>
      <c r="B126" s="72">
        <v>2022221429</v>
      </c>
      <c r="C126" s="80" t="s">
        <v>42</v>
      </c>
      <c r="D126" s="81" t="s">
        <v>88</v>
      </c>
      <c r="E126" s="72" t="s">
        <v>468</v>
      </c>
      <c r="F126" s="76">
        <v>2</v>
      </c>
      <c r="G126" s="72" t="s">
        <v>1300</v>
      </c>
      <c r="H126" s="78">
        <v>45737</v>
      </c>
      <c r="I126" s="72" t="s">
        <v>1299</v>
      </c>
      <c r="J126" s="72">
        <v>8</v>
      </c>
      <c r="K126" s="72">
        <v>0.5</v>
      </c>
      <c r="L126" s="72" t="s">
        <v>924</v>
      </c>
      <c r="M126" s="78">
        <v>45776</v>
      </c>
      <c r="N126" s="72" t="s">
        <v>1299</v>
      </c>
      <c r="O126" s="72">
        <v>9</v>
      </c>
      <c r="P126" s="72"/>
      <c r="Q126" s="72"/>
      <c r="R126" s="78"/>
      <c r="S126" s="72"/>
      <c r="T126" s="72"/>
      <c r="U126" s="72"/>
      <c r="V126" s="72"/>
      <c r="W126" s="72"/>
      <c r="X126" s="72"/>
      <c r="Y126" s="72"/>
      <c r="Z126" s="72"/>
      <c r="AA126" s="79"/>
      <c r="AB126" s="79"/>
      <c r="AC126" s="79"/>
      <c r="AD126" s="79"/>
      <c r="AE126" s="79"/>
    </row>
    <row r="127" spans="1:31" ht="16.5" x14ac:dyDescent="0.35">
      <c r="A127" s="71">
        <v>121</v>
      </c>
      <c r="B127" s="72">
        <v>2022221502</v>
      </c>
      <c r="C127" s="80" t="s">
        <v>470</v>
      </c>
      <c r="D127" s="81" t="s">
        <v>81</v>
      </c>
      <c r="E127" s="72" t="s">
        <v>468</v>
      </c>
      <c r="F127" s="76">
        <v>0</v>
      </c>
      <c r="G127" s="72"/>
      <c r="H127" s="78"/>
      <c r="I127" s="72"/>
      <c r="J127" s="72"/>
      <c r="K127" s="72"/>
      <c r="L127" s="72"/>
      <c r="M127" s="72"/>
      <c r="N127" s="72"/>
      <c r="O127" s="72"/>
      <c r="P127" s="72"/>
      <c r="Q127" s="72"/>
      <c r="R127" s="78"/>
      <c r="S127" s="72"/>
      <c r="T127" s="72"/>
      <c r="U127" s="72"/>
      <c r="V127" s="72"/>
      <c r="W127" s="72"/>
      <c r="X127" s="72"/>
      <c r="Y127" s="72"/>
      <c r="Z127" s="72"/>
      <c r="AA127" s="79"/>
      <c r="AB127" s="79"/>
      <c r="AC127" s="79"/>
      <c r="AD127" s="79"/>
      <c r="AE127" s="79"/>
    </row>
    <row r="128" spans="1:31" ht="16.5" x14ac:dyDescent="0.35">
      <c r="A128" s="71">
        <v>122</v>
      </c>
      <c r="B128" s="72">
        <v>2022221770</v>
      </c>
      <c r="C128" s="80" t="s">
        <v>478</v>
      </c>
      <c r="D128" s="81" t="s">
        <v>479</v>
      </c>
      <c r="E128" s="72" t="s">
        <v>468</v>
      </c>
      <c r="F128" s="76">
        <v>2</v>
      </c>
      <c r="G128" s="72" t="s">
        <v>1300</v>
      </c>
      <c r="H128" s="78">
        <v>45749</v>
      </c>
      <c r="I128" s="86" t="s">
        <v>1299</v>
      </c>
      <c r="J128" s="72">
        <v>8.5</v>
      </c>
      <c r="K128" s="72"/>
      <c r="L128" s="72" t="s">
        <v>925</v>
      </c>
      <c r="M128" s="78">
        <v>45797</v>
      </c>
      <c r="N128" s="72" t="s">
        <v>1299</v>
      </c>
      <c r="O128" s="72">
        <v>8.5</v>
      </c>
      <c r="P128" s="72"/>
      <c r="Q128" s="72"/>
      <c r="R128" s="78"/>
      <c r="S128" s="72"/>
      <c r="T128" s="72"/>
      <c r="U128" s="72"/>
      <c r="V128" s="72"/>
      <c r="W128" s="72"/>
      <c r="X128" s="72"/>
      <c r="Y128" s="72"/>
      <c r="Z128" s="72"/>
      <c r="AA128" s="79"/>
      <c r="AB128" s="79"/>
      <c r="AC128" s="79"/>
      <c r="AD128" s="79"/>
      <c r="AE128" s="79"/>
    </row>
    <row r="129" spans="1:31" ht="16.5" x14ac:dyDescent="0.35">
      <c r="A129" s="71">
        <v>123</v>
      </c>
      <c r="B129" s="72">
        <v>2022221805</v>
      </c>
      <c r="C129" s="80" t="s">
        <v>476</v>
      </c>
      <c r="D129" s="81" t="s">
        <v>437</v>
      </c>
      <c r="E129" s="72" t="s">
        <v>468</v>
      </c>
      <c r="F129" s="76">
        <v>3</v>
      </c>
      <c r="G129" s="72" t="s">
        <v>928</v>
      </c>
      <c r="H129" s="78">
        <v>45800</v>
      </c>
      <c r="I129" s="72" t="s">
        <v>1299</v>
      </c>
      <c r="J129" s="72">
        <v>3</v>
      </c>
      <c r="K129" s="72"/>
      <c r="L129" s="72" t="s">
        <v>924</v>
      </c>
      <c r="M129" s="78">
        <v>45776</v>
      </c>
      <c r="N129" s="72" t="s">
        <v>1299</v>
      </c>
      <c r="O129" s="72">
        <v>5.5</v>
      </c>
      <c r="P129" s="72"/>
      <c r="Q129" s="72" t="s">
        <v>1300</v>
      </c>
      <c r="R129" s="78">
        <v>45836</v>
      </c>
      <c r="S129" s="72" t="s">
        <v>1299</v>
      </c>
      <c r="T129" s="72">
        <v>5.5</v>
      </c>
      <c r="U129" s="72"/>
      <c r="V129" s="72"/>
      <c r="W129" s="78"/>
      <c r="X129" s="72"/>
      <c r="Y129" s="72"/>
      <c r="Z129" s="72"/>
      <c r="AA129" s="79"/>
      <c r="AB129" s="79"/>
      <c r="AC129" s="79"/>
      <c r="AD129" s="79"/>
      <c r="AE129" s="79"/>
    </row>
    <row r="130" spans="1:31" ht="16.5" x14ac:dyDescent="0.35">
      <c r="A130" s="71">
        <v>124</v>
      </c>
      <c r="B130" s="72">
        <v>2022222380</v>
      </c>
      <c r="C130" s="80" t="s">
        <v>480</v>
      </c>
      <c r="D130" s="81" t="s">
        <v>29</v>
      </c>
      <c r="E130" s="72" t="s">
        <v>468</v>
      </c>
      <c r="F130" s="76">
        <v>3</v>
      </c>
      <c r="G130" s="72" t="s">
        <v>1300</v>
      </c>
      <c r="H130" s="78">
        <v>45749</v>
      </c>
      <c r="I130" s="86" t="s">
        <v>1299</v>
      </c>
      <c r="J130" s="72">
        <v>8</v>
      </c>
      <c r="K130" s="72"/>
      <c r="L130" s="72" t="s">
        <v>1301</v>
      </c>
      <c r="M130" s="78">
        <v>45783</v>
      </c>
      <c r="N130" s="72" t="s">
        <v>1299</v>
      </c>
      <c r="O130" s="72">
        <v>9</v>
      </c>
      <c r="P130" s="72"/>
      <c r="Q130" s="72" t="s">
        <v>924</v>
      </c>
      <c r="R130" s="78">
        <v>45803</v>
      </c>
      <c r="S130" s="72" t="s">
        <v>1299</v>
      </c>
      <c r="T130" s="72">
        <v>9</v>
      </c>
      <c r="U130" s="72"/>
      <c r="V130" s="72"/>
      <c r="W130" s="72"/>
      <c r="X130" s="72"/>
      <c r="Y130" s="72"/>
      <c r="Z130" s="72"/>
      <c r="AA130" s="79"/>
      <c r="AB130" s="79"/>
      <c r="AC130" s="79"/>
      <c r="AD130" s="79"/>
      <c r="AE130" s="79"/>
    </row>
    <row r="131" spans="1:31" ht="16.5" x14ac:dyDescent="0.35">
      <c r="A131" s="71">
        <v>125</v>
      </c>
      <c r="B131" s="72">
        <v>2022222423</v>
      </c>
      <c r="C131" s="80" t="s">
        <v>482</v>
      </c>
      <c r="D131" s="81" t="s">
        <v>483</v>
      </c>
      <c r="E131" s="72" t="s">
        <v>468</v>
      </c>
      <c r="F131" s="76">
        <v>2</v>
      </c>
      <c r="G131" s="72" t="s">
        <v>1301</v>
      </c>
      <c r="H131" s="78">
        <v>45783</v>
      </c>
      <c r="I131" s="72" t="s">
        <v>1299</v>
      </c>
      <c r="J131" s="72">
        <v>9</v>
      </c>
      <c r="K131" s="72"/>
      <c r="L131" s="72" t="s">
        <v>925</v>
      </c>
      <c r="M131" s="78">
        <v>45818</v>
      </c>
      <c r="N131" s="72" t="s">
        <v>1299</v>
      </c>
      <c r="O131" s="72">
        <v>8.5</v>
      </c>
      <c r="P131" s="72"/>
      <c r="Q131" s="72"/>
      <c r="R131" s="78"/>
      <c r="S131" s="72"/>
      <c r="T131" s="72"/>
      <c r="U131" s="72"/>
      <c r="V131" s="72"/>
      <c r="W131" s="72"/>
      <c r="X131" s="72"/>
      <c r="Y131" s="72"/>
      <c r="Z131" s="72"/>
      <c r="AA131" s="79"/>
      <c r="AB131" s="79"/>
      <c r="AC131" s="79"/>
      <c r="AD131" s="79"/>
      <c r="AE131" s="79"/>
    </row>
    <row r="132" spans="1:31" ht="16.5" x14ac:dyDescent="0.35">
      <c r="A132" s="71">
        <v>126</v>
      </c>
      <c r="B132" s="72">
        <v>2022222442</v>
      </c>
      <c r="C132" s="80" t="s">
        <v>968</v>
      </c>
      <c r="D132" s="81" t="s">
        <v>969</v>
      </c>
      <c r="E132" s="72" t="s">
        <v>468</v>
      </c>
      <c r="F132" s="76">
        <v>0</v>
      </c>
      <c r="G132" s="72"/>
      <c r="H132" s="78"/>
      <c r="I132" s="72"/>
      <c r="J132" s="72"/>
      <c r="K132" s="72"/>
      <c r="L132" s="72"/>
      <c r="M132" s="72"/>
      <c r="N132" s="72"/>
      <c r="O132" s="72"/>
      <c r="P132" s="72"/>
      <c r="Q132" s="72"/>
      <c r="R132" s="78"/>
      <c r="S132" s="72"/>
      <c r="T132" s="72"/>
      <c r="U132" s="72"/>
      <c r="V132" s="72"/>
      <c r="W132" s="72"/>
      <c r="X132" s="72"/>
      <c r="Y132" s="72"/>
      <c r="Z132" s="72"/>
      <c r="AA132" s="79"/>
      <c r="AB132" s="79"/>
      <c r="AC132" s="79"/>
      <c r="AD132" s="79"/>
      <c r="AE132" s="79"/>
    </row>
    <row r="133" spans="1:31" ht="16.5" x14ac:dyDescent="0.35">
      <c r="A133" s="71">
        <v>127</v>
      </c>
      <c r="B133" s="72">
        <v>2022222549</v>
      </c>
      <c r="C133" s="80" t="s">
        <v>485</v>
      </c>
      <c r="D133" s="81" t="s">
        <v>484</v>
      </c>
      <c r="E133" s="72" t="s">
        <v>468</v>
      </c>
      <c r="F133" s="76">
        <v>3</v>
      </c>
      <c r="G133" s="72" t="s">
        <v>1300</v>
      </c>
      <c r="H133" s="78">
        <v>45742</v>
      </c>
      <c r="I133" s="72" t="s">
        <v>1299</v>
      </c>
      <c r="J133" s="72">
        <v>8</v>
      </c>
      <c r="K133" s="72"/>
      <c r="L133" s="72" t="s">
        <v>925</v>
      </c>
      <c r="M133" s="78">
        <v>45797</v>
      </c>
      <c r="N133" s="72" t="s">
        <v>1299</v>
      </c>
      <c r="O133" s="72">
        <v>8</v>
      </c>
      <c r="P133" s="72"/>
      <c r="Q133" s="72" t="s">
        <v>1300</v>
      </c>
      <c r="R133" s="78">
        <v>45471</v>
      </c>
      <c r="S133" s="72" t="s">
        <v>1299</v>
      </c>
      <c r="T133" s="72">
        <v>7</v>
      </c>
      <c r="U133" s="72"/>
      <c r="V133" s="72"/>
      <c r="W133" s="72"/>
      <c r="X133" s="72"/>
      <c r="Y133" s="72"/>
      <c r="Z133" s="72"/>
      <c r="AA133" s="79"/>
      <c r="AB133" s="79"/>
      <c r="AC133" s="79"/>
      <c r="AD133" s="79"/>
      <c r="AE133" s="79"/>
    </row>
    <row r="134" spans="1:31" ht="16.5" x14ac:dyDescent="0.35">
      <c r="A134" s="71">
        <v>128</v>
      </c>
      <c r="B134" s="72">
        <v>2022222542</v>
      </c>
      <c r="C134" s="80" t="s">
        <v>234</v>
      </c>
      <c r="D134" s="81" t="s">
        <v>484</v>
      </c>
      <c r="E134" s="72" t="s">
        <v>468</v>
      </c>
      <c r="F134" s="76">
        <v>2</v>
      </c>
      <c r="G134" s="72" t="s">
        <v>1300</v>
      </c>
      <c r="H134" s="78">
        <v>45721</v>
      </c>
      <c r="I134" s="72" t="s">
        <v>1299</v>
      </c>
      <c r="J134" s="72">
        <v>6.5</v>
      </c>
      <c r="K134" s="72"/>
      <c r="L134" s="72" t="s">
        <v>924</v>
      </c>
      <c r="M134" s="78">
        <v>45776</v>
      </c>
      <c r="N134" s="72" t="s">
        <v>1299</v>
      </c>
      <c r="O134" s="72">
        <v>6.5</v>
      </c>
      <c r="P134" s="72"/>
      <c r="Q134" s="72"/>
      <c r="R134" s="78"/>
      <c r="S134" s="72"/>
      <c r="T134" s="72"/>
      <c r="U134" s="72"/>
      <c r="V134" s="72"/>
      <c r="W134" s="72"/>
      <c r="X134" s="72"/>
      <c r="Y134" s="72"/>
      <c r="Z134" s="72"/>
      <c r="AA134" s="79"/>
      <c r="AB134" s="79"/>
      <c r="AC134" s="79"/>
      <c r="AD134" s="79"/>
      <c r="AE134" s="79"/>
    </row>
    <row r="135" spans="1:31" ht="16.5" x14ac:dyDescent="0.35">
      <c r="A135" s="71">
        <v>129</v>
      </c>
      <c r="B135" s="72">
        <v>2022222653</v>
      </c>
      <c r="C135" s="80" t="s">
        <v>487</v>
      </c>
      <c r="D135" s="81" t="s">
        <v>239</v>
      </c>
      <c r="E135" s="72" t="s">
        <v>468</v>
      </c>
      <c r="F135" s="76">
        <v>3</v>
      </c>
      <c r="G135" s="72" t="s">
        <v>1300</v>
      </c>
      <c r="H135" s="78">
        <v>45471</v>
      </c>
      <c r="I135" s="72" t="s">
        <v>1299</v>
      </c>
      <c r="J135" s="72">
        <v>4.5</v>
      </c>
      <c r="K135" s="72">
        <v>1</v>
      </c>
      <c r="L135" s="72" t="s">
        <v>1300</v>
      </c>
      <c r="M135" s="78">
        <v>45791</v>
      </c>
      <c r="N135" s="72" t="s">
        <v>1299</v>
      </c>
      <c r="O135" s="72">
        <v>8</v>
      </c>
      <c r="P135" s="72"/>
      <c r="Q135" s="72" t="s">
        <v>924</v>
      </c>
      <c r="R135" s="78">
        <v>45776</v>
      </c>
      <c r="S135" s="72" t="s">
        <v>1299</v>
      </c>
      <c r="T135" s="72">
        <v>7.5</v>
      </c>
      <c r="U135" s="72"/>
      <c r="V135" s="72"/>
      <c r="W135" s="72"/>
      <c r="X135" s="72"/>
      <c r="Y135" s="72"/>
      <c r="Z135" s="72"/>
      <c r="AA135" s="79"/>
      <c r="AB135" s="79"/>
      <c r="AC135" s="79"/>
      <c r="AD135" s="79"/>
      <c r="AE135" s="79"/>
    </row>
    <row r="136" spans="1:31" ht="16.5" x14ac:dyDescent="0.35">
      <c r="A136" s="71">
        <v>130</v>
      </c>
      <c r="B136" s="72">
        <v>2022222714</v>
      </c>
      <c r="C136" s="80" t="s">
        <v>48</v>
      </c>
      <c r="D136" s="81" t="s">
        <v>91</v>
      </c>
      <c r="E136" s="72" t="s">
        <v>468</v>
      </c>
      <c r="F136" s="76">
        <v>2</v>
      </c>
      <c r="G136" s="72" t="s">
        <v>1300</v>
      </c>
      <c r="H136" s="78">
        <v>45749</v>
      </c>
      <c r="I136" s="86" t="s">
        <v>1299</v>
      </c>
      <c r="J136" s="72">
        <v>10</v>
      </c>
      <c r="K136" s="72"/>
      <c r="L136" s="72" t="s">
        <v>925</v>
      </c>
      <c r="M136" s="78">
        <v>45769</v>
      </c>
      <c r="N136" s="72" t="s">
        <v>1299</v>
      </c>
      <c r="O136" s="72">
        <v>7</v>
      </c>
      <c r="P136" s="72"/>
      <c r="Q136" s="72"/>
      <c r="R136" s="78"/>
      <c r="S136" s="72"/>
      <c r="T136" s="72"/>
      <c r="U136" s="72"/>
      <c r="V136" s="72"/>
      <c r="W136" s="72"/>
      <c r="X136" s="72"/>
      <c r="Y136" s="72"/>
      <c r="Z136" s="72"/>
      <c r="AA136" s="79"/>
      <c r="AB136" s="79"/>
      <c r="AC136" s="79"/>
      <c r="AD136" s="79"/>
      <c r="AE136" s="79"/>
    </row>
    <row r="137" spans="1:31" ht="16.5" x14ac:dyDescent="0.35">
      <c r="A137" s="71">
        <v>131</v>
      </c>
      <c r="B137" s="72">
        <v>2022222797</v>
      </c>
      <c r="C137" s="80" t="s">
        <v>489</v>
      </c>
      <c r="D137" s="81" t="s">
        <v>152</v>
      </c>
      <c r="E137" s="72" t="s">
        <v>468</v>
      </c>
      <c r="F137" s="76">
        <v>1</v>
      </c>
      <c r="G137" s="72" t="s">
        <v>1300</v>
      </c>
      <c r="H137" s="78">
        <v>45737</v>
      </c>
      <c r="I137" s="72" t="s">
        <v>1299</v>
      </c>
      <c r="J137" s="72">
        <v>7</v>
      </c>
      <c r="K137" s="72"/>
      <c r="L137" s="72"/>
      <c r="M137" s="72"/>
      <c r="N137" s="72"/>
      <c r="O137" s="72"/>
      <c r="P137" s="72"/>
      <c r="Q137" s="72"/>
      <c r="R137" s="78"/>
      <c r="S137" s="72"/>
      <c r="T137" s="72"/>
      <c r="U137" s="72"/>
      <c r="V137" s="72"/>
      <c r="W137" s="72"/>
      <c r="X137" s="72"/>
      <c r="Y137" s="72"/>
      <c r="Z137" s="72"/>
      <c r="AA137" s="79"/>
      <c r="AB137" s="79"/>
      <c r="AC137" s="79"/>
      <c r="AD137" s="79"/>
      <c r="AE137" s="79"/>
    </row>
    <row r="138" spans="1:31" ht="16.5" x14ac:dyDescent="0.35">
      <c r="A138" s="71">
        <v>132</v>
      </c>
      <c r="B138" s="72">
        <v>2022222805</v>
      </c>
      <c r="C138" s="80" t="s">
        <v>498</v>
      </c>
      <c r="D138" s="81" t="s">
        <v>499</v>
      </c>
      <c r="E138" s="72" t="s">
        <v>468</v>
      </c>
      <c r="F138" s="76">
        <v>2</v>
      </c>
      <c r="G138" s="72" t="s">
        <v>1301</v>
      </c>
      <c r="H138" s="78">
        <v>45757</v>
      </c>
      <c r="I138" s="72" t="s">
        <v>1299</v>
      </c>
      <c r="J138" s="72">
        <v>7.5</v>
      </c>
      <c r="K138" s="72"/>
      <c r="L138" s="72" t="s">
        <v>924</v>
      </c>
      <c r="M138" s="78">
        <v>45776</v>
      </c>
      <c r="N138" s="72" t="s">
        <v>1299</v>
      </c>
      <c r="O138" s="72">
        <v>8</v>
      </c>
      <c r="P138" s="72"/>
      <c r="Q138" s="72"/>
      <c r="R138" s="78"/>
      <c r="S138" s="72"/>
      <c r="T138" s="72"/>
      <c r="U138" s="72"/>
      <c r="V138" s="72"/>
      <c r="W138" s="72"/>
      <c r="X138" s="72"/>
      <c r="Y138" s="72"/>
      <c r="Z138" s="72"/>
      <c r="AA138" s="79"/>
      <c r="AB138" s="79"/>
      <c r="AC138" s="79"/>
      <c r="AD138" s="79"/>
      <c r="AE138" s="79"/>
    </row>
    <row r="139" spans="1:31" ht="16.5" x14ac:dyDescent="0.35">
      <c r="A139" s="71">
        <v>133</v>
      </c>
      <c r="B139" s="72">
        <v>2022222953</v>
      </c>
      <c r="C139" s="80" t="s">
        <v>490</v>
      </c>
      <c r="D139" s="81" t="s">
        <v>92</v>
      </c>
      <c r="E139" s="72" t="s">
        <v>468</v>
      </c>
      <c r="F139" s="76">
        <v>2</v>
      </c>
      <c r="G139" s="72" t="s">
        <v>1300</v>
      </c>
      <c r="H139" s="78">
        <v>45737</v>
      </c>
      <c r="I139" s="72" t="s">
        <v>1299</v>
      </c>
      <c r="J139" s="72">
        <v>8</v>
      </c>
      <c r="K139" s="72">
        <v>0.5</v>
      </c>
      <c r="L139" s="72" t="s">
        <v>924</v>
      </c>
      <c r="M139" s="78">
        <v>45776</v>
      </c>
      <c r="N139" s="72" t="s">
        <v>1299</v>
      </c>
      <c r="O139" s="72">
        <v>9</v>
      </c>
      <c r="P139" s="72"/>
      <c r="Q139" s="72"/>
      <c r="R139" s="78"/>
      <c r="S139" s="72"/>
      <c r="T139" s="72"/>
      <c r="U139" s="72"/>
      <c r="V139" s="72"/>
      <c r="W139" s="72"/>
      <c r="X139" s="72"/>
      <c r="Y139" s="72"/>
      <c r="Z139" s="72"/>
      <c r="AA139" s="79"/>
      <c r="AB139" s="79"/>
      <c r="AC139" s="79"/>
      <c r="AD139" s="79"/>
      <c r="AE139" s="79"/>
    </row>
    <row r="140" spans="1:31" ht="16.5" x14ac:dyDescent="0.35">
      <c r="A140" s="71">
        <v>134</v>
      </c>
      <c r="B140" s="72">
        <v>2022222939</v>
      </c>
      <c r="C140" s="80" t="s">
        <v>493</v>
      </c>
      <c r="D140" s="81" t="s">
        <v>92</v>
      </c>
      <c r="E140" s="72" t="s">
        <v>468</v>
      </c>
      <c r="F140" s="76">
        <v>3</v>
      </c>
      <c r="G140" s="72" t="s">
        <v>1300</v>
      </c>
      <c r="H140" s="78">
        <v>45742</v>
      </c>
      <c r="I140" s="72" t="s">
        <v>1299</v>
      </c>
      <c r="J140" s="72">
        <v>8.5</v>
      </c>
      <c r="K140" s="72"/>
      <c r="L140" s="72" t="s">
        <v>924</v>
      </c>
      <c r="M140" s="78">
        <v>45787</v>
      </c>
      <c r="N140" s="72" t="s">
        <v>1299</v>
      </c>
      <c r="O140" s="72">
        <v>9</v>
      </c>
      <c r="P140" s="72"/>
      <c r="Q140" s="72" t="s">
        <v>925</v>
      </c>
      <c r="R140" s="78">
        <v>45818</v>
      </c>
      <c r="S140" s="72" t="s">
        <v>1299</v>
      </c>
      <c r="T140" s="72">
        <v>8</v>
      </c>
      <c r="U140" s="72"/>
      <c r="V140" s="72"/>
      <c r="W140" s="72"/>
      <c r="X140" s="72"/>
      <c r="Y140" s="72"/>
      <c r="Z140" s="72"/>
      <c r="AA140" s="79"/>
      <c r="AB140" s="79"/>
      <c r="AC140" s="79"/>
      <c r="AD140" s="79"/>
      <c r="AE140" s="79"/>
    </row>
    <row r="141" spans="1:31" ht="16.5" x14ac:dyDescent="0.35">
      <c r="A141" s="71">
        <v>135</v>
      </c>
      <c r="B141" s="72">
        <v>2022222938</v>
      </c>
      <c r="C141" s="80" t="s">
        <v>494</v>
      </c>
      <c r="D141" s="81" t="s">
        <v>92</v>
      </c>
      <c r="E141" s="72" t="s">
        <v>468</v>
      </c>
      <c r="F141" s="76">
        <v>2</v>
      </c>
      <c r="G141" s="72" t="s">
        <v>1300</v>
      </c>
      <c r="H141" s="78">
        <v>45749</v>
      </c>
      <c r="I141" s="86" t="s">
        <v>1299</v>
      </c>
      <c r="J141" s="72">
        <v>8.5</v>
      </c>
      <c r="K141" s="72"/>
      <c r="L141" s="72" t="s">
        <v>924</v>
      </c>
      <c r="M141" s="78">
        <v>45776</v>
      </c>
      <c r="N141" s="72" t="s">
        <v>1299</v>
      </c>
      <c r="O141" s="72">
        <v>6.5</v>
      </c>
      <c r="P141" s="72"/>
      <c r="Q141" s="72"/>
      <c r="R141" s="78"/>
      <c r="S141" s="72"/>
      <c r="T141" s="72"/>
      <c r="U141" s="72"/>
      <c r="V141" s="72"/>
      <c r="W141" s="72"/>
      <c r="X141" s="72"/>
      <c r="Y141" s="72"/>
      <c r="Z141" s="72"/>
      <c r="AA141" s="79"/>
      <c r="AB141" s="79"/>
      <c r="AC141" s="79"/>
      <c r="AD141" s="79"/>
      <c r="AE141" s="79"/>
    </row>
    <row r="142" spans="1:31" ht="16.5" x14ac:dyDescent="0.35">
      <c r="A142" s="71">
        <v>136</v>
      </c>
      <c r="B142" s="72">
        <v>2022222946</v>
      </c>
      <c r="C142" s="80" t="s">
        <v>491</v>
      </c>
      <c r="D142" s="81" t="s">
        <v>92</v>
      </c>
      <c r="E142" s="72" t="s">
        <v>468</v>
      </c>
      <c r="F142" s="76">
        <v>3</v>
      </c>
      <c r="G142" s="72" t="s">
        <v>1300</v>
      </c>
      <c r="H142" s="78">
        <v>45471</v>
      </c>
      <c r="I142" s="72" t="s">
        <v>1299</v>
      </c>
      <c r="J142" s="72">
        <v>5.5</v>
      </c>
      <c r="K142" s="72"/>
      <c r="L142" s="72" t="s">
        <v>1300</v>
      </c>
      <c r="M142" s="78">
        <v>45791</v>
      </c>
      <c r="N142" s="72" t="s">
        <v>1299</v>
      </c>
      <c r="O142" s="72">
        <v>7.5</v>
      </c>
      <c r="P142" s="72">
        <v>0.5</v>
      </c>
      <c r="Q142" s="72" t="s">
        <v>924</v>
      </c>
      <c r="R142" s="78">
        <v>45776</v>
      </c>
      <c r="S142" s="72" t="s">
        <v>1299</v>
      </c>
      <c r="T142" s="72">
        <v>7</v>
      </c>
      <c r="U142" s="72"/>
      <c r="V142" s="72"/>
      <c r="W142" s="72"/>
      <c r="X142" s="72"/>
      <c r="Y142" s="72"/>
      <c r="Z142" s="72"/>
      <c r="AA142" s="79"/>
      <c r="AB142" s="79"/>
      <c r="AC142" s="79"/>
      <c r="AD142" s="79"/>
      <c r="AE142" s="79"/>
    </row>
    <row r="143" spans="1:31" ht="16.5" x14ac:dyDescent="0.35">
      <c r="A143" s="71">
        <v>137</v>
      </c>
      <c r="B143" s="72">
        <v>2022223005</v>
      </c>
      <c r="C143" s="80" t="s">
        <v>496</v>
      </c>
      <c r="D143" s="81" t="s">
        <v>241</v>
      </c>
      <c r="E143" s="72" t="s">
        <v>468</v>
      </c>
      <c r="F143" s="76">
        <v>2</v>
      </c>
      <c r="G143" s="72" t="s">
        <v>1300</v>
      </c>
      <c r="H143" s="78">
        <v>45737</v>
      </c>
      <c r="I143" s="72" t="s">
        <v>1299</v>
      </c>
      <c r="J143" s="72">
        <v>9</v>
      </c>
      <c r="K143" s="72"/>
      <c r="L143" s="72" t="s">
        <v>1301</v>
      </c>
      <c r="M143" s="78">
        <v>45785</v>
      </c>
      <c r="N143" s="72" t="s">
        <v>1299</v>
      </c>
      <c r="O143" s="72">
        <v>6.5</v>
      </c>
      <c r="P143" s="72"/>
      <c r="Q143" s="72"/>
      <c r="R143" s="78"/>
      <c r="S143" s="72"/>
      <c r="T143" s="72"/>
      <c r="U143" s="72"/>
      <c r="V143" s="72"/>
      <c r="W143" s="72"/>
      <c r="X143" s="72"/>
      <c r="Y143" s="72"/>
      <c r="Z143" s="72"/>
      <c r="AA143" s="79"/>
      <c r="AB143" s="79"/>
      <c r="AC143" s="79"/>
      <c r="AD143" s="79"/>
      <c r="AE143" s="79"/>
    </row>
    <row r="144" spans="1:31" ht="16.5" x14ac:dyDescent="0.35">
      <c r="A144" s="71">
        <v>138</v>
      </c>
      <c r="B144" s="72">
        <v>2022223112</v>
      </c>
      <c r="C144" s="80" t="s">
        <v>497</v>
      </c>
      <c r="D144" s="81" t="s">
        <v>51</v>
      </c>
      <c r="E144" s="72" t="s">
        <v>468</v>
      </c>
      <c r="F144" s="76">
        <v>3</v>
      </c>
      <c r="G144" s="72" t="s">
        <v>1300</v>
      </c>
      <c r="H144" s="78">
        <v>45749</v>
      </c>
      <c r="I144" s="86" t="s">
        <v>1299</v>
      </c>
      <c r="J144" s="72">
        <v>8</v>
      </c>
      <c r="K144" s="72"/>
      <c r="L144" s="72" t="s">
        <v>1301</v>
      </c>
      <c r="M144" s="78">
        <v>45783</v>
      </c>
      <c r="N144" s="72" t="s">
        <v>1299</v>
      </c>
      <c r="O144" s="72">
        <v>9</v>
      </c>
      <c r="P144" s="72"/>
      <c r="Q144" s="72" t="s">
        <v>924</v>
      </c>
      <c r="R144" s="78">
        <v>45803</v>
      </c>
      <c r="S144" s="72" t="s">
        <v>1299</v>
      </c>
      <c r="T144" s="72">
        <v>9</v>
      </c>
      <c r="U144" s="72"/>
      <c r="V144" s="72"/>
      <c r="W144" s="72"/>
      <c r="X144" s="72"/>
      <c r="Y144" s="72"/>
      <c r="Z144" s="72"/>
      <c r="AA144" s="79"/>
      <c r="AB144" s="79"/>
      <c r="AC144" s="79"/>
      <c r="AD144" s="79"/>
      <c r="AE144" s="79"/>
    </row>
    <row r="145" spans="1:31" ht="16.5" x14ac:dyDescent="0.35">
      <c r="A145" s="71">
        <v>139</v>
      </c>
      <c r="B145" s="72">
        <v>2022223160</v>
      </c>
      <c r="C145" s="80" t="s">
        <v>9</v>
      </c>
      <c r="D145" s="81" t="s">
        <v>205</v>
      </c>
      <c r="E145" s="72" t="s">
        <v>468</v>
      </c>
      <c r="F145" s="76">
        <v>2</v>
      </c>
      <c r="G145" s="72" t="s">
        <v>1300</v>
      </c>
      <c r="H145" s="78">
        <v>45744</v>
      </c>
      <c r="I145" s="72" t="s">
        <v>1299</v>
      </c>
      <c r="J145" s="72">
        <v>8</v>
      </c>
      <c r="K145" s="72"/>
      <c r="L145" s="72" t="s">
        <v>924</v>
      </c>
      <c r="M145" s="78">
        <v>45776</v>
      </c>
      <c r="N145" s="72" t="s">
        <v>1299</v>
      </c>
      <c r="O145" s="72">
        <v>9.5</v>
      </c>
      <c r="P145" s="72"/>
      <c r="Q145" s="72"/>
      <c r="R145" s="78"/>
      <c r="S145" s="72"/>
      <c r="T145" s="72"/>
      <c r="U145" s="72"/>
      <c r="V145" s="72"/>
      <c r="W145" s="72"/>
      <c r="X145" s="72"/>
      <c r="Y145" s="72"/>
      <c r="Z145" s="72"/>
      <c r="AA145" s="79"/>
      <c r="AB145" s="79"/>
      <c r="AC145" s="79"/>
      <c r="AD145" s="79"/>
      <c r="AE145" s="79"/>
    </row>
    <row r="146" spans="1:31" ht="16.5" x14ac:dyDescent="0.35">
      <c r="A146" s="71">
        <v>140</v>
      </c>
      <c r="B146" s="72">
        <v>2022223699</v>
      </c>
      <c r="C146" s="80" t="s">
        <v>500</v>
      </c>
      <c r="D146" s="81" t="s">
        <v>501</v>
      </c>
      <c r="E146" s="72" t="s">
        <v>468</v>
      </c>
      <c r="F146" s="76">
        <v>2</v>
      </c>
      <c r="G146" s="72" t="s">
        <v>924</v>
      </c>
      <c r="H146" s="78">
        <v>45645</v>
      </c>
      <c r="I146" s="72" t="s">
        <v>1299</v>
      </c>
      <c r="J146" s="72">
        <v>7.5</v>
      </c>
      <c r="K146" s="72"/>
      <c r="L146" s="72" t="s">
        <v>1300</v>
      </c>
      <c r="M146" s="78">
        <v>45791</v>
      </c>
      <c r="N146" s="72" t="s">
        <v>1299</v>
      </c>
      <c r="O146" s="72">
        <v>7.5</v>
      </c>
      <c r="P146" s="72"/>
      <c r="Q146" s="72"/>
      <c r="R146" s="78"/>
      <c r="S146" s="72"/>
      <c r="T146" s="72"/>
      <c r="U146" s="72"/>
      <c r="V146" s="72"/>
      <c r="W146" s="72"/>
      <c r="X146" s="72"/>
      <c r="Y146" s="72"/>
      <c r="Z146" s="72"/>
      <c r="AA146" s="79"/>
      <c r="AB146" s="79"/>
      <c r="AC146" s="79"/>
      <c r="AD146" s="79"/>
      <c r="AE146" s="79"/>
    </row>
    <row r="147" spans="1:31" ht="16.5" x14ac:dyDescent="0.35">
      <c r="A147" s="71">
        <v>141</v>
      </c>
      <c r="B147" s="72">
        <v>2022223878</v>
      </c>
      <c r="C147" s="80" t="s">
        <v>502</v>
      </c>
      <c r="D147" s="81" t="s">
        <v>31</v>
      </c>
      <c r="E147" s="72" t="s">
        <v>468</v>
      </c>
      <c r="F147" s="76">
        <v>2</v>
      </c>
      <c r="G147" s="72" t="s">
        <v>1300</v>
      </c>
      <c r="H147" s="78">
        <v>45737</v>
      </c>
      <c r="I147" s="72" t="s">
        <v>1299</v>
      </c>
      <c r="J147" s="72">
        <v>8</v>
      </c>
      <c r="K147" s="72">
        <v>0.5</v>
      </c>
      <c r="L147" s="72" t="s">
        <v>924</v>
      </c>
      <c r="M147" s="78">
        <v>45776</v>
      </c>
      <c r="N147" s="72" t="s">
        <v>1299</v>
      </c>
      <c r="O147" s="72">
        <v>8.5</v>
      </c>
      <c r="P147" s="72"/>
      <c r="Q147" s="72"/>
      <c r="R147" s="78"/>
      <c r="S147" s="72"/>
      <c r="T147" s="72"/>
      <c r="U147" s="72"/>
      <c r="V147" s="72"/>
      <c r="W147" s="72"/>
      <c r="X147" s="72"/>
      <c r="Y147" s="72"/>
      <c r="Z147" s="72"/>
      <c r="AA147" s="79"/>
      <c r="AB147" s="79"/>
      <c r="AC147" s="79"/>
      <c r="AD147" s="79"/>
      <c r="AE147" s="79"/>
    </row>
    <row r="148" spans="1:31" ht="16.5" x14ac:dyDescent="0.35">
      <c r="A148" s="71">
        <v>142</v>
      </c>
      <c r="B148" s="72">
        <v>2022223860</v>
      </c>
      <c r="C148" s="80" t="s">
        <v>341</v>
      </c>
      <c r="D148" s="81" t="s">
        <v>31</v>
      </c>
      <c r="E148" s="72" t="s">
        <v>468</v>
      </c>
      <c r="F148" s="76">
        <v>2</v>
      </c>
      <c r="G148" s="72" t="s">
        <v>1300</v>
      </c>
      <c r="H148" s="78">
        <v>45742</v>
      </c>
      <c r="I148" s="72" t="s">
        <v>1299</v>
      </c>
      <c r="J148" s="72">
        <v>8.5</v>
      </c>
      <c r="K148" s="72"/>
      <c r="L148" s="72" t="s">
        <v>925</v>
      </c>
      <c r="M148" s="78">
        <v>45797</v>
      </c>
      <c r="N148" s="72" t="s">
        <v>1299</v>
      </c>
      <c r="O148" s="72">
        <v>8</v>
      </c>
      <c r="P148" s="72"/>
      <c r="Q148" s="72"/>
      <c r="R148" s="78"/>
      <c r="S148" s="72"/>
      <c r="T148" s="72"/>
      <c r="U148" s="72"/>
      <c r="V148" s="72"/>
      <c r="W148" s="72"/>
      <c r="X148" s="72"/>
      <c r="Y148" s="72"/>
      <c r="Z148" s="72"/>
      <c r="AA148" s="79"/>
      <c r="AB148" s="79"/>
      <c r="AC148" s="79"/>
      <c r="AD148" s="79"/>
      <c r="AE148" s="79"/>
    </row>
    <row r="149" spans="1:31" ht="16.5" x14ac:dyDescent="0.35">
      <c r="A149" s="71">
        <v>143</v>
      </c>
      <c r="B149" s="72">
        <v>2022223903</v>
      </c>
      <c r="C149" s="80" t="s">
        <v>503</v>
      </c>
      <c r="D149" s="81" t="s">
        <v>99</v>
      </c>
      <c r="E149" s="72" t="s">
        <v>468</v>
      </c>
      <c r="F149" s="76">
        <v>2</v>
      </c>
      <c r="G149" s="72" t="s">
        <v>924</v>
      </c>
      <c r="H149" s="78">
        <v>45629</v>
      </c>
      <c r="I149" s="72" t="s">
        <v>1299</v>
      </c>
      <c r="J149" s="72">
        <v>7</v>
      </c>
      <c r="K149" s="72"/>
      <c r="L149" s="72" t="s">
        <v>1300</v>
      </c>
      <c r="M149" s="78">
        <v>45756</v>
      </c>
      <c r="N149" s="72" t="s">
        <v>1299</v>
      </c>
      <c r="O149" s="72">
        <v>8</v>
      </c>
      <c r="P149" s="72"/>
      <c r="Q149" s="72"/>
      <c r="R149" s="78"/>
      <c r="S149" s="72"/>
      <c r="T149" s="72"/>
      <c r="U149" s="72"/>
      <c r="V149" s="72"/>
      <c r="W149" s="72"/>
      <c r="X149" s="72"/>
      <c r="Y149" s="72"/>
      <c r="Z149" s="72"/>
      <c r="AA149" s="79"/>
      <c r="AB149" s="79"/>
      <c r="AC149" s="79"/>
      <c r="AD149" s="79"/>
      <c r="AE149" s="79"/>
    </row>
    <row r="150" spans="1:31" ht="16.5" x14ac:dyDescent="0.35">
      <c r="A150" s="71">
        <v>144</v>
      </c>
      <c r="B150" s="72">
        <v>2022223981</v>
      </c>
      <c r="C150" s="80" t="s">
        <v>505</v>
      </c>
      <c r="D150" s="81" t="s">
        <v>506</v>
      </c>
      <c r="E150" s="72" t="s">
        <v>468</v>
      </c>
      <c r="F150" s="76">
        <v>3</v>
      </c>
      <c r="G150" s="72" t="s">
        <v>1300</v>
      </c>
      <c r="H150" s="78">
        <v>45721</v>
      </c>
      <c r="I150" s="72" t="s">
        <v>1299</v>
      </c>
      <c r="J150" s="72">
        <v>8</v>
      </c>
      <c r="K150" s="72"/>
      <c r="L150" s="72" t="s">
        <v>928</v>
      </c>
      <c r="M150" s="78">
        <v>45800</v>
      </c>
      <c r="N150" s="72" t="s">
        <v>1299</v>
      </c>
      <c r="O150" s="72">
        <v>8</v>
      </c>
      <c r="P150" s="72"/>
      <c r="Q150" s="72" t="s">
        <v>924</v>
      </c>
      <c r="R150" s="78">
        <v>45776</v>
      </c>
      <c r="S150" s="72" t="s">
        <v>1299</v>
      </c>
      <c r="T150" s="72">
        <v>6.5</v>
      </c>
      <c r="U150" s="72"/>
      <c r="V150" s="72"/>
      <c r="W150" s="72"/>
      <c r="X150" s="72"/>
      <c r="Y150" s="72"/>
      <c r="Z150" s="72"/>
      <c r="AA150" s="79"/>
      <c r="AB150" s="79"/>
      <c r="AC150" s="79"/>
      <c r="AD150" s="79"/>
      <c r="AE150" s="79"/>
    </row>
    <row r="151" spans="1:31" ht="16.5" x14ac:dyDescent="0.35">
      <c r="A151" s="71">
        <v>145</v>
      </c>
      <c r="B151" s="72">
        <v>2022224240</v>
      </c>
      <c r="C151" s="80" t="s">
        <v>398</v>
      </c>
      <c r="D151" s="81" t="s">
        <v>208</v>
      </c>
      <c r="E151" s="72" t="s">
        <v>468</v>
      </c>
      <c r="F151" s="76">
        <v>2</v>
      </c>
      <c r="G151" s="72" t="s">
        <v>1300</v>
      </c>
      <c r="H151" s="78">
        <v>45737</v>
      </c>
      <c r="I151" s="72" t="s">
        <v>1299</v>
      </c>
      <c r="J151" s="72">
        <v>8.5</v>
      </c>
      <c r="K151" s="72">
        <v>0.5</v>
      </c>
      <c r="L151" s="72" t="s">
        <v>1301</v>
      </c>
      <c r="M151" s="78">
        <v>45785</v>
      </c>
      <c r="N151" s="72" t="s">
        <v>1299</v>
      </c>
      <c r="O151" s="72">
        <v>6.5</v>
      </c>
      <c r="P151" s="72"/>
      <c r="Q151" s="72"/>
      <c r="R151" s="78"/>
      <c r="S151" s="72"/>
      <c r="T151" s="72"/>
      <c r="U151" s="72"/>
      <c r="V151" s="72"/>
      <c r="W151" s="72"/>
      <c r="X151" s="72"/>
      <c r="Y151" s="72"/>
      <c r="Z151" s="72"/>
      <c r="AA151" s="79"/>
      <c r="AB151" s="79"/>
      <c r="AC151" s="79"/>
      <c r="AD151" s="79"/>
      <c r="AE151" s="79"/>
    </row>
    <row r="152" spans="1:31" ht="16.5" x14ac:dyDescent="0.35">
      <c r="A152" s="71">
        <v>146</v>
      </c>
      <c r="B152" s="72">
        <v>2022224508</v>
      </c>
      <c r="C152" s="80" t="s">
        <v>519</v>
      </c>
      <c r="D152" s="81" t="s">
        <v>335</v>
      </c>
      <c r="E152" s="72" t="s">
        <v>468</v>
      </c>
      <c r="F152" s="76">
        <v>0</v>
      </c>
      <c r="G152" s="72"/>
      <c r="H152" s="78"/>
      <c r="I152" s="72"/>
      <c r="J152" s="72"/>
      <c r="K152" s="72"/>
      <c r="L152" s="72"/>
      <c r="M152" s="72"/>
      <c r="N152" s="72"/>
      <c r="O152" s="72"/>
      <c r="P152" s="72"/>
      <c r="Q152" s="72"/>
      <c r="R152" s="78"/>
      <c r="S152" s="72"/>
      <c r="T152" s="72"/>
      <c r="U152" s="72"/>
      <c r="V152" s="72"/>
      <c r="W152" s="72"/>
      <c r="X152" s="72"/>
      <c r="Y152" s="72"/>
      <c r="Z152" s="72"/>
      <c r="AA152" s="79"/>
      <c r="AB152" s="79"/>
      <c r="AC152" s="79"/>
      <c r="AD152" s="79"/>
      <c r="AE152" s="79"/>
    </row>
    <row r="153" spans="1:31" ht="16.5" x14ac:dyDescent="0.35">
      <c r="A153" s="71">
        <v>147</v>
      </c>
      <c r="B153" s="72">
        <v>2022224553</v>
      </c>
      <c r="C153" s="80" t="s">
        <v>520</v>
      </c>
      <c r="D153" s="81" t="s">
        <v>117</v>
      </c>
      <c r="E153" s="72" t="s">
        <v>468</v>
      </c>
      <c r="F153" s="76">
        <v>0</v>
      </c>
      <c r="G153" s="72"/>
      <c r="H153" s="78"/>
      <c r="I153" s="72"/>
      <c r="J153" s="72"/>
      <c r="K153" s="72"/>
      <c r="L153" s="72"/>
      <c r="M153" s="72"/>
      <c r="N153" s="72"/>
      <c r="O153" s="72"/>
      <c r="P153" s="72"/>
      <c r="Q153" s="72"/>
      <c r="R153" s="78"/>
      <c r="S153" s="72"/>
      <c r="T153" s="72"/>
      <c r="U153" s="72"/>
      <c r="V153" s="72"/>
      <c r="W153" s="72"/>
      <c r="X153" s="72"/>
      <c r="Y153" s="72"/>
      <c r="Z153" s="72"/>
      <c r="AA153" s="79"/>
      <c r="AB153" s="79"/>
      <c r="AC153" s="79"/>
      <c r="AD153" s="79"/>
      <c r="AE153" s="79"/>
    </row>
    <row r="154" spans="1:31" ht="16.5" x14ac:dyDescent="0.35">
      <c r="A154" s="71">
        <v>148</v>
      </c>
      <c r="B154" s="72">
        <v>2022224592</v>
      </c>
      <c r="C154" s="80" t="s">
        <v>521</v>
      </c>
      <c r="D154" s="81" t="s">
        <v>306</v>
      </c>
      <c r="E154" s="72" t="s">
        <v>468</v>
      </c>
      <c r="F154" s="76">
        <v>3</v>
      </c>
      <c r="G154" s="72" t="s">
        <v>1300</v>
      </c>
      <c r="H154" s="78">
        <v>45728</v>
      </c>
      <c r="I154" s="72" t="s">
        <v>1299</v>
      </c>
      <c r="J154" s="72">
        <v>6.5</v>
      </c>
      <c r="K154" s="72"/>
      <c r="L154" s="72" t="s">
        <v>925</v>
      </c>
      <c r="M154" s="78">
        <v>45757</v>
      </c>
      <c r="N154" s="72" t="s">
        <v>1299</v>
      </c>
      <c r="O154" s="72">
        <v>9.5</v>
      </c>
      <c r="P154" s="72"/>
      <c r="Q154" s="72" t="s">
        <v>924</v>
      </c>
      <c r="R154" s="78">
        <v>45787</v>
      </c>
      <c r="S154" s="72" t="s">
        <v>1299</v>
      </c>
      <c r="T154" s="72">
        <v>8</v>
      </c>
      <c r="U154" s="72" t="s">
        <v>1290</v>
      </c>
      <c r="V154" s="72"/>
      <c r="W154" s="72"/>
      <c r="X154" s="72"/>
      <c r="Y154" s="72"/>
      <c r="Z154" s="72"/>
      <c r="AA154" s="79"/>
      <c r="AB154" s="79"/>
      <c r="AC154" s="79"/>
      <c r="AD154" s="79"/>
      <c r="AE154" s="79"/>
    </row>
    <row r="155" spans="1:31" ht="16.5" x14ac:dyDescent="0.35">
      <c r="A155" s="71">
        <v>149</v>
      </c>
      <c r="B155" s="72">
        <v>2022224623</v>
      </c>
      <c r="C155" s="80" t="s">
        <v>364</v>
      </c>
      <c r="D155" s="81" t="s">
        <v>355</v>
      </c>
      <c r="E155" s="72" t="s">
        <v>468</v>
      </c>
      <c r="F155" s="76">
        <v>2</v>
      </c>
      <c r="G155" s="72" t="s">
        <v>1300</v>
      </c>
      <c r="H155" s="78">
        <v>45737</v>
      </c>
      <c r="I155" s="72" t="s">
        <v>1299</v>
      </c>
      <c r="J155" s="72">
        <v>8</v>
      </c>
      <c r="K155" s="72">
        <v>0.5</v>
      </c>
      <c r="L155" s="72" t="s">
        <v>924</v>
      </c>
      <c r="M155" s="78">
        <v>45798</v>
      </c>
      <c r="N155" s="72" t="s">
        <v>1299</v>
      </c>
      <c r="O155" s="72">
        <v>8.5</v>
      </c>
      <c r="P155" s="72"/>
      <c r="Q155" s="72"/>
      <c r="R155" s="78"/>
      <c r="S155" s="72"/>
      <c r="T155" s="72"/>
      <c r="U155" s="72"/>
      <c r="V155" s="72"/>
      <c r="W155" s="72"/>
      <c r="X155" s="72"/>
      <c r="Y155" s="72"/>
      <c r="Z155" s="72"/>
      <c r="AA155" s="79"/>
      <c r="AB155" s="79"/>
      <c r="AC155" s="79"/>
      <c r="AD155" s="79"/>
      <c r="AE155" s="79"/>
    </row>
    <row r="156" spans="1:31" ht="16.5" x14ac:dyDescent="0.35">
      <c r="A156" s="71">
        <v>150</v>
      </c>
      <c r="B156" s="72">
        <v>2022224813</v>
      </c>
      <c r="C156" s="80" t="s">
        <v>507</v>
      </c>
      <c r="D156" s="81" t="s">
        <v>102</v>
      </c>
      <c r="E156" s="72" t="s">
        <v>468</v>
      </c>
      <c r="F156" s="76">
        <v>2</v>
      </c>
      <c r="G156" s="72" t="s">
        <v>924</v>
      </c>
      <c r="H156" s="78">
        <v>45623</v>
      </c>
      <c r="I156" s="72" t="s">
        <v>1299</v>
      </c>
      <c r="J156" s="72">
        <v>6</v>
      </c>
      <c r="K156" s="72"/>
      <c r="L156" s="72" t="s">
        <v>1300</v>
      </c>
      <c r="M156" s="78">
        <v>45784</v>
      </c>
      <c r="N156" s="72" t="s">
        <v>1299</v>
      </c>
      <c r="O156" s="72">
        <v>9</v>
      </c>
      <c r="P156" s="72"/>
      <c r="Q156" s="72"/>
      <c r="R156" s="78"/>
      <c r="S156" s="72"/>
      <c r="T156" s="72"/>
      <c r="U156" s="72"/>
      <c r="V156" s="72"/>
      <c r="W156" s="72"/>
      <c r="X156" s="72"/>
      <c r="Y156" s="72"/>
      <c r="Z156" s="72"/>
      <c r="AA156" s="79"/>
      <c r="AB156" s="79"/>
      <c r="AC156" s="79"/>
      <c r="AD156" s="79"/>
      <c r="AE156" s="79"/>
    </row>
    <row r="157" spans="1:31" ht="16.5" x14ac:dyDescent="0.35">
      <c r="A157" s="71">
        <v>151</v>
      </c>
      <c r="B157" s="72">
        <v>2022224803</v>
      </c>
      <c r="C157" s="80" t="s">
        <v>509</v>
      </c>
      <c r="D157" s="81" t="s">
        <v>102</v>
      </c>
      <c r="E157" s="72" t="s">
        <v>468</v>
      </c>
      <c r="F157" s="76">
        <v>2</v>
      </c>
      <c r="G157" s="72" t="s">
        <v>1301</v>
      </c>
      <c r="H157" s="78">
        <v>45630</v>
      </c>
      <c r="I157" s="72" t="s">
        <v>1299</v>
      </c>
      <c r="J157" s="72">
        <v>8.5</v>
      </c>
      <c r="K157" s="72"/>
      <c r="L157" s="72" t="s">
        <v>924</v>
      </c>
      <c r="M157" s="78">
        <v>45776</v>
      </c>
      <c r="N157" s="72" t="s">
        <v>1299</v>
      </c>
      <c r="O157" s="72">
        <v>9</v>
      </c>
      <c r="P157" s="72"/>
      <c r="Q157" s="72"/>
      <c r="R157" s="78"/>
      <c r="S157" s="72"/>
      <c r="T157" s="72"/>
      <c r="U157" s="72"/>
      <c r="V157" s="72"/>
      <c r="W157" s="72"/>
      <c r="X157" s="72"/>
      <c r="Y157" s="72"/>
      <c r="Z157" s="72"/>
      <c r="AA157" s="79"/>
      <c r="AB157" s="79"/>
      <c r="AC157" s="79"/>
      <c r="AD157" s="79"/>
      <c r="AE157" s="79"/>
    </row>
    <row r="158" spans="1:31" ht="16.5" x14ac:dyDescent="0.35">
      <c r="A158" s="71">
        <v>152</v>
      </c>
      <c r="B158" s="72">
        <v>2022225090</v>
      </c>
      <c r="C158" s="80" t="s">
        <v>44</v>
      </c>
      <c r="D158" s="81" t="s">
        <v>516</v>
      </c>
      <c r="E158" s="72" t="s">
        <v>468</v>
      </c>
      <c r="F158" s="76">
        <v>3</v>
      </c>
      <c r="G158" s="72" t="s">
        <v>1301</v>
      </c>
      <c r="H158" s="78">
        <v>45630</v>
      </c>
      <c r="I158" s="72" t="s">
        <v>1299</v>
      </c>
      <c r="J158" s="72">
        <v>8</v>
      </c>
      <c r="K158" s="72"/>
      <c r="L158" s="72" t="s">
        <v>1300</v>
      </c>
      <c r="M158" s="78">
        <v>45728</v>
      </c>
      <c r="N158" s="72" t="s">
        <v>1299</v>
      </c>
      <c r="O158" s="72">
        <v>7.5</v>
      </c>
      <c r="P158" s="72"/>
      <c r="Q158" s="72" t="s">
        <v>925</v>
      </c>
      <c r="R158" s="78">
        <v>45757</v>
      </c>
      <c r="S158" s="72" t="s">
        <v>1299</v>
      </c>
      <c r="T158" s="72">
        <v>9.5</v>
      </c>
      <c r="U158" s="72"/>
      <c r="V158" s="72"/>
      <c r="W158" s="72"/>
      <c r="X158" s="72"/>
      <c r="Y158" s="72"/>
      <c r="Z158" s="72"/>
      <c r="AA158" s="79"/>
      <c r="AB158" s="79"/>
      <c r="AC158" s="79"/>
      <c r="AD158" s="79"/>
      <c r="AE158" s="79"/>
    </row>
    <row r="159" spans="1:31" ht="16.5" x14ac:dyDescent="0.35">
      <c r="A159" s="71">
        <v>153</v>
      </c>
      <c r="B159" s="72">
        <v>2022225129</v>
      </c>
      <c r="C159" s="80" t="s">
        <v>219</v>
      </c>
      <c r="D159" s="81" t="s">
        <v>515</v>
      </c>
      <c r="E159" s="72" t="s">
        <v>468</v>
      </c>
      <c r="F159" s="76">
        <v>2</v>
      </c>
      <c r="G159" s="72" t="s">
        <v>1301</v>
      </c>
      <c r="H159" s="78">
        <v>45630</v>
      </c>
      <c r="I159" s="72" t="s">
        <v>1299</v>
      </c>
      <c r="J159" s="72">
        <v>5.5</v>
      </c>
      <c r="K159" s="72"/>
      <c r="L159" s="72" t="s">
        <v>1300</v>
      </c>
      <c r="M159" s="78">
        <v>45791</v>
      </c>
      <c r="N159" s="72" t="s">
        <v>1299</v>
      </c>
      <c r="O159" s="72">
        <v>7.5</v>
      </c>
      <c r="P159" s="72">
        <v>1</v>
      </c>
      <c r="Q159" s="72"/>
      <c r="R159" s="78"/>
      <c r="S159" s="72"/>
      <c r="T159" s="72"/>
      <c r="U159" s="72"/>
      <c r="V159" s="72"/>
      <c r="W159" s="72"/>
      <c r="X159" s="72"/>
      <c r="Y159" s="72"/>
      <c r="Z159" s="72"/>
      <c r="AA159" s="79"/>
      <c r="AB159" s="79"/>
      <c r="AC159" s="79"/>
      <c r="AD159" s="79"/>
      <c r="AE159" s="79"/>
    </row>
    <row r="160" spans="1:31" ht="16.5" x14ac:dyDescent="0.35">
      <c r="A160" s="71">
        <v>154</v>
      </c>
      <c r="B160" s="72">
        <v>2022225222</v>
      </c>
      <c r="C160" s="80" t="s">
        <v>510</v>
      </c>
      <c r="D160" s="81" t="s">
        <v>123</v>
      </c>
      <c r="E160" s="72" t="s">
        <v>468</v>
      </c>
      <c r="F160" s="76">
        <v>2</v>
      </c>
      <c r="G160" s="72" t="s">
        <v>1301</v>
      </c>
      <c r="H160" s="78">
        <v>45630</v>
      </c>
      <c r="I160" s="72" t="s">
        <v>1299</v>
      </c>
      <c r="J160" s="72">
        <v>7.5</v>
      </c>
      <c r="K160" s="72"/>
      <c r="L160" s="72" t="s">
        <v>1300</v>
      </c>
      <c r="M160" s="78">
        <v>45728</v>
      </c>
      <c r="N160" s="72" t="s">
        <v>1299</v>
      </c>
      <c r="O160" s="72">
        <v>7</v>
      </c>
      <c r="P160" s="72"/>
      <c r="Q160" s="72"/>
      <c r="R160" s="78"/>
      <c r="S160" s="72"/>
      <c r="T160" s="72"/>
      <c r="U160" s="72"/>
      <c r="V160" s="72"/>
      <c r="W160" s="72"/>
      <c r="X160" s="72"/>
      <c r="Y160" s="72"/>
      <c r="Z160" s="72"/>
      <c r="AA160" s="79"/>
      <c r="AB160" s="79"/>
      <c r="AC160" s="79"/>
      <c r="AD160" s="79"/>
      <c r="AE160" s="79"/>
    </row>
    <row r="161" spans="1:31" ht="16.5" x14ac:dyDescent="0.35">
      <c r="A161" s="71">
        <v>155</v>
      </c>
      <c r="B161" s="72">
        <v>2022225258</v>
      </c>
      <c r="C161" s="80" t="s">
        <v>511</v>
      </c>
      <c r="D161" s="81" t="s">
        <v>123</v>
      </c>
      <c r="E161" s="72" t="s">
        <v>468</v>
      </c>
      <c r="F161" s="76">
        <v>2</v>
      </c>
      <c r="G161" s="72" t="s">
        <v>924</v>
      </c>
      <c r="H161" s="78">
        <v>45629</v>
      </c>
      <c r="I161" s="72" t="s">
        <v>1299</v>
      </c>
      <c r="J161" s="72">
        <v>5</v>
      </c>
      <c r="K161" s="72"/>
      <c r="L161" s="72" t="s">
        <v>925</v>
      </c>
      <c r="M161" s="78">
        <v>45797</v>
      </c>
      <c r="N161" s="72" t="s">
        <v>1299</v>
      </c>
      <c r="O161" s="72">
        <v>7</v>
      </c>
      <c r="P161" s="72"/>
      <c r="Q161" s="72"/>
      <c r="R161" s="78"/>
      <c r="S161" s="72"/>
      <c r="T161" s="72"/>
      <c r="U161" s="72"/>
      <c r="V161" s="72"/>
      <c r="W161" s="72"/>
      <c r="X161" s="72"/>
      <c r="Y161" s="72"/>
      <c r="Z161" s="72"/>
      <c r="AA161" s="79"/>
      <c r="AB161" s="79"/>
      <c r="AC161" s="79"/>
      <c r="AD161" s="79"/>
      <c r="AE161" s="79"/>
    </row>
    <row r="162" spans="1:31" ht="16.5" x14ac:dyDescent="0.35">
      <c r="A162" s="71">
        <v>156</v>
      </c>
      <c r="B162" s="72">
        <v>2022225303</v>
      </c>
      <c r="C162" s="80" t="s">
        <v>513</v>
      </c>
      <c r="D162" s="81" t="s">
        <v>514</v>
      </c>
      <c r="E162" s="72" t="s">
        <v>468</v>
      </c>
      <c r="F162" s="76">
        <v>2</v>
      </c>
      <c r="G162" s="72" t="s">
        <v>1300</v>
      </c>
      <c r="H162" s="78">
        <v>45749</v>
      </c>
      <c r="I162" s="86" t="s">
        <v>1299</v>
      </c>
      <c r="J162" s="72">
        <v>9</v>
      </c>
      <c r="K162" s="72"/>
      <c r="L162" s="72" t="s">
        <v>925</v>
      </c>
      <c r="M162" s="78">
        <v>45797</v>
      </c>
      <c r="N162" s="72" t="s">
        <v>1299</v>
      </c>
      <c r="O162" s="72">
        <v>7</v>
      </c>
      <c r="P162" s="72"/>
      <c r="Q162" s="72"/>
      <c r="R162" s="78"/>
      <c r="S162" s="72"/>
      <c r="T162" s="72"/>
      <c r="U162" s="72"/>
      <c r="V162" s="72"/>
      <c r="W162" s="72"/>
      <c r="X162" s="72"/>
      <c r="Y162" s="72"/>
      <c r="Z162" s="72"/>
      <c r="AA162" s="79"/>
      <c r="AB162" s="79"/>
      <c r="AC162" s="79"/>
      <c r="AD162" s="79"/>
      <c r="AE162" s="79"/>
    </row>
    <row r="163" spans="1:31" ht="16.5" x14ac:dyDescent="0.35">
      <c r="A163" s="71">
        <v>157</v>
      </c>
      <c r="B163" s="72">
        <v>2022225393</v>
      </c>
      <c r="C163" s="80" t="s">
        <v>518</v>
      </c>
      <c r="D163" s="81" t="s">
        <v>258</v>
      </c>
      <c r="E163" s="72" t="s">
        <v>468</v>
      </c>
      <c r="F163" s="76">
        <v>2</v>
      </c>
      <c r="G163" s="72" t="s">
        <v>924</v>
      </c>
      <c r="H163" s="78">
        <v>45629</v>
      </c>
      <c r="I163" s="72" t="s">
        <v>1299</v>
      </c>
      <c r="J163" s="72">
        <v>6.5</v>
      </c>
      <c r="K163" s="72"/>
      <c r="L163" s="72" t="s">
        <v>1300</v>
      </c>
      <c r="M163" s="78">
        <v>45742</v>
      </c>
      <c r="N163" s="72" t="s">
        <v>1299</v>
      </c>
      <c r="O163" s="72">
        <v>9</v>
      </c>
      <c r="P163" s="72"/>
      <c r="Q163" s="72"/>
      <c r="R163" s="78"/>
      <c r="S163" s="72"/>
      <c r="T163" s="72"/>
      <c r="U163" s="72"/>
      <c r="V163" s="72"/>
      <c r="W163" s="72"/>
      <c r="X163" s="72"/>
      <c r="Y163" s="72"/>
      <c r="Z163" s="72"/>
      <c r="AA163" s="79"/>
      <c r="AB163" s="79"/>
      <c r="AC163" s="79"/>
      <c r="AD163" s="79"/>
      <c r="AE163" s="79"/>
    </row>
    <row r="164" spans="1:31" ht="16.5" x14ac:dyDescent="0.35">
      <c r="A164" s="71">
        <v>158</v>
      </c>
      <c r="B164" s="72">
        <v>2022225514</v>
      </c>
      <c r="C164" s="80" t="s">
        <v>517</v>
      </c>
      <c r="D164" s="81" t="s">
        <v>168</v>
      </c>
      <c r="E164" s="72" t="s">
        <v>468</v>
      </c>
      <c r="F164" s="76">
        <v>2</v>
      </c>
      <c r="G164" s="72" t="s">
        <v>924</v>
      </c>
      <c r="H164" s="78">
        <v>45629</v>
      </c>
      <c r="I164" s="72" t="s">
        <v>1299</v>
      </c>
      <c r="J164" s="72">
        <v>8.5</v>
      </c>
      <c r="K164" s="72"/>
      <c r="L164" s="72" t="s">
        <v>1300</v>
      </c>
      <c r="M164" s="78">
        <v>45756</v>
      </c>
      <c r="N164" s="72" t="s">
        <v>1299</v>
      </c>
      <c r="O164" s="72">
        <v>8</v>
      </c>
      <c r="P164" s="72"/>
      <c r="Q164" s="72"/>
      <c r="R164" s="78"/>
      <c r="S164" s="72"/>
      <c r="T164" s="72"/>
      <c r="U164" s="72"/>
      <c r="V164" s="72"/>
      <c r="W164" s="72"/>
      <c r="X164" s="72"/>
      <c r="Y164" s="72"/>
      <c r="Z164" s="72"/>
      <c r="AA164" s="79"/>
      <c r="AB164" s="79"/>
      <c r="AC164" s="79"/>
      <c r="AD164" s="79"/>
      <c r="AE164" s="79"/>
    </row>
    <row r="165" spans="1:31" ht="16.5" x14ac:dyDescent="0.35">
      <c r="A165" s="71">
        <v>159</v>
      </c>
      <c r="B165" s="72">
        <v>2022225528</v>
      </c>
      <c r="C165" s="80" t="s">
        <v>981</v>
      </c>
      <c r="D165" s="81" t="s">
        <v>168</v>
      </c>
      <c r="E165" s="72" t="s">
        <v>468</v>
      </c>
      <c r="F165" s="76">
        <v>0</v>
      </c>
      <c r="G165" s="72"/>
      <c r="H165" s="78"/>
      <c r="I165" s="72"/>
      <c r="J165" s="72"/>
      <c r="K165" s="72"/>
      <c r="L165" s="72"/>
      <c r="M165" s="72"/>
      <c r="N165" s="72"/>
      <c r="O165" s="72"/>
      <c r="P165" s="72"/>
      <c r="Q165" s="72"/>
      <c r="R165" s="78"/>
      <c r="S165" s="72"/>
      <c r="T165" s="72"/>
      <c r="U165" s="72"/>
      <c r="V165" s="72"/>
      <c r="W165" s="72"/>
      <c r="X165" s="72"/>
      <c r="Y165" s="72"/>
      <c r="Z165" s="72"/>
      <c r="AA165" s="79"/>
      <c r="AB165" s="79"/>
      <c r="AC165" s="79"/>
      <c r="AD165" s="79"/>
      <c r="AE165" s="79"/>
    </row>
    <row r="166" spans="1:31" ht="16.5" x14ac:dyDescent="0.35">
      <c r="A166" s="71">
        <v>160</v>
      </c>
      <c r="B166" s="72">
        <v>2022225751</v>
      </c>
      <c r="C166" s="80" t="s">
        <v>523</v>
      </c>
      <c r="D166" s="81" t="s">
        <v>280</v>
      </c>
      <c r="E166" s="72" t="s">
        <v>468</v>
      </c>
      <c r="F166" s="76">
        <v>2</v>
      </c>
      <c r="G166" s="72" t="s">
        <v>1300</v>
      </c>
      <c r="H166" s="78">
        <v>45749</v>
      </c>
      <c r="I166" s="86" t="s">
        <v>1299</v>
      </c>
      <c r="J166" s="72">
        <v>9.5</v>
      </c>
      <c r="K166" s="72"/>
      <c r="L166" s="72" t="s">
        <v>924</v>
      </c>
      <c r="M166" s="78">
        <v>45786</v>
      </c>
      <c r="N166" s="72" t="s">
        <v>1299</v>
      </c>
      <c r="O166" s="72">
        <v>8</v>
      </c>
      <c r="P166" s="72"/>
      <c r="Q166" s="72"/>
      <c r="R166" s="78"/>
      <c r="S166" s="72"/>
      <c r="T166" s="72"/>
      <c r="U166" s="72"/>
      <c r="V166" s="72"/>
      <c r="W166" s="72"/>
      <c r="X166" s="72"/>
      <c r="Y166" s="72"/>
      <c r="Z166" s="72"/>
      <c r="AA166" s="79"/>
      <c r="AB166" s="79"/>
      <c r="AC166" s="79"/>
      <c r="AD166" s="79"/>
      <c r="AE166" s="79"/>
    </row>
    <row r="167" spans="1:31" ht="16.5" x14ac:dyDescent="0.35">
      <c r="A167" s="71">
        <v>161</v>
      </c>
      <c r="B167" s="72">
        <v>2022225753</v>
      </c>
      <c r="C167" s="80" t="s">
        <v>525</v>
      </c>
      <c r="D167" s="81" t="s">
        <v>280</v>
      </c>
      <c r="E167" s="72" t="s">
        <v>468</v>
      </c>
      <c r="F167" s="76">
        <v>2</v>
      </c>
      <c r="G167" s="72" t="s">
        <v>1300</v>
      </c>
      <c r="H167" s="78">
        <v>45749</v>
      </c>
      <c r="I167" s="86" t="s">
        <v>1299</v>
      </c>
      <c r="J167" s="72">
        <v>9</v>
      </c>
      <c r="K167" s="72"/>
      <c r="L167" s="72" t="s">
        <v>924</v>
      </c>
      <c r="M167" s="78">
        <v>45786</v>
      </c>
      <c r="N167" s="72" t="s">
        <v>1299</v>
      </c>
      <c r="O167" s="72">
        <v>8</v>
      </c>
      <c r="P167" s="72"/>
      <c r="Q167" s="72"/>
      <c r="R167" s="78"/>
      <c r="S167" s="72"/>
      <c r="T167" s="72"/>
      <c r="U167" s="72"/>
      <c r="V167" s="72"/>
      <c r="W167" s="72"/>
      <c r="X167" s="72"/>
      <c r="Y167" s="72"/>
      <c r="Z167" s="72"/>
      <c r="AA167" s="79"/>
      <c r="AB167" s="79"/>
      <c r="AC167" s="79"/>
      <c r="AD167" s="79"/>
      <c r="AE167" s="79"/>
    </row>
    <row r="168" spans="1:31" ht="16.5" x14ac:dyDescent="0.35">
      <c r="A168" s="71">
        <v>162</v>
      </c>
      <c r="B168" s="72">
        <v>2022225771</v>
      </c>
      <c r="C168" s="80" t="s">
        <v>527</v>
      </c>
      <c r="D168" s="81" t="s">
        <v>528</v>
      </c>
      <c r="E168" s="72" t="s">
        <v>468</v>
      </c>
      <c r="F168" s="76">
        <v>2</v>
      </c>
      <c r="G168" s="72" t="s">
        <v>1300</v>
      </c>
      <c r="H168" s="78">
        <v>45749</v>
      </c>
      <c r="I168" s="86" t="s">
        <v>1299</v>
      </c>
      <c r="J168" s="72">
        <v>7</v>
      </c>
      <c r="K168" s="72"/>
      <c r="L168" s="72" t="s">
        <v>924</v>
      </c>
      <c r="M168" s="78">
        <v>45798</v>
      </c>
      <c r="N168" s="72" t="s">
        <v>1299</v>
      </c>
      <c r="O168" s="72">
        <v>8.5</v>
      </c>
      <c r="P168" s="72"/>
      <c r="Q168" s="72"/>
      <c r="R168" s="78"/>
      <c r="S168" s="72"/>
      <c r="T168" s="72"/>
      <c r="U168" s="72"/>
      <c r="V168" s="72"/>
      <c r="W168" s="72"/>
      <c r="X168" s="72"/>
      <c r="Y168" s="72"/>
      <c r="Z168" s="72"/>
      <c r="AA168" s="79"/>
      <c r="AB168" s="79"/>
      <c r="AC168" s="79"/>
      <c r="AD168" s="79"/>
      <c r="AE168" s="79"/>
    </row>
    <row r="169" spans="1:31" ht="16.5" x14ac:dyDescent="0.35">
      <c r="A169" s="71">
        <v>163</v>
      </c>
      <c r="B169" s="72">
        <v>2022225996</v>
      </c>
      <c r="C169" s="80" t="s">
        <v>530</v>
      </c>
      <c r="D169" s="81" t="s">
        <v>56</v>
      </c>
      <c r="E169" s="72" t="s">
        <v>468</v>
      </c>
      <c r="F169" s="76">
        <v>2</v>
      </c>
      <c r="G169" s="72" t="s">
        <v>924</v>
      </c>
      <c r="H169" s="78">
        <v>45629</v>
      </c>
      <c r="I169" s="72" t="s">
        <v>1299</v>
      </c>
      <c r="J169" s="72">
        <v>6.5</v>
      </c>
      <c r="K169" s="72"/>
      <c r="L169" s="72" t="s">
        <v>1300</v>
      </c>
      <c r="M169" s="78">
        <v>45742</v>
      </c>
      <c r="N169" s="72" t="s">
        <v>1299</v>
      </c>
      <c r="O169" s="72">
        <v>8.5</v>
      </c>
      <c r="P169" s="72"/>
      <c r="Q169" s="72"/>
      <c r="R169" s="78"/>
      <c r="S169" s="72"/>
      <c r="T169" s="72"/>
      <c r="U169" s="72"/>
      <c r="V169" s="72"/>
      <c r="W169" s="72"/>
      <c r="X169" s="72"/>
      <c r="Y169" s="72"/>
      <c r="Z169" s="72"/>
      <c r="AA169" s="79"/>
      <c r="AB169" s="79"/>
      <c r="AC169" s="79"/>
      <c r="AD169" s="79"/>
      <c r="AE169" s="79"/>
    </row>
    <row r="170" spans="1:31" ht="16.5" x14ac:dyDescent="0.35">
      <c r="A170" s="71">
        <v>164</v>
      </c>
      <c r="B170" s="72">
        <v>2022226065</v>
      </c>
      <c r="C170" s="80" t="s">
        <v>986</v>
      </c>
      <c r="D170" s="81" t="s">
        <v>987</v>
      </c>
      <c r="E170" s="72" t="s">
        <v>468</v>
      </c>
      <c r="F170" s="76">
        <v>0</v>
      </c>
      <c r="G170" s="72"/>
      <c r="H170" s="78"/>
      <c r="I170" s="72"/>
      <c r="J170" s="72"/>
      <c r="K170" s="72"/>
      <c r="L170" s="72"/>
      <c r="M170" s="72"/>
      <c r="N170" s="72"/>
      <c r="O170" s="72"/>
      <c r="P170" s="72"/>
      <c r="Q170" s="72"/>
      <c r="R170" s="78"/>
      <c r="S170" s="72"/>
      <c r="T170" s="72"/>
      <c r="U170" s="72"/>
      <c r="V170" s="72"/>
      <c r="W170" s="72"/>
      <c r="X170" s="72"/>
      <c r="Y170" s="72"/>
      <c r="Z170" s="72"/>
      <c r="AA170" s="79"/>
      <c r="AB170" s="79"/>
      <c r="AC170" s="79"/>
      <c r="AD170" s="79"/>
      <c r="AE170" s="79"/>
    </row>
    <row r="171" spans="1:31" ht="16.5" x14ac:dyDescent="0.35">
      <c r="A171" s="71">
        <v>165</v>
      </c>
      <c r="B171" s="72">
        <v>2022226142</v>
      </c>
      <c r="C171" s="80" t="s">
        <v>531</v>
      </c>
      <c r="D171" s="81" t="s">
        <v>135</v>
      </c>
      <c r="E171" s="72" t="s">
        <v>468</v>
      </c>
      <c r="F171" s="76">
        <v>3</v>
      </c>
      <c r="G171" s="72" t="s">
        <v>1300</v>
      </c>
      <c r="H171" s="78">
        <v>45756</v>
      </c>
      <c r="I171" s="72" t="s">
        <v>1299</v>
      </c>
      <c r="J171" s="72">
        <v>9</v>
      </c>
      <c r="K171" s="72"/>
      <c r="L171" s="72" t="s">
        <v>925</v>
      </c>
      <c r="M171" s="78">
        <v>45769</v>
      </c>
      <c r="N171" s="72" t="s">
        <v>1299</v>
      </c>
      <c r="O171" s="72">
        <v>9.5</v>
      </c>
      <c r="P171" s="72"/>
      <c r="Q171" s="72" t="s">
        <v>924</v>
      </c>
      <c r="R171" s="78">
        <v>45798</v>
      </c>
      <c r="S171" s="72" t="s">
        <v>1299</v>
      </c>
      <c r="T171" s="72">
        <v>8</v>
      </c>
      <c r="U171" s="72">
        <v>0.5</v>
      </c>
      <c r="V171" s="72"/>
      <c r="W171" s="72"/>
      <c r="X171" s="72"/>
      <c r="Y171" s="72"/>
      <c r="Z171" s="72"/>
      <c r="AA171" s="79"/>
      <c r="AB171" s="79"/>
      <c r="AC171" s="79"/>
      <c r="AD171" s="79"/>
      <c r="AE171" s="79"/>
    </row>
    <row r="172" spans="1:31" ht="16.5" x14ac:dyDescent="0.35">
      <c r="A172" s="71">
        <v>166</v>
      </c>
      <c r="B172" s="72">
        <v>2022226131</v>
      </c>
      <c r="C172" s="80" t="s">
        <v>93</v>
      </c>
      <c r="D172" s="81" t="s">
        <v>135</v>
      </c>
      <c r="E172" s="72" t="s">
        <v>468</v>
      </c>
      <c r="F172" s="76">
        <v>0</v>
      </c>
      <c r="G172" s="72"/>
      <c r="H172" s="78"/>
      <c r="I172" s="72"/>
      <c r="J172" s="72"/>
      <c r="K172" s="72"/>
      <c r="L172" s="72"/>
      <c r="M172" s="72"/>
      <c r="N172" s="72"/>
      <c r="O172" s="72"/>
      <c r="P172" s="72"/>
      <c r="Q172" s="72"/>
      <c r="R172" s="78"/>
      <c r="S172" s="72"/>
      <c r="T172" s="72"/>
      <c r="U172" s="72"/>
      <c r="V172" s="72"/>
      <c r="W172" s="72"/>
      <c r="X172" s="72"/>
      <c r="Y172" s="72"/>
      <c r="Z172" s="72"/>
      <c r="AA172" s="79"/>
      <c r="AB172" s="79"/>
      <c r="AC172" s="79"/>
      <c r="AD172" s="79"/>
      <c r="AE172" s="79"/>
    </row>
    <row r="173" spans="1:31" ht="16.5" x14ac:dyDescent="0.35">
      <c r="A173" s="71">
        <v>167</v>
      </c>
      <c r="B173" s="72">
        <v>2041220044</v>
      </c>
      <c r="C173" s="80" t="s">
        <v>293</v>
      </c>
      <c r="D173" s="81" t="s">
        <v>71</v>
      </c>
      <c r="E173" s="72" t="s">
        <v>534</v>
      </c>
      <c r="F173" s="76">
        <v>2</v>
      </c>
      <c r="G173" s="72" t="s">
        <v>924</v>
      </c>
      <c r="H173" s="78">
        <v>45637</v>
      </c>
      <c r="I173" s="72" t="s">
        <v>1299</v>
      </c>
      <c r="J173" s="72">
        <v>7.5</v>
      </c>
      <c r="K173" s="72"/>
      <c r="L173" s="72" t="s">
        <v>1300</v>
      </c>
      <c r="M173" s="78">
        <v>45744</v>
      </c>
      <c r="N173" s="72" t="s">
        <v>1299</v>
      </c>
      <c r="O173" s="72">
        <v>7.5</v>
      </c>
      <c r="P173" s="72"/>
      <c r="Q173" s="72"/>
      <c r="R173" s="78"/>
      <c r="S173" s="72"/>
      <c r="T173" s="72"/>
      <c r="U173" s="72"/>
      <c r="V173" s="72"/>
      <c r="W173" s="72"/>
      <c r="X173" s="72"/>
      <c r="Y173" s="72"/>
      <c r="Z173" s="72"/>
      <c r="AA173" s="79"/>
      <c r="AB173" s="79"/>
      <c r="AC173" s="79"/>
      <c r="AD173" s="79"/>
      <c r="AE173" s="79"/>
    </row>
    <row r="174" spans="1:31" ht="16.5" x14ac:dyDescent="0.35">
      <c r="A174" s="71">
        <v>168</v>
      </c>
      <c r="B174" s="72">
        <v>2041220128</v>
      </c>
      <c r="C174" s="80" t="s">
        <v>989</v>
      </c>
      <c r="D174" s="81" t="s">
        <v>36</v>
      </c>
      <c r="E174" s="72" t="s">
        <v>534</v>
      </c>
      <c r="F174" s="76">
        <v>2</v>
      </c>
      <c r="G174" s="72" t="s">
        <v>924</v>
      </c>
      <c r="H174" s="78">
        <v>45623</v>
      </c>
      <c r="I174" s="72" t="s">
        <v>1299</v>
      </c>
      <c r="J174" s="72">
        <v>6</v>
      </c>
      <c r="K174" s="72"/>
      <c r="L174" s="72" t="s">
        <v>1300</v>
      </c>
      <c r="M174" s="78">
        <v>45791</v>
      </c>
      <c r="N174" s="72" t="s">
        <v>1299</v>
      </c>
      <c r="O174" s="72">
        <v>8</v>
      </c>
      <c r="P174" s="72"/>
      <c r="Q174" s="72"/>
      <c r="R174" s="78"/>
      <c r="S174" s="72"/>
      <c r="T174" s="72"/>
      <c r="U174" s="72"/>
      <c r="V174" s="72"/>
      <c r="W174" s="72"/>
      <c r="X174" s="72"/>
      <c r="Y174" s="72"/>
      <c r="Z174" s="72"/>
      <c r="AA174" s="79"/>
      <c r="AB174" s="79"/>
      <c r="AC174" s="79"/>
      <c r="AD174" s="79"/>
      <c r="AE174" s="79"/>
    </row>
    <row r="175" spans="1:31" ht="16.5" x14ac:dyDescent="0.35">
      <c r="A175" s="71">
        <v>169</v>
      </c>
      <c r="B175" s="72">
        <v>2041220257</v>
      </c>
      <c r="C175" s="80" t="s">
        <v>44</v>
      </c>
      <c r="D175" s="81" t="s">
        <v>170</v>
      </c>
      <c r="E175" s="72" t="s">
        <v>534</v>
      </c>
      <c r="F175" s="76">
        <v>2</v>
      </c>
      <c r="G175" s="72" t="s">
        <v>924</v>
      </c>
      <c r="H175" s="78">
        <v>45645</v>
      </c>
      <c r="I175" s="72" t="s">
        <v>1299</v>
      </c>
      <c r="J175" s="72">
        <v>7.5</v>
      </c>
      <c r="K175" s="72"/>
      <c r="L175" s="72" t="s">
        <v>1300</v>
      </c>
      <c r="M175" s="78">
        <v>45644</v>
      </c>
      <c r="N175" s="72" t="s">
        <v>1299</v>
      </c>
      <c r="O175" s="72">
        <v>9.5</v>
      </c>
      <c r="P175" s="72"/>
      <c r="Q175" s="72"/>
      <c r="R175" s="78"/>
      <c r="S175" s="72"/>
      <c r="T175" s="72"/>
      <c r="U175" s="72"/>
      <c r="V175" s="72"/>
      <c r="W175" s="72"/>
      <c r="X175" s="72"/>
      <c r="Y175" s="72"/>
      <c r="Z175" s="72"/>
      <c r="AA175" s="79"/>
      <c r="AB175" s="79"/>
      <c r="AC175" s="79"/>
      <c r="AD175" s="79"/>
      <c r="AE175" s="79"/>
    </row>
    <row r="176" spans="1:31" ht="16.5" x14ac:dyDescent="0.35">
      <c r="A176" s="71">
        <v>170</v>
      </c>
      <c r="B176" s="72">
        <v>2041220378</v>
      </c>
      <c r="C176" s="80" t="s">
        <v>44</v>
      </c>
      <c r="D176" s="81" t="s">
        <v>570</v>
      </c>
      <c r="E176" s="72" t="s">
        <v>534</v>
      </c>
      <c r="F176" s="76">
        <v>0</v>
      </c>
      <c r="G176" s="72"/>
      <c r="H176" s="78"/>
      <c r="I176" s="72"/>
      <c r="J176" s="72"/>
      <c r="K176" s="72"/>
      <c r="L176" s="72"/>
      <c r="M176" s="72"/>
      <c r="N176" s="72"/>
      <c r="O176" s="72"/>
      <c r="P176" s="72"/>
      <c r="Q176" s="72"/>
      <c r="R176" s="78"/>
      <c r="S176" s="72"/>
      <c r="T176" s="72"/>
      <c r="U176" s="72"/>
      <c r="V176" s="72"/>
      <c r="W176" s="72"/>
      <c r="X176" s="72"/>
      <c r="Y176" s="72"/>
      <c r="Z176" s="79"/>
      <c r="AA176" s="79"/>
      <c r="AB176" s="79"/>
      <c r="AC176" s="79"/>
      <c r="AD176" s="79"/>
      <c r="AE176" s="79"/>
    </row>
    <row r="177" spans="1:31" ht="16.5" x14ac:dyDescent="0.35">
      <c r="A177" s="71">
        <v>171</v>
      </c>
      <c r="B177" s="72">
        <v>2041220509</v>
      </c>
      <c r="C177" s="80" t="s">
        <v>538</v>
      </c>
      <c r="D177" s="81" t="s">
        <v>539</v>
      </c>
      <c r="E177" s="72" t="s">
        <v>534</v>
      </c>
      <c r="F177" s="76">
        <v>3</v>
      </c>
      <c r="G177" s="72" t="s">
        <v>1300</v>
      </c>
      <c r="H177" s="78">
        <v>45424</v>
      </c>
      <c r="I177" s="72" t="s">
        <v>1299</v>
      </c>
      <c r="J177" s="72">
        <v>6.5</v>
      </c>
      <c r="K177" s="72"/>
      <c r="L177" s="72" t="s">
        <v>1300</v>
      </c>
      <c r="M177" s="78">
        <v>45631</v>
      </c>
      <c r="N177" s="72" t="s">
        <v>1299</v>
      </c>
      <c r="O177" s="72">
        <v>7.5</v>
      </c>
      <c r="P177" s="72"/>
      <c r="Q177" s="72" t="s">
        <v>925</v>
      </c>
      <c r="R177" s="78">
        <v>45636</v>
      </c>
      <c r="S177" s="72" t="s">
        <v>1299</v>
      </c>
      <c r="T177" s="72">
        <v>6.5</v>
      </c>
      <c r="U177" s="72"/>
      <c r="V177" s="72"/>
      <c r="W177" s="72"/>
      <c r="X177" s="72"/>
      <c r="Y177" s="72"/>
      <c r="Z177" s="79"/>
      <c r="AA177" s="79"/>
      <c r="AB177" s="79"/>
      <c r="AC177" s="79"/>
      <c r="AD177" s="79"/>
      <c r="AE177" s="79"/>
    </row>
    <row r="178" spans="1:31" ht="16.5" x14ac:dyDescent="0.35">
      <c r="A178" s="71">
        <v>172</v>
      </c>
      <c r="B178" s="72">
        <v>2041220532</v>
      </c>
      <c r="C178" s="80" t="s">
        <v>417</v>
      </c>
      <c r="D178" s="81" t="s">
        <v>533</v>
      </c>
      <c r="E178" s="72" t="s">
        <v>534</v>
      </c>
      <c r="F178" s="76">
        <v>3</v>
      </c>
      <c r="G178" s="79" t="s">
        <v>925</v>
      </c>
      <c r="H178" s="83">
        <v>45559</v>
      </c>
      <c r="I178" s="79" t="s">
        <v>1299</v>
      </c>
      <c r="J178" s="79">
        <v>8.5</v>
      </c>
      <c r="K178" s="79"/>
      <c r="L178" s="79" t="s">
        <v>1300</v>
      </c>
      <c r="M178" s="83">
        <v>45455</v>
      </c>
      <c r="N178" s="79" t="s">
        <v>1299</v>
      </c>
      <c r="O178" s="79">
        <v>7</v>
      </c>
      <c r="P178" s="79"/>
      <c r="Q178" s="79" t="s">
        <v>1303</v>
      </c>
      <c r="R178" s="83">
        <v>45602</v>
      </c>
      <c r="S178" s="79" t="s">
        <v>1299</v>
      </c>
      <c r="T178" s="79">
        <v>6.5</v>
      </c>
      <c r="U178" s="79">
        <v>0.5</v>
      </c>
      <c r="V178" s="79"/>
      <c r="W178" s="79"/>
      <c r="X178" s="79"/>
      <c r="Y178" s="79"/>
      <c r="Z178" s="72"/>
      <c r="AA178" s="79"/>
      <c r="AB178" s="79"/>
      <c r="AC178" s="79"/>
      <c r="AD178" s="79"/>
      <c r="AE178" s="79"/>
    </row>
    <row r="179" spans="1:31" ht="16.5" x14ac:dyDescent="0.35">
      <c r="A179" s="71">
        <v>173</v>
      </c>
      <c r="B179" s="72">
        <v>2041220584</v>
      </c>
      <c r="C179" s="80" t="s">
        <v>293</v>
      </c>
      <c r="D179" s="81" t="s">
        <v>542</v>
      </c>
      <c r="E179" s="72" t="s">
        <v>534</v>
      </c>
      <c r="F179" s="76">
        <v>4</v>
      </c>
      <c r="G179" s="72" t="s">
        <v>1300</v>
      </c>
      <c r="H179" s="78">
        <v>45448</v>
      </c>
      <c r="I179" s="72" t="s">
        <v>1299</v>
      </c>
      <c r="J179" s="72">
        <v>5.5</v>
      </c>
      <c r="K179" s="72"/>
      <c r="L179" s="72" t="s">
        <v>1300</v>
      </c>
      <c r="M179" s="78">
        <v>45631</v>
      </c>
      <c r="N179" s="72" t="s">
        <v>1299</v>
      </c>
      <c r="O179" s="72">
        <v>6</v>
      </c>
      <c r="P179" s="72"/>
      <c r="Q179" s="72" t="s">
        <v>1301</v>
      </c>
      <c r="R179" s="78">
        <v>45783</v>
      </c>
      <c r="S179" s="72" t="s">
        <v>1299</v>
      </c>
      <c r="T179" s="72">
        <v>9.5</v>
      </c>
      <c r="U179" s="72"/>
      <c r="V179" s="88" t="s">
        <v>1302</v>
      </c>
      <c r="W179" s="78">
        <v>45552</v>
      </c>
      <c r="X179" s="72" t="s">
        <v>1299</v>
      </c>
      <c r="Y179" s="72"/>
      <c r="Z179" s="72"/>
      <c r="AA179" s="79"/>
      <c r="AB179" s="79"/>
      <c r="AC179" s="79"/>
      <c r="AD179" s="79"/>
      <c r="AE179" s="79"/>
    </row>
    <row r="180" spans="1:31" ht="16.5" x14ac:dyDescent="0.35">
      <c r="A180" s="71">
        <v>174</v>
      </c>
      <c r="B180" s="72">
        <v>2041220583</v>
      </c>
      <c r="C180" s="80" t="s">
        <v>991</v>
      </c>
      <c r="D180" s="81" t="s">
        <v>542</v>
      </c>
      <c r="E180" s="72" t="s">
        <v>534</v>
      </c>
      <c r="F180" s="76">
        <v>0</v>
      </c>
      <c r="G180" s="72"/>
      <c r="H180" s="78"/>
      <c r="I180" s="72"/>
      <c r="J180" s="72"/>
      <c r="K180" s="72"/>
      <c r="L180" s="72"/>
      <c r="M180" s="72"/>
      <c r="N180" s="72"/>
      <c r="O180" s="72"/>
      <c r="P180" s="72"/>
      <c r="Q180" s="72"/>
      <c r="R180" s="78"/>
      <c r="S180" s="72"/>
      <c r="T180" s="72"/>
      <c r="U180" s="72"/>
      <c r="V180" s="72"/>
      <c r="W180" s="72"/>
      <c r="X180" s="72"/>
      <c r="Y180" s="72"/>
      <c r="Z180" s="72"/>
      <c r="AA180" s="79"/>
      <c r="AB180" s="79"/>
      <c r="AC180" s="79"/>
      <c r="AD180" s="79"/>
      <c r="AE180" s="79"/>
    </row>
    <row r="181" spans="1:31" ht="16.5" x14ac:dyDescent="0.35">
      <c r="A181" s="71">
        <v>175</v>
      </c>
      <c r="B181" s="72">
        <v>2041220587</v>
      </c>
      <c r="C181" s="80" t="s">
        <v>541</v>
      </c>
      <c r="D181" s="81" t="s">
        <v>542</v>
      </c>
      <c r="E181" s="72" t="s">
        <v>534</v>
      </c>
      <c r="F181" s="76">
        <v>2</v>
      </c>
      <c r="G181" s="72" t="s">
        <v>924</v>
      </c>
      <c r="H181" s="78">
        <v>45629</v>
      </c>
      <c r="I181" s="72" t="s">
        <v>1299</v>
      </c>
      <c r="J181" s="72">
        <v>8</v>
      </c>
      <c r="K181" s="72"/>
      <c r="L181" s="72" t="s">
        <v>1301</v>
      </c>
      <c r="M181" s="78">
        <v>45630</v>
      </c>
      <c r="N181" s="72" t="s">
        <v>1299</v>
      </c>
      <c r="O181" s="72">
        <v>9.5</v>
      </c>
      <c r="P181" s="72"/>
      <c r="Q181" s="72"/>
      <c r="R181" s="78"/>
      <c r="S181" s="72"/>
      <c r="T181" s="72"/>
      <c r="U181" s="72"/>
      <c r="V181" s="72"/>
      <c r="W181" s="72"/>
      <c r="X181" s="72"/>
      <c r="Y181" s="72"/>
      <c r="Z181" s="72"/>
      <c r="AA181" s="79"/>
      <c r="AB181" s="79"/>
      <c r="AC181" s="79"/>
      <c r="AD181" s="79"/>
      <c r="AE181" s="79"/>
    </row>
    <row r="182" spans="1:31" ht="16.5" x14ac:dyDescent="0.35">
      <c r="A182" s="71">
        <v>176</v>
      </c>
      <c r="B182" s="72">
        <v>2041220625</v>
      </c>
      <c r="C182" s="80" t="s">
        <v>992</v>
      </c>
      <c r="D182" s="81" t="s">
        <v>993</v>
      </c>
      <c r="E182" s="72" t="s">
        <v>534</v>
      </c>
      <c r="F182" s="76">
        <v>0</v>
      </c>
      <c r="G182" s="72"/>
      <c r="H182" s="78"/>
      <c r="I182" s="72"/>
      <c r="J182" s="72"/>
      <c r="K182" s="72"/>
      <c r="L182" s="72"/>
      <c r="M182" s="78"/>
      <c r="N182" s="72"/>
      <c r="O182" s="72"/>
      <c r="P182" s="72"/>
      <c r="Q182" s="72"/>
      <c r="R182" s="78"/>
      <c r="S182" s="72"/>
      <c r="T182" s="72"/>
      <c r="U182" s="72"/>
      <c r="V182" s="72"/>
      <c r="W182" s="72"/>
      <c r="X182" s="72"/>
      <c r="Y182" s="72"/>
      <c r="Z182" s="72"/>
      <c r="AA182" s="79"/>
      <c r="AB182" s="79"/>
      <c r="AC182" s="79"/>
      <c r="AD182" s="79"/>
      <c r="AE182" s="79"/>
    </row>
    <row r="183" spans="1:31" ht="16.5" x14ac:dyDescent="0.35">
      <c r="A183" s="71">
        <v>177</v>
      </c>
      <c r="B183" s="72">
        <v>2041220738</v>
      </c>
      <c r="C183" s="80" t="s">
        <v>995</v>
      </c>
      <c r="D183" s="81" t="s">
        <v>73</v>
      </c>
      <c r="E183" s="72" t="s">
        <v>534</v>
      </c>
      <c r="F183" s="76">
        <v>0</v>
      </c>
      <c r="G183" s="72"/>
      <c r="H183" s="78"/>
      <c r="I183" s="72"/>
      <c r="J183" s="72"/>
      <c r="K183" s="72"/>
      <c r="L183" s="72"/>
      <c r="M183" s="72"/>
      <c r="N183" s="72"/>
      <c r="O183" s="72"/>
      <c r="P183" s="72"/>
      <c r="Q183" s="72"/>
      <c r="R183" s="78"/>
      <c r="S183" s="72"/>
      <c r="T183" s="72"/>
      <c r="U183" s="72"/>
      <c r="V183" s="72"/>
      <c r="W183" s="72"/>
      <c r="X183" s="72"/>
      <c r="Y183" s="72"/>
      <c r="Z183" s="72"/>
      <c r="AA183" s="79"/>
      <c r="AB183" s="79"/>
      <c r="AC183" s="79"/>
      <c r="AD183" s="79"/>
      <c r="AE183" s="79"/>
    </row>
    <row r="184" spans="1:31" ht="16.5" x14ac:dyDescent="0.35">
      <c r="A184" s="71">
        <v>178</v>
      </c>
      <c r="B184" s="72">
        <v>2041221162</v>
      </c>
      <c r="C184" s="80" t="s">
        <v>386</v>
      </c>
      <c r="D184" s="81" t="s">
        <v>536</v>
      </c>
      <c r="E184" s="72" t="s">
        <v>534</v>
      </c>
      <c r="F184" s="76">
        <v>2</v>
      </c>
      <c r="G184" s="72" t="s">
        <v>1300</v>
      </c>
      <c r="H184" s="78">
        <v>45721</v>
      </c>
      <c r="I184" s="72" t="s">
        <v>1299</v>
      </c>
      <c r="J184" s="72">
        <v>8</v>
      </c>
      <c r="K184" s="72"/>
      <c r="L184" s="72" t="s">
        <v>1301</v>
      </c>
      <c r="M184" s="78">
        <v>45785</v>
      </c>
      <c r="N184" s="72" t="s">
        <v>1299</v>
      </c>
      <c r="O184" s="72">
        <v>9.5</v>
      </c>
      <c r="P184" s="72"/>
      <c r="Q184" s="72"/>
      <c r="R184" s="78"/>
      <c r="S184" s="72"/>
      <c r="T184" s="72"/>
      <c r="U184" s="72"/>
      <c r="V184" s="72"/>
      <c r="W184" s="72"/>
      <c r="X184" s="72"/>
      <c r="Y184" s="72"/>
      <c r="Z184" s="72"/>
      <c r="AA184" s="79"/>
      <c r="AB184" s="79"/>
      <c r="AC184" s="79"/>
      <c r="AD184" s="79"/>
      <c r="AE184" s="79"/>
    </row>
    <row r="185" spans="1:31" ht="16.5" x14ac:dyDescent="0.35">
      <c r="A185" s="71">
        <v>179</v>
      </c>
      <c r="B185" s="72">
        <v>2041221258</v>
      </c>
      <c r="C185" s="80" t="s">
        <v>996</v>
      </c>
      <c r="D185" s="81" t="s">
        <v>172</v>
      </c>
      <c r="E185" s="72" t="s">
        <v>534</v>
      </c>
      <c r="F185" s="76">
        <v>3</v>
      </c>
      <c r="G185" s="72" t="s">
        <v>924</v>
      </c>
      <c r="H185" s="78">
        <v>45623</v>
      </c>
      <c r="I185" s="72" t="s">
        <v>1299</v>
      </c>
      <c r="J185" s="72">
        <v>7</v>
      </c>
      <c r="K185" s="72"/>
      <c r="L185" s="72" t="s">
        <v>1301</v>
      </c>
      <c r="M185" s="78">
        <v>45630</v>
      </c>
      <c r="N185" s="72" t="s">
        <v>1299</v>
      </c>
      <c r="O185" s="72">
        <v>6</v>
      </c>
      <c r="P185" s="72"/>
      <c r="Q185" s="72" t="s">
        <v>1300</v>
      </c>
      <c r="R185" s="78">
        <v>45644</v>
      </c>
      <c r="S185" s="72" t="s">
        <v>1299</v>
      </c>
      <c r="T185" s="72">
        <v>10</v>
      </c>
      <c r="U185" s="72"/>
      <c r="V185" s="72"/>
      <c r="W185" s="72"/>
      <c r="X185" s="72"/>
      <c r="Y185" s="72"/>
      <c r="Z185" s="72"/>
      <c r="AA185" s="79"/>
      <c r="AB185" s="79"/>
      <c r="AC185" s="79"/>
      <c r="AD185" s="79"/>
      <c r="AE185" s="79"/>
    </row>
    <row r="186" spans="1:31" ht="16.5" x14ac:dyDescent="0.35">
      <c r="A186" s="71">
        <v>180</v>
      </c>
      <c r="B186" s="72">
        <v>2041221282</v>
      </c>
      <c r="C186" s="80" t="s">
        <v>386</v>
      </c>
      <c r="D186" s="81" t="s">
        <v>172</v>
      </c>
      <c r="E186" s="72" t="s">
        <v>534</v>
      </c>
      <c r="F186" s="76">
        <v>3</v>
      </c>
      <c r="G186" s="72" t="s">
        <v>924</v>
      </c>
      <c r="H186" s="78">
        <v>45623</v>
      </c>
      <c r="I186" s="72" t="s">
        <v>1299</v>
      </c>
      <c r="J186" s="72">
        <v>6.5</v>
      </c>
      <c r="K186" s="72"/>
      <c r="L186" s="72" t="s">
        <v>1301</v>
      </c>
      <c r="M186" s="78">
        <v>45629</v>
      </c>
      <c r="N186" s="72" t="s">
        <v>1299</v>
      </c>
      <c r="O186" s="72">
        <v>5.5</v>
      </c>
      <c r="P186" s="72"/>
      <c r="Q186" s="72" t="s">
        <v>925</v>
      </c>
      <c r="R186" s="78">
        <v>45636</v>
      </c>
      <c r="S186" s="72" t="s">
        <v>1299</v>
      </c>
      <c r="T186" s="72">
        <v>7.5</v>
      </c>
      <c r="U186" s="72"/>
      <c r="V186" s="72"/>
      <c r="W186" s="72"/>
      <c r="X186" s="72"/>
      <c r="Y186" s="72"/>
      <c r="Z186" s="72"/>
      <c r="AA186" s="79"/>
      <c r="AB186" s="79"/>
      <c r="AC186" s="79"/>
      <c r="AD186" s="79"/>
      <c r="AE186" s="79"/>
    </row>
    <row r="187" spans="1:31" ht="16.5" x14ac:dyDescent="0.35">
      <c r="A187" s="71">
        <v>181</v>
      </c>
      <c r="B187" s="72">
        <v>2041221252</v>
      </c>
      <c r="C187" s="80" t="s">
        <v>535</v>
      </c>
      <c r="D187" s="81" t="s">
        <v>172</v>
      </c>
      <c r="E187" s="72" t="s">
        <v>534</v>
      </c>
      <c r="F187" s="76">
        <v>4</v>
      </c>
      <c r="G187" s="72" t="s">
        <v>925</v>
      </c>
      <c r="H187" s="78">
        <v>45559</v>
      </c>
      <c r="I187" s="72" t="s">
        <v>1299</v>
      </c>
      <c r="J187" s="72">
        <v>7.5</v>
      </c>
      <c r="K187" s="72"/>
      <c r="L187" s="72" t="s">
        <v>925</v>
      </c>
      <c r="M187" s="78">
        <v>45813</v>
      </c>
      <c r="N187" s="72" t="s">
        <v>1299</v>
      </c>
      <c r="O187" s="72">
        <v>6</v>
      </c>
      <c r="P187" s="72"/>
      <c r="Q187" s="72" t="s">
        <v>924</v>
      </c>
      <c r="R187" s="78">
        <v>45776</v>
      </c>
      <c r="S187" s="72" t="s">
        <v>1299</v>
      </c>
      <c r="T187" s="72">
        <v>6</v>
      </c>
      <c r="U187" s="72"/>
      <c r="V187" s="88" t="s">
        <v>1302</v>
      </c>
      <c r="W187" s="78">
        <v>45552</v>
      </c>
      <c r="X187" s="72" t="s">
        <v>1299</v>
      </c>
      <c r="Y187" s="72"/>
      <c r="Z187" s="72"/>
      <c r="AA187" s="79"/>
      <c r="AB187" s="79"/>
      <c r="AC187" s="79"/>
      <c r="AD187" s="79"/>
      <c r="AE187" s="79"/>
    </row>
    <row r="188" spans="1:31" ht="16.5" x14ac:dyDescent="0.35">
      <c r="A188" s="71">
        <v>182</v>
      </c>
      <c r="B188" s="72">
        <v>2041221530</v>
      </c>
      <c r="C188" s="80" t="s">
        <v>44</v>
      </c>
      <c r="D188" s="81" t="s">
        <v>902</v>
      </c>
      <c r="E188" s="72" t="s">
        <v>534</v>
      </c>
      <c r="F188" s="76">
        <v>3</v>
      </c>
      <c r="G188" s="72" t="s">
        <v>924</v>
      </c>
      <c r="H188" s="78">
        <v>45621</v>
      </c>
      <c r="I188" s="72" t="s">
        <v>1299</v>
      </c>
      <c r="J188" s="72">
        <v>7.5</v>
      </c>
      <c r="K188" s="72"/>
      <c r="L188" s="72" t="s">
        <v>1300</v>
      </c>
      <c r="M188" s="78">
        <v>45631</v>
      </c>
      <c r="N188" s="72" t="s">
        <v>1299</v>
      </c>
      <c r="O188" s="72">
        <v>6.5</v>
      </c>
      <c r="P188" s="72"/>
      <c r="Q188" s="88" t="s">
        <v>1302</v>
      </c>
      <c r="R188" s="78">
        <v>45552</v>
      </c>
      <c r="S188" s="72" t="s">
        <v>1299</v>
      </c>
      <c r="T188" s="72"/>
      <c r="U188" s="72"/>
      <c r="V188" s="72"/>
      <c r="W188" s="72"/>
      <c r="X188" s="72"/>
      <c r="Y188" s="72"/>
      <c r="Z188" s="72"/>
      <c r="AA188" s="79"/>
      <c r="AB188" s="79"/>
      <c r="AC188" s="79"/>
      <c r="AD188" s="79"/>
      <c r="AE188" s="79"/>
    </row>
    <row r="189" spans="1:31" ht="16.5" x14ac:dyDescent="0.35">
      <c r="A189" s="71">
        <v>183</v>
      </c>
      <c r="B189" s="72">
        <v>2041221732</v>
      </c>
      <c r="C189" s="80" t="s">
        <v>219</v>
      </c>
      <c r="D189" s="81" t="s">
        <v>43</v>
      </c>
      <c r="E189" s="72" t="s">
        <v>534</v>
      </c>
      <c r="F189" s="76">
        <v>2</v>
      </c>
      <c r="G189" s="72" t="s">
        <v>1300</v>
      </c>
      <c r="H189" s="78">
        <v>45448</v>
      </c>
      <c r="I189" s="72" t="s">
        <v>1299</v>
      </c>
      <c r="J189" s="72">
        <v>6</v>
      </c>
      <c r="K189" s="72"/>
      <c r="L189" s="72" t="s">
        <v>924</v>
      </c>
      <c r="M189" s="78">
        <v>45621</v>
      </c>
      <c r="N189" s="72" t="s">
        <v>1299</v>
      </c>
      <c r="O189" s="72">
        <v>7.5</v>
      </c>
      <c r="P189" s="72"/>
      <c r="Q189" s="72"/>
      <c r="R189" s="78"/>
      <c r="S189" s="72"/>
      <c r="T189" s="72"/>
      <c r="U189" s="72"/>
      <c r="V189" s="72"/>
      <c r="W189" s="72"/>
      <c r="X189" s="72"/>
      <c r="Y189" s="72"/>
      <c r="Z189" s="72"/>
      <c r="AA189" s="79"/>
      <c r="AB189" s="79"/>
      <c r="AC189" s="79"/>
      <c r="AD189" s="79"/>
      <c r="AE189" s="79"/>
    </row>
    <row r="190" spans="1:31" ht="16.5" x14ac:dyDescent="0.35">
      <c r="A190" s="71">
        <v>184</v>
      </c>
      <c r="B190" s="72">
        <v>2041221930</v>
      </c>
      <c r="C190" s="80" t="s">
        <v>1002</v>
      </c>
      <c r="D190" s="81" t="s">
        <v>49</v>
      </c>
      <c r="E190" s="72" t="s">
        <v>534</v>
      </c>
      <c r="F190" s="76">
        <v>3</v>
      </c>
      <c r="G190" s="72" t="s">
        <v>924</v>
      </c>
      <c r="H190" s="78">
        <v>45623</v>
      </c>
      <c r="I190" s="72" t="s">
        <v>1299</v>
      </c>
      <c r="J190" s="72">
        <v>7</v>
      </c>
      <c r="K190" s="72">
        <v>0.5</v>
      </c>
      <c r="L190" s="72" t="s">
        <v>1301</v>
      </c>
      <c r="M190" s="78">
        <v>45630</v>
      </c>
      <c r="N190" s="72" t="s">
        <v>1299</v>
      </c>
      <c r="O190" s="72">
        <v>6</v>
      </c>
      <c r="P190" s="72"/>
      <c r="Q190" s="72" t="s">
        <v>1300</v>
      </c>
      <c r="R190" s="78">
        <v>45631</v>
      </c>
      <c r="S190" s="72" t="s">
        <v>1299</v>
      </c>
      <c r="T190" s="72">
        <v>7</v>
      </c>
      <c r="U190" s="72"/>
      <c r="V190" s="72"/>
      <c r="W190" s="72"/>
      <c r="X190" s="72"/>
      <c r="Y190" s="72"/>
      <c r="Z190" s="72"/>
      <c r="AA190" s="79"/>
      <c r="AB190" s="79"/>
      <c r="AC190" s="79"/>
      <c r="AD190" s="79"/>
      <c r="AE190" s="79"/>
    </row>
    <row r="191" spans="1:31" ht="16.5" x14ac:dyDescent="0.35">
      <c r="A191" s="71">
        <v>185</v>
      </c>
      <c r="B191" s="72">
        <v>2041222032</v>
      </c>
      <c r="C191" s="80" t="s">
        <v>1000</v>
      </c>
      <c r="D191" s="81" t="s">
        <v>1001</v>
      </c>
      <c r="E191" s="72" t="s">
        <v>534</v>
      </c>
      <c r="F191" s="76">
        <v>1</v>
      </c>
      <c r="G191" s="72" t="s">
        <v>924</v>
      </c>
      <c r="H191" s="78">
        <v>45817</v>
      </c>
      <c r="I191" s="72" t="s">
        <v>1299</v>
      </c>
      <c r="J191" s="72">
        <v>8</v>
      </c>
      <c r="K191" s="72"/>
      <c r="L191" s="72"/>
      <c r="M191" s="72"/>
      <c r="N191" s="72"/>
      <c r="O191" s="72"/>
      <c r="P191" s="72"/>
      <c r="Q191" s="72"/>
      <c r="R191" s="78"/>
      <c r="S191" s="72"/>
      <c r="T191" s="72"/>
      <c r="U191" s="72"/>
      <c r="V191" s="72"/>
      <c r="W191" s="72"/>
      <c r="X191" s="72"/>
      <c r="Y191" s="72"/>
      <c r="Z191" s="72"/>
      <c r="AA191" s="79"/>
      <c r="AB191" s="79"/>
      <c r="AC191" s="79"/>
      <c r="AD191" s="79"/>
      <c r="AE191" s="79"/>
    </row>
    <row r="192" spans="1:31" ht="16.5" x14ac:dyDescent="0.35">
      <c r="A192" s="71">
        <v>186</v>
      </c>
      <c r="B192" s="72">
        <v>2041222374</v>
      </c>
      <c r="C192" s="80" t="s">
        <v>722</v>
      </c>
      <c r="D192" s="81" t="s">
        <v>29</v>
      </c>
      <c r="E192" s="72" t="s">
        <v>534</v>
      </c>
      <c r="F192" s="76">
        <v>3</v>
      </c>
      <c r="G192" s="72" t="s">
        <v>1300</v>
      </c>
      <c r="H192" s="78">
        <v>45756</v>
      </c>
      <c r="I192" s="72" t="s">
        <v>1299</v>
      </c>
      <c r="J192" s="72">
        <v>7.5</v>
      </c>
      <c r="K192" s="72"/>
      <c r="L192" s="72" t="s">
        <v>925</v>
      </c>
      <c r="M192" s="78">
        <v>45769</v>
      </c>
      <c r="N192" s="72" t="s">
        <v>1299</v>
      </c>
      <c r="O192" s="72">
        <v>9.5</v>
      </c>
      <c r="P192" s="72"/>
      <c r="Q192" s="72" t="s">
        <v>924</v>
      </c>
      <c r="R192" s="78">
        <v>45776</v>
      </c>
      <c r="S192" s="72" t="s">
        <v>1299</v>
      </c>
      <c r="T192" s="72">
        <v>7.5</v>
      </c>
      <c r="U192" s="72"/>
      <c r="V192" s="72"/>
      <c r="W192" s="72"/>
      <c r="X192" s="72"/>
      <c r="Y192" s="72"/>
      <c r="Z192" s="72"/>
      <c r="AA192" s="79"/>
      <c r="AB192" s="79"/>
      <c r="AC192" s="79"/>
      <c r="AD192" s="79"/>
      <c r="AE192" s="79"/>
    </row>
    <row r="193" spans="1:31" ht="16.5" x14ac:dyDescent="0.35">
      <c r="A193" s="71">
        <v>187</v>
      </c>
      <c r="B193" s="72">
        <v>2041222707</v>
      </c>
      <c r="C193" s="80" t="s">
        <v>724</v>
      </c>
      <c r="D193" s="81" t="s">
        <v>91</v>
      </c>
      <c r="E193" s="72" t="s">
        <v>534</v>
      </c>
      <c r="F193" s="76">
        <v>4</v>
      </c>
      <c r="G193" s="72" t="s">
        <v>1300</v>
      </c>
      <c r="H193" s="78">
        <v>45756</v>
      </c>
      <c r="I193" s="72" t="s">
        <v>1299</v>
      </c>
      <c r="J193" s="72">
        <v>8</v>
      </c>
      <c r="K193" s="72"/>
      <c r="L193" s="72" t="s">
        <v>924</v>
      </c>
      <c r="M193" s="78">
        <v>45786</v>
      </c>
      <c r="N193" s="72" t="s">
        <v>1299</v>
      </c>
      <c r="O193" s="72">
        <v>8</v>
      </c>
      <c r="P193" s="72"/>
      <c r="Q193" s="79" t="s">
        <v>928</v>
      </c>
      <c r="R193" s="83">
        <v>45799</v>
      </c>
      <c r="S193" s="79" t="s">
        <v>1299</v>
      </c>
      <c r="T193" s="72">
        <v>8</v>
      </c>
      <c r="U193" s="72"/>
      <c r="V193" s="72" t="s">
        <v>1300</v>
      </c>
      <c r="W193" s="78">
        <v>45448</v>
      </c>
      <c r="X193" s="72" t="s">
        <v>1299</v>
      </c>
      <c r="Y193" s="72">
        <v>6</v>
      </c>
      <c r="Z193" s="72"/>
      <c r="AA193" s="79"/>
      <c r="AB193" s="79"/>
      <c r="AC193" s="79"/>
      <c r="AD193" s="79"/>
      <c r="AE193" s="79"/>
    </row>
    <row r="194" spans="1:31" ht="16.5" x14ac:dyDescent="0.35">
      <c r="A194" s="71">
        <v>188</v>
      </c>
      <c r="B194" s="72">
        <v>2041222822</v>
      </c>
      <c r="C194" s="80" t="s">
        <v>1004</v>
      </c>
      <c r="D194" s="81" t="s">
        <v>362</v>
      </c>
      <c r="E194" s="72" t="s">
        <v>534</v>
      </c>
      <c r="F194" s="76">
        <v>0</v>
      </c>
      <c r="G194" s="72"/>
      <c r="H194" s="78"/>
      <c r="I194" s="72"/>
      <c r="J194" s="72"/>
      <c r="K194" s="72"/>
      <c r="L194" s="72"/>
      <c r="M194" s="72"/>
      <c r="N194" s="72"/>
      <c r="O194" s="72"/>
      <c r="P194" s="72"/>
      <c r="Q194" s="72"/>
      <c r="R194" s="78"/>
      <c r="S194" s="72"/>
      <c r="T194" s="72"/>
      <c r="U194" s="72"/>
      <c r="V194" s="72"/>
      <c r="W194" s="72"/>
      <c r="X194" s="72"/>
      <c r="Y194" s="72"/>
      <c r="Z194" s="72"/>
      <c r="AA194" s="79"/>
      <c r="AB194" s="79"/>
      <c r="AC194" s="79"/>
      <c r="AD194" s="79"/>
      <c r="AE194" s="79"/>
    </row>
    <row r="195" spans="1:31" ht="16.5" x14ac:dyDescent="0.35">
      <c r="A195" s="71">
        <v>189</v>
      </c>
      <c r="B195" s="72">
        <v>2041222935</v>
      </c>
      <c r="C195" s="80" t="s">
        <v>735</v>
      </c>
      <c r="D195" s="81" t="s">
        <v>92</v>
      </c>
      <c r="E195" s="72" t="s">
        <v>534</v>
      </c>
      <c r="F195" s="76">
        <v>2</v>
      </c>
      <c r="G195" s="72" t="s">
        <v>924</v>
      </c>
      <c r="H195" s="78">
        <v>45645</v>
      </c>
      <c r="I195" s="72" t="s">
        <v>1299</v>
      </c>
      <c r="J195" s="72">
        <v>6.5</v>
      </c>
      <c r="K195" s="72"/>
      <c r="L195" s="72" t="s">
        <v>1300</v>
      </c>
      <c r="M195" s="78">
        <v>45791</v>
      </c>
      <c r="N195" s="72" t="s">
        <v>1299</v>
      </c>
      <c r="O195" s="72">
        <v>8.5</v>
      </c>
      <c r="P195" s="72"/>
      <c r="Q195" s="72"/>
      <c r="R195" s="78"/>
      <c r="S195" s="72"/>
      <c r="T195" s="72"/>
      <c r="U195" s="72"/>
      <c r="V195" s="72"/>
      <c r="W195" s="72"/>
      <c r="X195" s="72"/>
      <c r="Y195" s="72"/>
      <c r="Z195" s="72"/>
      <c r="AA195" s="79"/>
      <c r="AB195" s="79"/>
      <c r="AC195" s="79"/>
      <c r="AD195" s="79"/>
      <c r="AE195" s="79"/>
    </row>
    <row r="196" spans="1:31" ht="16.5" x14ac:dyDescent="0.35">
      <c r="A196" s="71">
        <v>190</v>
      </c>
      <c r="B196" s="72">
        <v>2041222940</v>
      </c>
      <c r="C196" s="80" t="s">
        <v>717</v>
      </c>
      <c r="D196" s="81" t="s">
        <v>92</v>
      </c>
      <c r="E196" s="72" t="s">
        <v>534</v>
      </c>
      <c r="F196" s="76">
        <v>2</v>
      </c>
      <c r="G196" s="72" t="s">
        <v>924</v>
      </c>
      <c r="H196" s="78">
        <v>45645</v>
      </c>
      <c r="I196" s="72" t="s">
        <v>1299</v>
      </c>
      <c r="J196" s="72">
        <v>7.5</v>
      </c>
      <c r="K196" s="72"/>
      <c r="L196" s="88" t="s">
        <v>1302</v>
      </c>
      <c r="M196" s="78">
        <v>45552</v>
      </c>
      <c r="N196" s="72" t="s">
        <v>1299</v>
      </c>
      <c r="O196" s="72"/>
      <c r="P196" s="72"/>
      <c r="Q196" s="72"/>
      <c r="R196" s="78"/>
      <c r="S196" s="72"/>
      <c r="T196" s="72"/>
      <c r="U196" s="72"/>
      <c r="V196" s="72"/>
      <c r="W196" s="72"/>
      <c r="X196" s="72"/>
      <c r="Y196" s="72"/>
      <c r="Z196" s="72"/>
      <c r="AA196" s="79"/>
      <c r="AB196" s="79"/>
      <c r="AC196" s="79"/>
      <c r="AD196" s="79"/>
      <c r="AE196" s="79"/>
    </row>
    <row r="197" spans="1:31" ht="16.5" x14ac:dyDescent="0.35">
      <c r="A197" s="71">
        <v>191</v>
      </c>
      <c r="B197" s="72">
        <v>2041222894</v>
      </c>
      <c r="C197" s="80" t="s">
        <v>519</v>
      </c>
      <c r="D197" s="81" t="s">
        <v>92</v>
      </c>
      <c r="E197" s="72" t="s">
        <v>534</v>
      </c>
      <c r="F197" s="76">
        <v>4</v>
      </c>
      <c r="G197" s="72" t="s">
        <v>1300</v>
      </c>
      <c r="H197" s="78">
        <v>45756</v>
      </c>
      <c r="I197" s="72" t="s">
        <v>1299</v>
      </c>
      <c r="J197" s="72">
        <v>8.5</v>
      </c>
      <c r="K197" s="72"/>
      <c r="L197" s="72" t="s">
        <v>925</v>
      </c>
      <c r="M197" s="78">
        <v>45757</v>
      </c>
      <c r="N197" s="72" t="s">
        <v>1299</v>
      </c>
      <c r="O197" s="72">
        <v>9</v>
      </c>
      <c r="P197" s="72"/>
      <c r="Q197" s="79" t="s">
        <v>928</v>
      </c>
      <c r="R197" s="83">
        <v>45799</v>
      </c>
      <c r="S197" s="79" t="s">
        <v>1299</v>
      </c>
      <c r="T197" s="72">
        <v>7.5</v>
      </c>
      <c r="U197" s="72"/>
      <c r="V197" s="72" t="s">
        <v>1300</v>
      </c>
      <c r="W197" s="78">
        <v>45448</v>
      </c>
      <c r="X197" s="72" t="s">
        <v>1299</v>
      </c>
      <c r="Y197" s="72">
        <v>7</v>
      </c>
      <c r="Z197" s="72"/>
      <c r="AA197" s="79"/>
      <c r="AB197" s="79"/>
      <c r="AC197" s="79"/>
      <c r="AD197" s="79"/>
      <c r="AE197" s="79"/>
    </row>
    <row r="198" spans="1:31" ht="16.5" x14ac:dyDescent="0.35">
      <c r="A198" s="71">
        <v>192</v>
      </c>
      <c r="B198" s="72">
        <v>2041223114</v>
      </c>
      <c r="C198" s="80" t="s">
        <v>1006</v>
      </c>
      <c r="D198" s="81" t="s">
        <v>51</v>
      </c>
      <c r="E198" s="72" t="s">
        <v>534</v>
      </c>
      <c r="F198" s="76">
        <v>2</v>
      </c>
      <c r="G198" s="72" t="s">
        <v>1301</v>
      </c>
      <c r="H198" s="78">
        <v>45783</v>
      </c>
      <c r="I198" s="72" t="s">
        <v>1299</v>
      </c>
      <c r="J198" s="72">
        <v>9.5</v>
      </c>
      <c r="K198" s="72"/>
      <c r="L198" s="72" t="s">
        <v>1300</v>
      </c>
      <c r="M198" s="78">
        <v>45791</v>
      </c>
      <c r="N198" s="72" t="s">
        <v>1299</v>
      </c>
      <c r="O198" s="72">
        <v>7.5</v>
      </c>
      <c r="P198" s="72"/>
      <c r="Q198" s="72"/>
      <c r="R198" s="78"/>
      <c r="S198" s="72"/>
      <c r="T198" s="72"/>
      <c r="U198" s="72"/>
      <c r="V198" s="72"/>
      <c r="W198" s="72"/>
      <c r="X198" s="72"/>
      <c r="Y198" s="72"/>
      <c r="Z198" s="72"/>
      <c r="AA198" s="79"/>
      <c r="AB198" s="79"/>
      <c r="AC198" s="79"/>
      <c r="AD198" s="79"/>
      <c r="AE198" s="79"/>
    </row>
    <row r="199" spans="1:31" ht="16.5" x14ac:dyDescent="0.35">
      <c r="A199" s="71">
        <v>193</v>
      </c>
      <c r="B199" s="72">
        <v>2041223216</v>
      </c>
      <c r="C199" s="80" t="s">
        <v>341</v>
      </c>
      <c r="D199" s="81" t="s">
        <v>1007</v>
      </c>
      <c r="E199" s="72" t="s">
        <v>534</v>
      </c>
      <c r="F199" s="76">
        <v>2</v>
      </c>
      <c r="G199" s="72" t="s">
        <v>924</v>
      </c>
      <c r="H199" s="78">
        <v>45623</v>
      </c>
      <c r="I199" s="72" t="s">
        <v>1299</v>
      </c>
      <c r="J199" s="72">
        <v>6.5</v>
      </c>
      <c r="K199" s="72"/>
      <c r="L199" s="72" t="s">
        <v>925</v>
      </c>
      <c r="M199" s="78">
        <v>45356</v>
      </c>
      <c r="N199" s="72" t="s">
        <v>1299</v>
      </c>
      <c r="O199" s="72">
        <v>8</v>
      </c>
      <c r="P199" s="72"/>
      <c r="Q199" s="72"/>
      <c r="R199" s="78"/>
      <c r="S199" s="72"/>
      <c r="T199" s="72"/>
      <c r="U199" s="72"/>
      <c r="V199" s="72"/>
      <c r="W199" s="72"/>
      <c r="X199" s="72"/>
      <c r="Y199" s="72"/>
      <c r="Z199" s="72"/>
      <c r="AA199" s="79"/>
      <c r="AB199" s="79"/>
      <c r="AC199" s="79"/>
      <c r="AD199" s="79"/>
      <c r="AE199" s="79"/>
    </row>
    <row r="200" spans="1:31" ht="16.5" x14ac:dyDescent="0.35">
      <c r="A200" s="71">
        <v>194</v>
      </c>
      <c r="B200" s="72">
        <v>2041223360</v>
      </c>
      <c r="C200" s="80" t="s">
        <v>1009</v>
      </c>
      <c r="D200" s="81" t="s">
        <v>76</v>
      </c>
      <c r="E200" s="72" t="s">
        <v>534</v>
      </c>
      <c r="F200" s="76">
        <v>0</v>
      </c>
      <c r="G200" s="72"/>
      <c r="H200" s="78"/>
      <c r="I200" s="72"/>
      <c r="J200" s="72"/>
      <c r="K200" s="72"/>
      <c r="L200" s="72"/>
      <c r="M200" s="78"/>
      <c r="N200" s="72"/>
      <c r="O200" s="72"/>
      <c r="P200" s="72"/>
      <c r="Q200" s="72"/>
      <c r="R200" s="78"/>
      <c r="S200" s="72"/>
      <c r="T200" s="72"/>
      <c r="U200" s="72"/>
      <c r="V200" s="72"/>
      <c r="W200" s="72"/>
      <c r="X200" s="72"/>
      <c r="Y200" s="72"/>
      <c r="Z200" s="72"/>
      <c r="AA200" s="79"/>
      <c r="AB200" s="79"/>
      <c r="AC200" s="79"/>
      <c r="AD200" s="79"/>
      <c r="AE200" s="79"/>
    </row>
    <row r="201" spans="1:31" ht="16.5" x14ac:dyDescent="0.35">
      <c r="A201" s="71">
        <v>195</v>
      </c>
      <c r="B201" s="72">
        <v>2041223368</v>
      </c>
      <c r="C201" s="80" t="s">
        <v>1011</v>
      </c>
      <c r="D201" s="81" t="s">
        <v>76</v>
      </c>
      <c r="E201" s="72" t="s">
        <v>534</v>
      </c>
      <c r="F201" s="76">
        <v>3</v>
      </c>
      <c r="G201" s="72" t="s">
        <v>924</v>
      </c>
      <c r="H201" s="78">
        <v>45623</v>
      </c>
      <c r="I201" s="72" t="s">
        <v>1299</v>
      </c>
      <c r="J201" s="72">
        <v>7</v>
      </c>
      <c r="K201" s="72"/>
      <c r="L201" s="72" t="s">
        <v>1301</v>
      </c>
      <c r="M201" s="78">
        <v>45630</v>
      </c>
      <c r="N201" s="72" t="s">
        <v>1299</v>
      </c>
      <c r="O201" s="72">
        <v>8</v>
      </c>
      <c r="P201" s="72"/>
      <c r="Q201" s="72" t="s">
        <v>1300</v>
      </c>
      <c r="R201" s="78">
        <v>45644</v>
      </c>
      <c r="S201" s="72" t="s">
        <v>1299</v>
      </c>
      <c r="T201" s="72">
        <v>9.5</v>
      </c>
      <c r="U201" s="72"/>
      <c r="V201" s="72"/>
      <c r="W201" s="72"/>
      <c r="X201" s="72"/>
      <c r="Y201" s="72"/>
      <c r="Z201" s="72"/>
      <c r="AA201" s="79"/>
      <c r="AB201" s="79"/>
      <c r="AC201" s="79"/>
      <c r="AD201" s="79"/>
      <c r="AE201" s="79"/>
    </row>
    <row r="202" spans="1:31" ht="16.5" x14ac:dyDescent="0.35">
      <c r="A202" s="71">
        <v>196</v>
      </c>
      <c r="B202" s="72">
        <v>2041223473</v>
      </c>
      <c r="C202" s="80" t="s">
        <v>1013</v>
      </c>
      <c r="D202" s="81" t="s">
        <v>318</v>
      </c>
      <c r="E202" s="72" t="s">
        <v>534</v>
      </c>
      <c r="F202" s="76">
        <v>2</v>
      </c>
      <c r="G202" s="72" t="s">
        <v>924</v>
      </c>
      <c r="H202" s="78">
        <v>45623</v>
      </c>
      <c r="I202" s="72" t="s">
        <v>1299</v>
      </c>
      <c r="J202" s="72">
        <v>6</v>
      </c>
      <c r="K202" s="72"/>
      <c r="L202" s="72" t="s">
        <v>925</v>
      </c>
      <c r="M202" s="78">
        <v>45813</v>
      </c>
      <c r="N202" s="72" t="s">
        <v>1299</v>
      </c>
      <c r="O202" s="72">
        <v>7.5</v>
      </c>
      <c r="P202" s="72"/>
      <c r="Q202" s="72"/>
      <c r="R202" s="78"/>
      <c r="S202" s="72"/>
      <c r="T202" s="72"/>
      <c r="U202" s="72"/>
      <c r="V202" s="72"/>
      <c r="W202" s="72"/>
      <c r="X202" s="72"/>
      <c r="Y202" s="72"/>
      <c r="Z202" s="72"/>
      <c r="AA202" s="79"/>
      <c r="AB202" s="79"/>
      <c r="AC202" s="79"/>
      <c r="AD202" s="79"/>
      <c r="AE202" s="79"/>
    </row>
    <row r="203" spans="1:31" ht="16.5" x14ac:dyDescent="0.35">
      <c r="A203" s="71">
        <v>197</v>
      </c>
      <c r="B203" s="72">
        <v>2041223620</v>
      </c>
      <c r="C203" s="80" t="s">
        <v>267</v>
      </c>
      <c r="D203" s="81" t="s">
        <v>303</v>
      </c>
      <c r="E203" s="72" t="s">
        <v>534</v>
      </c>
      <c r="F203" s="76">
        <v>4</v>
      </c>
      <c r="G203" s="72" t="s">
        <v>1300</v>
      </c>
      <c r="H203" s="78">
        <v>45448</v>
      </c>
      <c r="I203" s="72" t="s">
        <v>1299</v>
      </c>
      <c r="J203" s="72">
        <v>5.5</v>
      </c>
      <c r="K203" s="72"/>
      <c r="L203" s="72" t="s">
        <v>1300</v>
      </c>
      <c r="M203" s="78">
        <v>45631</v>
      </c>
      <c r="N203" s="72" t="s">
        <v>1299</v>
      </c>
      <c r="O203" s="72">
        <v>6.5</v>
      </c>
      <c r="P203" s="72"/>
      <c r="Q203" s="72" t="s">
        <v>1301</v>
      </c>
      <c r="R203" s="78">
        <v>45783</v>
      </c>
      <c r="S203" s="72" t="s">
        <v>1299</v>
      </c>
      <c r="T203" s="72">
        <v>9.5</v>
      </c>
      <c r="U203" s="72"/>
      <c r="V203" s="88" t="s">
        <v>1302</v>
      </c>
      <c r="W203" s="78">
        <v>45552</v>
      </c>
      <c r="X203" s="72" t="s">
        <v>1299</v>
      </c>
      <c r="Y203" s="72"/>
      <c r="Z203" s="72"/>
      <c r="AA203" s="79"/>
      <c r="AB203" s="79"/>
      <c r="AC203" s="79"/>
      <c r="AD203" s="79"/>
      <c r="AE203" s="79"/>
    </row>
    <row r="204" spans="1:31" ht="16.5" x14ac:dyDescent="0.35">
      <c r="A204" s="71">
        <v>198</v>
      </c>
      <c r="B204" s="72">
        <v>2041223729</v>
      </c>
      <c r="C204" s="80" t="s">
        <v>726</v>
      </c>
      <c r="D204" s="81" t="s">
        <v>154</v>
      </c>
      <c r="E204" s="72" t="s">
        <v>534</v>
      </c>
      <c r="F204" s="76">
        <v>3</v>
      </c>
      <c r="G204" s="72" t="s">
        <v>1298</v>
      </c>
      <c r="H204" s="78">
        <v>45632</v>
      </c>
      <c r="I204" s="72" t="s">
        <v>1299</v>
      </c>
      <c r="J204" s="72">
        <v>8</v>
      </c>
      <c r="K204" s="72"/>
      <c r="L204" s="72" t="s">
        <v>1300</v>
      </c>
      <c r="M204" s="78">
        <v>45631</v>
      </c>
      <c r="N204" s="72" t="s">
        <v>1299</v>
      </c>
      <c r="O204" s="72">
        <v>7.5</v>
      </c>
      <c r="P204" s="72"/>
      <c r="Q204" s="72" t="s">
        <v>2042</v>
      </c>
      <c r="R204" s="78">
        <v>45672</v>
      </c>
      <c r="S204" s="72" t="s">
        <v>1299</v>
      </c>
      <c r="T204" s="72">
        <v>9.5</v>
      </c>
      <c r="U204" s="72"/>
      <c r="V204" s="72"/>
      <c r="W204" s="72"/>
      <c r="X204" s="72"/>
      <c r="Y204" s="72"/>
      <c r="Z204" s="72"/>
      <c r="AA204" s="79"/>
      <c r="AB204" s="79"/>
      <c r="AC204" s="79"/>
      <c r="AD204" s="79"/>
      <c r="AE204" s="79"/>
    </row>
    <row r="205" spans="1:31" ht="16.5" x14ac:dyDescent="0.35">
      <c r="A205" s="71">
        <v>199</v>
      </c>
      <c r="B205" s="72">
        <v>2041223884</v>
      </c>
      <c r="C205" s="80" t="s">
        <v>1015</v>
      </c>
      <c r="D205" s="81" t="s">
        <v>31</v>
      </c>
      <c r="E205" s="72" t="s">
        <v>534</v>
      </c>
      <c r="F205" s="76">
        <v>0</v>
      </c>
      <c r="G205" s="72"/>
      <c r="H205" s="78"/>
      <c r="I205" s="72"/>
      <c r="J205" s="72"/>
      <c r="K205" s="72"/>
      <c r="L205" s="72"/>
      <c r="M205" s="72"/>
      <c r="N205" s="72"/>
      <c r="O205" s="72"/>
      <c r="P205" s="72"/>
      <c r="Q205" s="72"/>
      <c r="R205" s="78"/>
      <c r="S205" s="72"/>
      <c r="T205" s="72"/>
      <c r="U205" s="72"/>
      <c r="V205" s="72"/>
      <c r="W205" s="72"/>
      <c r="X205" s="72"/>
      <c r="Y205" s="72"/>
      <c r="Z205" s="72"/>
      <c r="AA205" s="79"/>
      <c r="AB205" s="79"/>
      <c r="AC205" s="79"/>
      <c r="AD205" s="79"/>
      <c r="AE205" s="79"/>
    </row>
    <row r="206" spans="1:31" ht="16.5" x14ac:dyDescent="0.35">
      <c r="A206" s="71">
        <v>200</v>
      </c>
      <c r="B206" s="72">
        <v>2041223879</v>
      </c>
      <c r="C206" s="80" t="s">
        <v>1017</v>
      </c>
      <c r="D206" s="81" t="s">
        <v>31</v>
      </c>
      <c r="E206" s="72" t="s">
        <v>534</v>
      </c>
      <c r="F206" s="76">
        <v>2</v>
      </c>
      <c r="G206" s="72" t="s">
        <v>924</v>
      </c>
      <c r="H206" s="78">
        <v>45602</v>
      </c>
      <c r="I206" s="72" t="s">
        <v>1299</v>
      </c>
      <c r="J206" s="72">
        <v>7.5</v>
      </c>
      <c r="K206" s="72"/>
      <c r="L206" s="72" t="s">
        <v>1301</v>
      </c>
      <c r="M206" s="78">
        <v>45629</v>
      </c>
      <c r="N206" s="72" t="s">
        <v>1299</v>
      </c>
      <c r="O206" s="72">
        <v>8.5</v>
      </c>
      <c r="P206" s="72"/>
      <c r="Q206" s="72"/>
      <c r="R206" s="78"/>
      <c r="S206" s="72"/>
      <c r="T206" s="72"/>
      <c r="U206" s="72"/>
      <c r="V206" s="72"/>
      <c r="W206" s="72"/>
      <c r="X206" s="72"/>
      <c r="Y206" s="72"/>
      <c r="Z206" s="72"/>
      <c r="AA206" s="79"/>
      <c r="AB206" s="79"/>
      <c r="AC206" s="79"/>
      <c r="AD206" s="79"/>
      <c r="AE206" s="79"/>
    </row>
    <row r="207" spans="1:31" ht="16.5" x14ac:dyDescent="0.35">
      <c r="A207" s="71">
        <v>201</v>
      </c>
      <c r="B207" s="72">
        <v>2041223898</v>
      </c>
      <c r="C207" s="80" t="s">
        <v>1019</v>
      </c>
      <c r="D207" s="81" t="s">
        <v>99</v>
      </c>
      <c r="E207" s="72" t="s">
        <v>534</v>
      </c>
      <c r="F207" s="76">
        <v>2</v>
      </c>
      <c r="G207" s="72" t="s">
        <v>1300</v>
      </c>
      <c r="H207" s="78">
        <v>45742</v>
      </c>
      <c r="I207" s="72" t="s">
        <v>1299</v>
      </c>
      <c r="J207" s="72">
        <v>9</v>
      </c>
      <c r="K207" s="72"/>
      <c r="L207" s="72" t="s">
        <v>924</v>
      </c>
      <c r="M207" s="78">
        <v>45817</v>
      </c>
      <c r="N207" s="72" t="s">
        <v>1299</v>
      </c>
      <c r="O207" s="72">
        <v>8.5</v>
      </c>
      <c r="P207" s="72"/>
      <c r="Q207" s="72"/>
      <c r="R207" s="78"/>
      <c r="S207" s="72"/>
      <c r="T207" s="72"/>
      <c r="U207" s="72"/>
      <c r="V207" s="72"/>
      <c r="W207" s="72"/>
      <c r="X207" s="72"/>
      <c r="Y207" s="72"/>
      <c r="Z207" s="72"/>
      <c r="AA207" s="79"/>
      <c r="AB207" s="79"/>
      <c r="AC207" s="79"/>
      <c r="AD207" s="79"/>
      <c r="AE207" s="79"/>
    </row>
    <row r="208" spans="1:31" ht="16.5" x14ac:dyDescent="0.35">
      <c r="A208" s="71">
        <v>202</v>
      </c>
      <c r="B208" s="72">
        <v>2041224000</v>
      </c>
      <c r="C208" s="80" t="s">
        <v>1021</v>
      </c>
      <c r="D208" s="81" t="s">
        <v>147</v>
      </c>
      <c r="E208" s="72" t="s">
        <v>534</v>
      </c>
      <c r="F208" s="76">
        <v>1</v>
      </c>
      <c r="G208" s="72" t="s">
        <v>924</v>
      </c>
      <c r="H208" s="78">
        <v>45817</v>
      </c>
      <c r="I208" s="72" t="s">
        <v>1299</v>
      </c>
      <c r="J208" s="72">
        <v>9.5</v>
      </c>
      <c r="K208" s="72"/>
      <c r="L208" s="72"/>
      <c r="M208" s="78"/>
      <c r="N208" s="72"/>
      <c r="O208" s="72"/>
      <c r="P208" s="72"/>
      <c r="Q208" s="72"/>
      <c r="R208" s="78"/>
      <c r="S208" s="72"/>
      <c r="T208" s="72"/>
      <c r="U208" s="72"/>
      <c r="V208" s="72"/>
      <c r="W208" s="72"/>
      <c r="X208" s="72"/>
      <c r="Y208" s="72"/>
      <c r="Z208" s="72"/>
      <c r="AA208" s="79"/>
      <c r="AB208" s="79"/>
      <c r="AC208" s="79"/>
      <c r="AD208" s="79"/>
      <c r="AE208" s="79"/>
    </row>
    <row r="209" spans="1:31" ht="16.5" x14ac:dyDescent="0.35">
      <c r="A209" s="71">
        <v>203</v>
      </c>
      <c r="B209" s="72">
        <v>2041224072</v>
      </c>
      <c r="C209" s="80" t="s">
        <v>709</v>
      </c>
      <c r="D209" s="81" t="s">
        <v>65</v>
      </c>
      <c r="E209" s="72" t="s">
        <v>534</v>
      </c>
      <c r="F209" s="76">
        <v>3</v>
      </c>
      <c r="G209" s="72" t="s">
        <v>924</v>
      </c>
      <c r="H209" s="78">
        <v>45645</v>
      </c>
      <c r="I209" s="72" t="s">
        <v>1299</v>
      </c>
      <c r="J209" s="72">
        <v>7.5</v>
      </c>
      <c r="K209" s="72"/>
      <c r="L209" s="72" t="s">
        <v>925</v>
      </c>
      <c r="M209" s="78">
        <v>45636</v>
      </c>
      <c r="N209" s="72" t="s">
        <v>1299</v>
      </c>
      <c r="O209" s="72">
        <v>6.5</v>
      </c>
      <c r="P209" s="72"/>
      <c r="Q209" s="72" t="s">
        <v>1300</v>
      </c>
      <c r="R209" s="78">
        <v>45744</v>
      </c>
      <c r="S209" s="72" t="s">
        <v>1299</v>
      </c>
      <c r="T209" s="72">
        <v>4.5</v>
      </c>
      <c r="U209" s="72"/>
      <c r="V209" s="72"/>
      <c r="W209" s="72"/>
      <c r="X209" s="72"/>
      <c r="Y209" s="72"/>
      <c r="Z209" s="72"/>
      <c r="AA209" s="79"/>
      <c r="AB209" s="79"/>
      <c r="AC209" s="79"/>
      <c r="AD209" s="79"/>
      <c r="AE209" s="79"/>
    </row>
    <row r="210" spans="1:31" ht="16.5" x14ac:dyDescent="0.35">
      <c r="A210" s="71">
        <v>204</v>
      </c>
      <c r="B210" s="72">
        <v>2041224288</v>
      </c>
      <c r="C210" s="80" t="s">
        <v>727</v>
      </c>
      <c r="D210" s="81" t="s">
        <v>142</v>
      </c>
      <c r="E210" s="72" t="s">
        <v>534</v>
      </c>
      <c r="F210" s="76">
        <v>4</v>
      </c>
      <c r="G210" s="72" t="s">
        <v>925</v>
      </c>
      <c r="H210" s="78">
        <v>45589</v>
      </c>
      <c r="I210" s="72" t="s">
        <v>1299</v>
      </c>
      <c r="J210" s="72">
        <v>6</v>
      </c>
      <c r="K210" s="72">
        <v>0.5</v>
      </c>
      <c r="L210" s="72" t="s">
        <v>1300</v>
      </c>
      <c r="M210" s="78">
        <v>45631</v>
      </c>
      <c r="N210" s="72" t="s">
        <v>1299</v>
      </c>
      <c r="O210" s="72">
        <v>7</v>
      </c>
      <c r="P210" s="72"/>
      <c r="Q210" s="72" t="s">
        <v>1298</v>
      </c>
      <c r="R210" s="78">
        <v>45632</v>
      </c>
      <c r="S210" s="72" t="s">
        <v>1299</v>
      </c>
      <c r="T210" s="72">
        <v>8</v>
      </c>
      <c r="U210" s="72"/>
      <c r="V210" s="72" t="s">
        <v>2042</v>
      </c>
      <c r="W210" s="78">
        <v>45672</v>
      </c>
      <c r="X210" s="72" t="s">
        <v>1299</v>
      </c>
      <c r="Y210" s="72">
        <v>9.5</v>
      </c>
      <c r="Z210" s="72"/>
      <c r="AA210" s="79"/>
      <c r="AB210" s="79"/>
      <c r="AC210" s="79"/>
      <c r="AD210" s="79"/>
      <c r="AE210" s="79"/>
    </row>
    <row r="211" spans="1:31" ht="16.5" x14ac:dyDescent="0.35">
      <c r="A211" s="71">
        <v>205</v>
      </c>
      <c r="B211" s="72">
        <v>2041224285</v>
      </c>
      <c r="C211" s="80" t="s">
        <v>717</v>
      </c>
      <c r="D211" s="81" t="s">
        <v>142</v>
      </c>
      <c r="E211" s="72" t="s">
        <v>534</v>
      </c>
      <c r="F211" s="76">
        <v>3</v>
      </c>
      <c r="G211" s="72" t="s">
        <v>1300</v>
      </c>
      <c r="H211" s="78">
        <v>45448</v>
      </c>
      <c r="I211" s="72" t="s">
        <v>1299</v>
      </c>
      <c r="J211" s="72">
        <v>4.5</v>
      </c>
      <c r="K211" s="72"/>
      <c r="L211" s="72" t="s">
        <v>1300</v>
      </c>
      <c r="M211" s="78">
        <v>45631</v>
      </c>
      <c r="N211" s="72" t="s">
        <v>1299</v>
      </c>
      <c r="O211" s="72">
        <v>6.5</v>
      </c>
      <c r="P211" s="72"/>
      <c r="Q211" s="88" t="s">
        <v>1302</v>
      </c>
      <c r="R211" s="78">
        <v>45552</v>
      </c>
      <c r="S211" s="72" t="s">
        <v>1299</v>
      </c>
      <c r="T211" s="72"/>
      <c r="U211" s="72"/>
      <c r="V211" s="72"/>
      <c r="W211" s="72"/>
      <c r="X211" s="72"/>
      <c r="Y211" s="72"/>
      <c r="Z211" s="72"/>
      <c r="AA211" s="79"/>
      <c r="AB211" s="79"/>
      <c r="AC211" s="79"/>
      <c r="AD211" s="79"/>
      <c r="AE211" s="79"/>
    </row>
    <row r="212" spans="1:31" ht="16.5" x14ac:dyDescent="0.35">
      <c r="A212" s="71">
        <v>206</v>
      </c>
      <c r="B212" s="72">
        <v>2041224357</v>
      </c>
      <c r="C212" s="80" t="s">
        <v>1030</v>
      </c>
      <c r="D212" s="81" t="s">
        <v>54</v>
      </c>
      <c r="E212" s="72" t="s">
        <v>534</v>
      </c>
      <c r="F212" s="76">
        <v>2</v>
      </c>
      <c r="G212" s="72" t="s">
        <v>924</v>
      </c>
      <c r="H212" s="78">
        <v>45817</v>
      </c>
      <c r="I212" s="72" t="s">
        <v>1299</v>
      </c>
      <c r="J212" s="72">
        <v>8.5</v>
      </c>
      <c r="K212" s="72"/>
      <c r="L212" s="72" t="s">
        <v>925</v>
      </c>
      <c r="M212" s="78">
        <v>45818</v>
      </c>
      <c r="N212" s="72" t="s">
        <v>1299</v>
      </c>
      <c r="O212" s="72">
        <v>7.5</v>
      </c>
      <c r="P212" s="72"/>
      <c r="Q212" s="72"/>
      <c r="R212" s="78"/>
      <c r="S212" s="72"/>
      <c r="T212" s="72"/>
      <c r="U212" s="72"/>
      <c r="V212" s="72"/>
      <c r="W212" s="72"/>
      <c r="X212" s="72"/>
      <c r="Y212" s="72"/>
      <c r="Z212" s="72"/>
      <c r="AA212" s="79"/>
      <c r="AB212" s="79"/>
      <c r="AC212" s="79"/>
      <c r="AD212" s="79"/>
      <c r="AE212" s="79"/>
    </row>
    <row r="213" spans="1:31" ht="16.5" x14ac:dyDescent="0.35">
      <c r="A213" s="71">
        <v>207</v>
      </c>
      <c r="B213" s="72">
        <v>2041224353</v>
      </c>
      <c r="C213" s="80" t="s">
        <v>1032</v>
      </c>
      <c r="D213" s="81" t="s">
        <v>54</v>
      </c>
      <c r="E213" s="72" t="s">
        <v>534</v>
      </c>
      <c r="F213" s="76">
        <v>2</v>
      </c>
      <c r="G213" s="72" t="s">
        <v>924</v>
      </c>
      <c r="H213" s="78">
        <v>45621</v>
      </c>
      <c r="I213" s="72" t="s">
        <v>1299</v>
      </c>
      <c r="J213" s="72">
        <v>7</v>
      </c>
      <c r="K213" s="72"/>
      <c r="L213" s="72" t="s">
        <v>1300</v>
      </c>
      <c r="M213" s="78">
        <v>45631</v>
      </c>
      <c r="N213" s="72" t="s">
        <v>1299</v>
      </c>
      <c r="O213" s="72">
        <v>7.5</v>
      </c>
      <c r="P213" s="72"/>
      <c r="Q213" s="72"/>
      <c r="R213" s="78"/>
      <c r="S213" s="72"/>
      <c r="T213" s="72"/>
      <c r="U213" s="72"/>
      <c r="V213" s="72"/>
      <c r="W213" s="72"/>
      <c r="X213" s="72"/>
      <c r="Y213" s="72"/>
      <c r="Z213" s="72"/>
      <c r="AA213" s="79"/>
      <c r="AB213" s="79"/>
      <c r="AC213" s="79"/>
      <c r="AD213" s="79"/>
      <c r="AE213" s="79"/>
    </row>
    <row r="214" spans="1:31" ht="16.5" x14ac:dyDescent="0.35">
      <c r="A214" s="71">
        <v>208</v>
      </c>
      <c r="B214" s="72">
        <v>2041224364</v>
      </c>
      <c r="C214" s="80" t="s">
        <v>1034</v>
      </c>
      <c r="D214" s="81" t="s">
        <v>54</v>
      </c>
      <c r="E214" s="72" t="s">
        <v>534</v>
      </c>
      <c r="F214" s="76">
        <v>2</v>
      </c>
      <c r="G214" s="72" t="s">
        <v>924</v>
      </c>
      <c r="H214" s="78">
        <v>45621</v>
      </c>
      <c r="I214" s="72" t="s">
        <v>1299</v>
      </c>
      <c r="J214" s="72">
        <v>7</v>
      </c>
      <c r="K214" s="72"/>
      <c r="L214" s="72" t="s">
        <v>1301</v>
      </c>
      <c r="M214" s="78">
        <v>45629</v>
      </c>
      <c r="N214" s="72" t="s">
        <v>1299</v>
      </c>
      <c r="O214" s="72">
        <v>8</v>
      </c>
      <c r="P214" s="72"/>
      <c r="Q214" s="72"/>
      <c r="R214" s="78"/>
      <c r="S214" s="72"/>
      <c r="T214" s="72"/>
      <c r="U214" s="72"/>
      <c r="V214" s="72"/>
      <c r="W214" s="72"/>
      <c r="X214" s="72"/>
      <c r="Y214" s="72"/>
      <c r="Z214" s="72"/>
      <c r="AA214" s="79"/>
      <c r="AB214" s="79"/>
      <c r="AC214" s="79"/>
      <c r="AD214" s="79"/>
      <c r="AE214" s="79"/>
    </row>
    <row r="215" spans="1:31" ht="16.5" x14ac:dyDescent="0.35">
      <c r="A215" s="71">
        <v>209</v>
      </c>
      <c r="B215" s="72">
        <v>2041224807</v>
      </c>
      <c r="C215" s="80" t="s">
        <v>732</v>
      </c>
      <c r="D215" s="81" t="s">
        <v>102</v>
      </c>
      <c r="E215" s="72" t="s">
        <v>534</v>
      </c>
      <c r="F215" s="76">
        <v>3</v>
      </c>
      <c r="G215" s="72" t="s">
        <v>924</v>
      </c>
      <c r="H215" s="78">
        <v>45637</v>
      </c>
      <c r="I215" s="72" t="s">
        <v>1299</v>
      </c>
      <c r="J215" s="72">
        <v>7</v>
      </c>
      <c r="K215" s="72"/>
      <c r="L215" s="72" t="s">
        <v>1301</v>
      </c>
      <c r="M215" s="78">
        <v>45783</v>
      </c>
      <c r="N215" s="72" t="s">
        <v>1299</v>
      </c>
      <c r="O215" s="72">
        <v>9.5</v>
      </c>
      <c r="P215" s="72"/>
      <c r="Q215" s="88" t="s">
        <v>1302</v>
      </c>
      <c r="R215" s="78">
        <v>45552</v>
      </c>
      <c r="S215" s="72" t="s">
        <v>1299</v>
      </c>
      <c r="T215" s="72"/>
      <c r="U215" s="72"/>
      <c r="V215" s="72"/>
      <c r="W215" s="72"/>
      <c r="X215" s="72"/>
      <c r="Y215" s="72"/>
      <c r="Z215" s="72"/>
      <c r="AA215" s="79"/>
      <c r="AB215" s="79"/>
      <c r="AC215" s="79"/>
      <c r="AD215" s="79"/>
      <c r="AE215" s="79"/>
    </row>
    <row r="216" spans="1:31" ht="16.5" x14ac:dyDescent="0.35">
      <c r="A216" s="71">
        <v>210</v>
      </c>
      <c r="B216" s="72">
        <v>2041224757</v>
      </c>
      <c r="C216" s="80" t="s">
        <v>711</v>
      </c>
      <c r="D216" s="81" t="s">
        <v>712</v>
      </c>
      <c r="E216" s="72" t="s">
        <v>534</v>
      </c>
      <c r="F216" s="76">
        <v>4</v>
      </c>
      <c r="G216" s="72" t="s">
        <v>924</v>
      </c>
      <c r="H216" s="78">
        <v>45602</v>
      </c>
      <c r="I216" s="72" t="s">
        <v>1299</v>
      </c>
      <c r="J216" s="72">
        <v>7</v>
      </c>
      <c r="K216" s="72"/>
      <c r="L216" s="72" t="s">
        <v>925</v>
      </c>
      <c r="M216" s="78">
        <v>45636</v>
      </c>
      <c r="N216" s="72" t="s">
        <v>1299</v>
      </c>
      <c r="O216" s="72">
        <v>7</v>
      </c>
      <c r="P216" s="72"/>
      <c r="Q216" s="72" t="s">
        <v>1300</v>
      </c>
      <c r="R216" s="78">
        <v>45784</v>
      </c>
      <c r="S216" s="72" t="s">
        <v>1299</v>
      </c>
      <c r="T216" s="72">
        <v>7</v>
      </c>
      <c r="U216" s="72"/>
      <c r="V216" s="72" t="s">
        <v>924</v>
      </c>
      <c r="W216" s="78">
        <v>45786</v>
      </c>
      <c r="X216" s="72" t="s">
        <v>1299</v>
      </c>
      <c r="Y216" s="72">
        <v>8</v>
      </c>
      <c r="Z216" s="72"/>
      <c r="AA216" s="79"/>
      <c r="AB216" s="79"/>
      <c r="AC216" s="79"/>
      <c r="AD216" s="79"/>
      <c r="AE216" s="79"/>
    </row>
    <row r="217" spans="1:31" ht="16.5" x14ac:dyDescent="0.35">
      <c r="A217" s="71">
        <v>211</v>
      </c>
      <c r="B217" s="72">
        <v>2041224874</v>
      </c>
      <c r="C217" s="80" t="s">
        <v>728</v>
      </c>
      <c r="D217" s="81" t="s">
        <v>729</v>
      </c>
      <c r="E217" s="72" t="s">
        <v>534</v>
      </c>
      <c r="F217" s="76">
        <v>1</v>
      </c>
      <c r="G217" s="72" t="s">
        <v>924</v>
      </c>
      <c r="H217" s="78">
        <v>45803</v>
      </c>
      <c r="I217" s="72" t="s">
        <v>1299</v>
      </c>
      <c r="J217" s="72">
        <v>6.5</v>
      </c>
      <c r="K217" s="72"/>
      <c r="L217" s="72"/>
      <c r="M217" s="78"/>
      <c r="N217" s="72"/>
      <c r="O217" s="72"/>
      <c r="P217" s="72"/>
      <c r="Q217" s="72"/>
      <c r="R217" s="78"/>
      <c r="S217" s="72"/>
      <c r="T217" s="72"/>
      <c r="U217" s="72"/>
      <c r="V217" s="72"/>
      <c r="W217" s="72"/>
      <c r="X217" s="72"/>
      <c r="Y217" s="72"/>
      <c r="Z217" s="72"/>
      <c r="AA217" s="79"/>
      <c r="AB217" s="79"/>
      <c r="AC217" s="79"/>
      <c r="AD217" s="79"/>
      <c r="AE217" s="79"/>
    </row>
    <row r="218" spans="1:31" ht="16.5" x14ac:dyDescent="0.35">
      <c r="A218" s="71">
        <v>212</v>
      </c>
      <c r="B218" s="72">
        <v>2041224915</v>
      </c>
      <c r="C218" s="80" t="s">
        <v>718</v>
      </c>
      <c r="D218" s="81" t="s">
        <v>103</v>
      </c>
      <c r="E218" s="72" t="s">
        <v>534</v>
      </c>
      <c r="F218" s="76">
        <v>4</v>
      </c>
      <c r="G218" s="72" t="s">
        <v>1300</v>
      </c>
      <c r="H218" s="78">
        <v>45728</v>
      </c>
      <c r="I218" s="72" t="s">
        <v>1299</v>
      </c>
      <c r="J218" s="72">
        <v>9</v>
      </c>
      <c r="K218" s="72"/>
      <c r="L218" s="72" t="s">
        <v>924</v>
      </c>
      <c r="M218" s="78">
        <v>45776</v>
      </c>
      <c r="N218" s="72" t="s">
        <v>1299</v>
      </c>
      <c r="O218" s="72">
        <v>9</v>
      </c>
      <c r="P218" s="72"/>
      <c r="Q218" s="88" t="s">
        <v>1302</v>
      </c>
      <c r="R218" s="78">
        <v>45552</v>
      </c>
      <c r="S218" s="72" t="s">
        <v>1299</v>
      </c>
      <c r="T218" s="72"/>
      <c r="U218" s="72"/>
      <c r="V218" s="72" t="s">
        <v>1300</v>
      </c>
      <c r="W218" s="78">
        <v>45448</v>
      </c>
      <c r="X218" s="72" t="s">
        <v>1299</v>
      </c>
      <c r="Y218" s="72">
        <v>5</v>
      </c>
      <c r="Z218" s="72"/>
      <c r="AA218" s="79"/>
      <c r="AB218" s="79"/>
      <c r="AC218" s="79"/>
      <c r="AD218" s="79"/>
      <c r="AE218" s="79"/>
    </row>
    <row r="219" spans="1:31" ht="16.5" x14ac:dyDescent="0.35">
      <c r="A219" s="71">
        <v>213</v>
      </c>
      <c r="B219" s="72">
        <v>2041224976</v>
      </c>
      <c r="C219" s="80" t="s">
        <v>95</v>
      </c>
      <c r="D219" s="81" t="s">
        <v>118</v>
      </c>
      <c r="E219" s="72" t="s">
        <v>534</v>
      </c>
      <c r="F219" s="76">
        <v>4</v>
      </c>
      <c r="G219" s="72" t="s">
        <v>924</v>
      </c>
      <c r="H219" s="78">
        <v>45629</v>
      </c>
      <c r="I219" s="72" t="s">
        <v>1299</v>
      </c>
      <c r="J219" s="72">
        <v>8</v>
      </c>
      <c r="K219" s="72"/>
      <c r="L219" s="72" t="s">
        <v>1301</v>
      </c>
      <c r="M219" s="78">
        <v>45757</v>
      </c>
      <c r="N219" s="72" t="s">
        <v>1299</v>
      </c>
      <c r="O219" s="72">
        <v>7.5</v>
      </c>
      <c r="P219" s="72"/>
      <c r="Q219" s="72" t="s">
        <v>1301</v>
      </c>
      <c r="R219" s="78">
        <v>45757</v>
      </c>
      <c r="S219" s="72" t="s">
        <v>1299</v>
      </c>
      <c r="T219" s="72">
        <v>9</v>
      </c>
      <c r="U219" s="72"/>
      <c r="V219" s="72" t="s">
        <v>1300</v>
      </c>
      <c r="W219" s="78">
        <v>45791</v>
      </c>
      <c r="X219" s="72" t="s">
        <v>1299</v>
      </c>
      <c r="Y219" s="72">
        <v>8.5</v>
      </c>
      <c r="Z219" s="72"/>
      <c r="AA219" s="79"/>
      <c r="AB219" s="79"/>
      <c r="AC219" s="79"/>
      <c r="AD219" s="79"/>
      <c r="AE219" s="79"/>
    </row>
    <row r="220" spans="1:31" ht="16.5" x14ac:dyDescent="0.35">
      <c r="A220" s="71">
        <v>214</v>
      </c>
      <c r="B220" s="72">
        <v>2041225012</v>
      </c>
      <c r="C220" s="80" t="s">
        <v>1025</v>
      </c>
      <c r="D220" s="81" t="s">
        <v>1026</v>
      </c>
      <c r="E220" s="72" t="s">
        <v>534</v>
      </c>
      <c r="F220" s="76">
        <v>3</v>
      </c>
      <c r="G220" s="72" t="s">
        <v>924</v>
      </c>
      <c r="H220" s="78">
        <v>45623</v>
      </c>
      <c r="I220" s="72" t="s">
        <v>1299</v>
      </c>
      <c r="J220" s="72">
        <v>6</v>
      </c>
      <c r="K220" s="72"/>
      <c r="L220" s="72" t="s">
        <v>1301</v>
      </c>
      <c r="M220" s="78">
        <v>45630</v>
      </c>
      <c r="N220" s="72" t="s">
        <v>1299</v>
      </c>
      <c r="O220" s="72">
        <v>7.5</v>
      </c>
      <c r="P220" s="72"/>
      <c r="Q220" s="72" t="s">
        <v>1300</v>
      </c>
      <c r="R220" s="78">
        <v>45644</v>
      </c>
      <c r="S220" s="72" t="s">
        <v>1299</v>
      </c>
      <c r="T220" s="72">
        <v>9</v>
      </c>
      <c r="U220" s="72"/>
      <c r="V220" s="72"/>
      <c r="W220" s="72"/>
      <c r="X220" s="72"/>
      <c r="Y220" s="72"/>
      <c r="Z220" s="72"/>
      <c r="AA220" s="79"/>
      <c r="AB220" s="79"/>
      <c r="AC220" s="79"/>
      <c r="AD220" s="79"/>
      <c r="AE220" s="79"/>
    </row>
    <row r="221" spans="1:31" ht="16.5" x14ac:dyDescent="0.35">
      <c r="A221" s="71">
        <v>215</v>
      </c>
      <c r="B221" s="72">
        <v>2041225021</v>
      </c>
      <c r="C221" s="80" t="s">
        <v>668</v>
      </c>
      <c r="D221" s="81" t="s">
        <v>730</v>
      </c>
      <c r="E221" s="72" t="s">
        <v>534</v>
      </c>
      <c r="F221" s="76">
        <v>3</v>
      </c>
      <c r="G221" s="72" t="s">
        <v>1300</v>
      </c>
      <c r="H221" s="78">
        <v>45756</v>
      </c>
      <c r="I221" s="72" t="s">
        <v>1299</v>
      </c>
      <c r="J221" s="72">
        <v>8</v>
      </c>
      <c r="K221" s="72"/>
      <c r="L221" s="72" t="s">
        <v>925</v>
      </c>
      <c r="M221" s="78">
        <v>45757</v>
      </c>
      <c r="N221" s="72" t="s">
        <v>1299</v>
      </c>
      <c r="O221" s="72">
        <v>8.5</v>
      </c>
      <c r="P221" s="72"/>
      <c r="Q221" s="79" t="s">
        <v>928</v>
      </c>
      <c r="R221" s="83">
        <v>45799</v>
      </c>
      <c r="S221" s="79" t="s">
        <v>1299</v>
      </c>
      <c r="T221" s="72">
        <v>7</v>
      </c>
      <c r="U221" s="72"/>
      <c r="V221" s="72"/>
      <c r="W221" s="72"/>
      <c r="X221" s="72"/>
      <c r="Y221" s="72"/>
      <c r="Z221" s="72"/>
      <c r="AA221" s="79"/>
      <c r="AB221" s="79"/>
      <c r="AC221" s="79"/>
      <c r="AD221" s="79"/>
      <c r="AE221" s="79"/>
    </row>
    <row r="222" spans="1:31" ht="16.5" x14ac:dyDescent="0.35">
      <c r="A222" s="71">
        <v>216</v>
      </c>
      <c r="B222" s="72">
        <v>2041225180</v>
      </c>
      <c r="C222" s="80" t="s">
        <v>721</v>
      </c>
      <c r="D222" s="81" t="s">
        <v>123</v>
      </c>
      <c r="E222" s="72" t="s">
        <v>534</v>
      </c>
      <c r="F222" s="76">
        <v>4</v>
      </c>
      <c r="G222" s="72" t="s">
        <v>1300</v>
      </c>
      <c r="H222" s="78">
        <v>45448</v>
      </c>
      <c r="I222" s="72" t="s">
        <v>1299</v>
      </c>
      <c r="J222" s="72">
        <v>5.5</v>
      </c>
      <c r="K222" s="72"/>
      <c r="L222" s="72" t="s">
        <v>1300</v>
      </c>
      <c r="M222" s="78">
        <v>45631</v>
      </c>
      <c r="N222" s="72" t="s">
        <v>1299</v>
      </c>
      <c r="O222" s="72">
        <v>6.5</v>
      </c>
      <c r="P222" s="72"/>
      <c r="Q222" s="72" t="s">
        <v>1301</v>
      </c>
      <c r="R222" s="78">
        <v>45783</v>
      </c>
      <c r="S222" s="72" t="s">
        <v>1299</v>
      </c>
      <c r="T222" s="72">
        <v>9</v>
      </c>
      <c r="U222" s="72"/>
      <c r="V222" s="88" t="s">
        <v>1302</v>
      </c>
      <c r="W222" s="78">
        <v>45552</v>
      </c>
      <c r="X222" s="72" t="s">
        <v>1299</v>
      </c>
      <c r="Y222" s="72"/>
      <c r="Z222" s="72"/>
      <c r="AA222" s="79"/>
      <c r="AB222" s="79"/>
      <c r="AC222" s="79"/>
      <c r="AD222" s="79"/>
      <c r="AE222" s="79"/>
    </row>
    <row r="223" spans="1:31" ht="16.5" x14ac:dyDescent="0.35">
      <c r="A223" s="71">
        <v>217</v>
      </c>
      <c r="B223" s="72">
        <v>2041225178</v>
      </c>
      <c r="C223" s="80" t="s">
        <v>720</v>
      </c>
      <c r="D223" s="81" t="s">
        <v>123</v>
      </c>
      <c r="E223" s="72" t="s">
        <v>534</v>
      </c>
      <c r="F223" s="76">
        <v>4</v>
      </c>
      <c r="G223" s="72" t="s">
        <v>1300</v>
      </c>
      <c r="H223" s="78">
        <v>45448</v>
      </c>
      <c r="I223" s="72" t="s">
        <v>1299</v>
      </c>
      <c r="J223" s="72">
        <v>5.5</v>
      </c>
      <c r="K223" s="72"/>
      <c r="L223" s="72" t="s">
        <v>1300</v>
      </c>
      <c r="M223" s="78">
        <v>45631</v>
      </c>
      <c r="N223" s="72" t="s">
        <v>1299</v>
      </c>
      <c r="O223" s="72">
        <v>6.5</v>
      </c>
      <c r="P223" s="72"/>
      <c r="Q223" s="72" t="s">
        <v>924</v>
      </c>
      <c r="R223" s="78">
        <v>45803</v>
      </c>
      <c r="S223" s="72" t="s">
        <v>1299</v>
      </c>
      <c r="T223" s="72">
        <v>9</v>
      </c>
      <c r="U223" s="72"/>
      <c r="V223" s="88" t="s">
        <v>1302</v>
      </c>
      <c r="W223" s="78">
        <v>45552</v>
      </c>
      <c r="X223" s="72" t="s">
        <v>1299</v>
      </c>
      <c r="Y223" s="72"/>
      <c r="Z223" s="72"/>
      <c r="AA223" s="79"/>
      <c r="AB223" s="79"/>
      <c r="AC223" s="79"/>
      <c r="AD223" s="79"/>
      <c r="AE223" s="79"/>
    </row>
    <row r="224" spans="1:31" ht="16.5" x14ac:dyDescent="0.35">
      <c r="A224" s="71">
        <v>218</v>
      </c>
      <c r="B224" s="72">
        <v>2041225288</v>
      </c>
      <c r="C224" s="80" t="s">
        <v>1028</v>
      </c>
      <c r="D224" s="81" t="s">
        <v>514</v>
      </c>
      <c r="E224" s="72" t="s">
        <v>534</v>
      </c>
      <c r="F224" s="76">
        <v>3</v>
      </c>
      <c r="G224" s="72" t="s">
        <v>925</v>
      </c>
      <c r="H224" s="78">
        <v>45589</v>
      </c>
      <c r="I224" s="72" t="s">
        <v>1299</v>
      </c>
      <c r="J224" s="72">
        <v>8</v>
      </c>
      <c r="K224" s="72"/>
      <c r="L224" s="72" t="s">
        <v>924</v>
      </c>
      <c r="M224" s="78">
        <v>45602</v>
      </c>
      <c r="N224" s="72" t="s">
        <v>1299</v>
      </c>
      <c r="O224" s="72">
        <v>7.5</v>
      </c>
      <c r="P224" s="72"/>
      <c r="Q224" s="72" t="s">
        <v>1300</v>
      </c>
      <c r="R224" s="78">
        <v>45631</v>
      </c>
      <c r="S224" s="72" t="s">
        <v>1299</v>
      </c>
      <c r="T224" s="72">
        <v>7</v>
      </c>
      <c r="U224" s="72"/>
      <c r="V224" s="72"/>
      <c r="W224" s="72"/>
      <c r="X224" s="72"/>
      <c r="Y224" s="72"/>
      <c r="Z224" s="72"/>
      <c r="AA224" s="79"/>
      <c r="AB224" s="79"/>
      <c r="AC224" s="79"/>
      <c r="AD224" s="79"/>
      <c r="AE224" s="79"/>
    </row>
    <row r="225" spans="1:31" ht="16.5" x14ac:dyDescent="0.35">
      <c r="A225" s="71">
        <v>219</v>
      </c>
      <c r="B225" s="72">
        <v>2041225331</v>
      </c>
      <c r="C225" s="80" t="s">
        <v>490</v>
      </c>
      <c r="D225" s="81" t="s">
        <v>736</v>
      </c>
      <c r="E225" s="72" t="s">
        <v>534</v>
      </c>
      <c r="F225" s="76">
        <v>2</v>
      </c>
      <c r="G225" s="72" t="s">
        <v>925</v>
      </c>
      <c r="H225" s="78">
        <v>45559</v>
      </c>
      <c r="I225" s="72" t="s">
        <v>1299</v>
      </c>
      <c r="J225" s="72">
        <v>8.5</v>
      </c>
      <c r="K225" s="72"/>
      <c r="L225" s="72" t="s">
        <v>924</v>
      </c>
      <c r="M225" s="78">
        <v>45645</v>
      </c>
      <c r="N225" s="72" t="s">
        <v>1299</v>
      </c>
      <c r="O225" s="72">
        <v>6.5</v>
      </c>
      <c r="P225" s="72"/>
      <c r="Q225" s="72"/>
      <c r="R225" s="78"/>
      <c r="S225" s="72"/>
      <c r="T225" s="72"/>
      <c r="U225" s="72"/>
      <c r="V225" s="72"/>
      <c r="W225" s="72"/>
      <c r="X225" s="72"/>
      <c r="Y225" s="72"/>
      <c r="Z225" s="72"/>
      <c r="AA225" s="79"/>
      <c r="AB225" s="79"/>
      <c r="AC225" s="79"/>
      <c r="AD225" s="79"/>
      <c r="AE225" s="79"/>
    </row>
    <row r="226" spans="1:31" ht="16.5" x14ac:dyDescent="0.35">
      <c r="A226" s="71">
        <v>220</v>
      </c>
      <c r="B226" s="72">
        <v>2041225482</v>
      </c>
      <c r="C226" s="80" t="s">
        <v>48</v>
      </c>
      <c r="D226" s="81" t="s">
        <v>168</v>
      </c>
      <c r="E226" s="72" t="s">
        <v>534</v>
      </c>
      <c r="F226" s="76">
        <v>3</v>
      </c>
      <c r="G226" s="72" t="s">
        <v>924</v>
      </c>
      <c r="H226" s="78">
        <v>45623</v>
      </c>
      <c r="I226" s="72" t="s">
        <v>1299</v>
      </c>
      <c r="J226" s="72">
        <v>7.5</v>
      </c>
      <c r="K226" s="72"/>
      <c r="L226" s="72" t="s">
        <v>924</v>
      </c>
      <c r="M226" s="78">
        <v>45645</v>
      </c>
      <c r="N226" s="72" t="s">
        <v>1299</v>
      </c>
      <c r="O226" s="72">
        <v>6.5</v>
      </c>
      <c r="P226" s="72"/>
      <c r="Q226" s="72" t="s">
        <v>1301</v>
      </c>
      <c r="R226" s="78">
        <v>45630</v>
      </c>
      <c r="S226" s="72" t="s">
        <v>1299</v>
      </c>
      <c r="T226" s="72">
        <v>6.5</v>
      </c>
      <c r="U226" s="72"/>
      <c r="V226" s="72"/>
      <c r="W226" s="72"/>
      <c r="X226" s="72"/>
      <c r="Y226" s="72"/>
      <c r="Z226" s="72"/>
      <c r="AA226" s="79"/>
      <c r="AB226" s="79"/>
      <c r="AC226" s="79"/>
      <c r="AD226" s="79"/>
      <c r="AE226" s="79"/>
    </row>
    <row r="227" spans="1:31" ht="16.5" x14ac:dyDescent="0.35">
      <c r="A227" s="71">
        <v>221</v>
      </c>
      <c r="B227" s="72">
        <v>2041225486</v>
      </c>
      <c r="C227" s="80" t="s">
        <v>370</v>
      </c>
      <c r="D227" s="81" t="s">
        <v>168</v>
      </c>
      <c r="E227" s="72" t="s">
        <v>534</v>
      </c>
      <c r="F227" s="76">
        <v>0</v>
      </c>
      <c r="G227" s="72"/>
      <c r="H227" s="78"/>
      <c r="I227" s="72"/>
      <c r="J227" s="72"/>
      <c r="K227" s="72"/>
      <c r="L227" s="72"/>
      <c r="M227" s="78"/>
      <c r="N227" s="72"/>
      <c r="O227" s="72"/>
      <c r="P227" s="72"/>
      <c r="Q227" s="72"/>
      <c r="R227" s="78"/>
      <c r="S227" s="72"/>
      <c r="T227" s="72"/>
      <c r="U227" s="72"/>
      <c r="V227" s="72"/>
      <c r="W227" s="72"/>
      <c r="X227" s="72"/>
      <c r="Y227" s="72"/>
      <c r="Z227" s="72"/>
      <c r="AA227" s="79"/>
      <c r="AB227" s="79"/>
      <c r="AC227" s="79"/>
      <c r="AD227" s="79"/>
      <c r="AE227" s="79"/>
    </row>
    <row r="228" spans="1:31" ht="16.5" x14ac:dyDescent="0.35">
      <c r="A228" s="71">
        <v>222</v>
      </c>
      <c r="B228" s="72">
        <v>2041225588</v>
      </c>
      <c r="C228" s="80" t="s">
        <v>1037</v>
      </c>
      <c r="D228" s="81" t="s">
        <v>115</v>
      </c>
      <c r="E228" s="72" t="s">
        <v>534</v>
      </c>
      <c r="F228" s="76">
        <v>2</v>
      </c>
      <c r="G228" s="72" t="s">
        <v>924</v>
      </c>
      <c r="H228" s="78">
        <v>45602</v>
      </c>
      <c r="I228" s="72" t="s">
        <v>1299</v>
      </c>
      <c r="J228" s="72">
        <v>8</v>
      </c>
      <c r="K228" s="72"/>
      <c r="L228" s="72" t="s">
        <v>1300</v>
      </c>
      <c r="M228" s="78">
        <v>45631</v>
      </c>
      <c r="N228" s="72" t="s">
        <v>1299</v>
      </c>
      <c r="O228" s="72">
        <v>7</v>
      </c>
      <c r="P228" s="72"/>
      <c r="Q228" s="72"/>
      <c r="R228" s="78"/>
      <c r="S228" s="72"/>
      <c r="T228" s="72"/>
      <c r="U228" s="72"/>
      <c r="V228" s="72"/>
      <c r="W228" s="72"/>
      <c r="X228" s="72"/>
      <c r="Y228" s="72"/>
      <c r="Z228" s="72"/>
      <c r="AA228" s="79"/>
      <c r="AB228" s="79"/>
      <c r="AC228" s="79"/>
      <c r="AD228" s="79"/>
      <c r="AE228" s="79"/>
    </row>
    <row r="229" spans="1:31" ht="16.5" x14ac:dyDescent="0.35">
      <c r="A229" s="71">
        <v>223</v>
      </c>
      <c r="B229" s="72">
        <v>2041225645</v>
      </c>
      <c r="C229" s="80" t="s">
        <v>713</v>
      </c>
      <c r="D229" s="81" t="s">
        <v>714</v>
      </c>
      <c r="E229" s="72" t="s">
        <v>534</v>
      </c>
      <c r="F229" s="76">
        <v>3</v>
      </c>
      <c r="G229" s="72" t="s">
        <v>1300</v>
      </c>
      <c r="H229" s="78">
        <v>45631</v>
      </c>
      <c r="I229" s="72" t="s">
        <v>1299</v>
      </c>
      <c r="J229" s="72">
        <v>8.5</v>
      </c>
      <c r="K229" s="72"/>
      <c r="L229" s="72" t="s">
        <v>924</v>
      </c>
      <c r="M229" s="78">
        <v>45645</v>
      </c>
      <c r="N229" s="72" t="s">
        <v>1299</v>
      </c>
      <c r="O229" s="72">
        <v>6.5</v>
      </c>
      <c r="P229" s="72"/>
      <c r="Q229" s="88" t="s">
        <v>1302</v>
      </c>
      <c r="R229" s="78">
        <v>45552</v>
      </c>
      <c r="S229" s="72" t="s">
        <v>1299</v>
      </c>
      <c r="T229" s="72"/>
      <c r="U229" s="72"/>
      <c r="V229" s="72"/>
      <c r="W229" s="72"/>
      <c r="X229" s="72"/>
      <c r="Y229" s="72"/>
      <c r="Z229" s="72"/>
      <c r="AA229" s="79"/>
      <c r="AB229" s="79"/>
      <c r="AC229" s="79"/>
      <c r="AD229" s="79"/>
      <c r="AE229" s="79"/>
    </row>
    <row r="230" spans="1:31" ht="16.5" x14ac:dyDescent="0.35">
      <c r="A230" s="71">
        <v>224</v>
      </c>
      <c r="B230" s="72">
        <v>2041225654</v>
      </c>
      <c r="C230" s="80" t="s">
        <v>836</v>
      </c>
      <c r="D230" s="81" t="s">
        <v>714</v>
      </c>
      <c r="E230" s="72" t="s">
        <v>534</v>
      </c>
      <c r="F230" s="76">
        <v>2</v>
      </c>
      <c r="G230" s="72" t="s">
        <v>925</v>
      </c>
      <c r="H230" s="78">
        <v>45589</v>
      </c>
      <c r="I230" s="72" t="s">
        <v>1299</v>
      </c>
      <c r="J230" s="72">
        <v>7</v>
      </c>
      <c r="K230" s="72"/>
      <c r="L230" s="72" t="s">
        <v>924</v>
      </c>
      <c r="M230" s="78">
        <v>45602</v>
      </c>
      <c r="N230" s="72" t="s">
        <v>1299</v>
      </c>
      <c r="O230" s="72">
        <v>8</v>
      </c>
      <c r="P230" s="72"/>
      <c r="Q230" s="72"/>
      <c r="R230" s="78"/>
      <c r="S230" s="72"/>
      <c r="T230" s="72"/>
      <c r="U230" s="72"/>
      <c r="V230" s="72"/>
      <c r="W230" s="72"/>
      <c r="X230" s="72"/>
      <c r="Y230" s="72"/>
      <c r="Z230" s="72"/>
      <c r="AA230" s="79"/>
      <c r="AB230" s="79"/>
      <c r="AC230" s="79"/>
      <c r="AD230" s="79"/>
      <c r="AE230" s="79"/>
    </row>
    <row r="231" spans="1:31" ht="16.5" x14ac:dyDescent="0.35">
      <c r="A231" s="71">
        <v>225</v>
      </c>
      <c r="B231" s="72">
        <v>2041225705</v>
      </c>
      <c r="C231" s="80" t="s">
        <v>436</v>
      </c>
      <c r="D231" s="81" t="s">
        <v>305</v>
      </c>
      <c r="E231" s="72" t="s">
        <v>534</v>
      </c>
      <c r="F231" s="76">
        <v>4</v>
      </c>
      <c r="G231" s="72" t="s">
        <v>1300</v>
      </c>
      <c r="H231" s="78">
        <v>45756</v>
      </c>
      <c r="I231" s="72" t="s">
        <v>1299</v>
      </c>
      <c r="J231" s="72">
        <v>8.5</v>
      </c>
      <c r="K231" s="72"/>
      <c r="L231" s="72" t="s">
        <v>925</v>
      </c>
      <c r="M231" s="78">
        <v>45818</v>
      </c>
      <c r="N231" s="72" t="s">
        <v>1299</v>
      </c>
      <c r="O231" s="72">
        <v>9.5</v>
      </c>
      <c r="P231" s="72"/>
      <c r="Q231" s="72" t="s">
        <v>924</v>
      </c>
      <c r="R231" s="78">
        <v>45776</v>
      </c>
      <c r="S231" s="72" t="s">
        <v>1299</v>
      </c>
      <c r="T231" s="72">
        <v>9.5</v>
      </c>
      <c r="U231" s="72"/>
      <c r="V231" s="72" t="s">
        <v>1300</v>
      </c>
      <c r="W231" s="78">
        <v>45448</v>
      </c>
      <c r="X231" s="72" t="s">
        <v>1299</v>
      </c>
      <c r="Y231" s="72">
        <v>7</v>
      </c>
      <c r="Z231" s="72"/>
      <c r="AA231" s="79"/>
      <c r="AB231" s="79"/>
      <c r="AC231" s="79"/>
      <c r="AD231" s="79"/>
      <c r="AE231" s="79"/>
    </row>
    <row r="232" spans="1:31" ht="16.5" x14ac:dyDescent="0.35">
      <c r="A232" s="71">
        <v>226</v>
      </c>
      <c r="B232" s="72">
        <v>2041225946</v>
      </c>
      <c r="C232" s="80" t="s">
        <v>733</v>
      </c>
      <c r="D232" s="81" t="s">
        <v>56</v>
      </c>
      <c r="E232" s="72" t="s">
        <v>534</v>
      </c>
      <c r="F232" s="76">
        <v>3</v>
      </c>
      <c r="G232" s="72" t="s">
        <v>925</v>
      </c>
      <c r="H232" s="78">
        <v>45636</v>
      </c>
      <c r="I232" s="86" t="s">
        <v>1299</v>
      </c>
      <c r="J232" s="72">
        <v>6.5</v>
      </c>
      <c r="K232" s="72"/>
      <c r="L232" s="86" t="s">
        <v>1300</v>
      </c>
      <c r="M232" s="78">
        <v>45749</v>
      </c>
      <c r="N232" s="86" t="s">
        <v>1299</v>
      </c>
      <c r="O232" s="72">
        <v>8.5</v>
      </c>
      <c r="P232" s="72"/>
      <c r="Q232" s="72" t="s">
        <v>1301</v>
      </c>
      <c r="R232" s="78">
        <v>45757</v>
      </c>
      <c r="S232" s="72" t="s">
        <v>1299</v>
      </c>
      <c r="T232" s="72">
        <v>8</v>
      </c>
      <c r="U232" s="72"/>
      <c r="V232" s="72"/>
      <c r="W232" s="72"/>
      <c r="X232" s="72"/>
      <c r="Y232" s="72"/>
      <c r="Z232" s="72"/>
      <c r="AA232" s="79"/>
      <c r="AB232" s="79"/>
      <c r="AC232" s="79"/>
      <c r="AD232" s="79"/>
      <c r="AE232" s="79"/>
    </row>
    <row r="233" spans="1:31" ht="16.5" x14ac:dyDescent="0.35">
      <c r="A233" s="71">
        <v>227</v>
      </c>
      <c r="B233" s="72">
        <v>2041226029</v>
      </c>
      <c r="C233" s="80" t="s">
        <v>731</v>
      </c>
      <c r="D233" s="81" t="s">
        <v>56</v>
      </c>
      <c r="E233" s="72" t="s">
        <v>534</v>
      </c>
      <c r="F233" s="76">
        <v>2</v>
      </c>
      <c r="G233" s="72" t="s">
        <v>924</v>
      </c>
      <c r="H233" s="78">
        <v>45629</v>
      </c>
      <c r="I233" s="72" t="s">
        <v>1299</v>
      </c>
      <c r="J233" s="72">
        <v>8</v>
      </c>
      <c r="K233" s="72"/>
      <c r="L233" s="72" t="s">
        <v>1300</v>
      </c>
      <c r="M233" s="78">
        <v>45644</v>
      </c>
      <c r="N233" s="72" t="s">
        <v>1299</v>
      </c>
      <c r="O233" s="72">
        <v>7.5</v>
      </c>
      <c r="P233" s="72"/>
      <c r="Q233" s="72"/>
      <c r="R233" s="78"/>
      <c r="S233" s="72"/>
      <c r="T233" s="72"/>
      <c r="U233" s="72"/>
      <c r="V233" s="72"/>
      <c r="W233" s="72"/>
      <c r="X233" s="72"/>
      <c r="Y233" s="72"/>
      <c r="Z233" s="72"/>
      <c r="AA233" s="79"/>
      <c r="AB233" s="79"/>
      <c r="AC233" s="79"/>
      <c r="AD233" s="79"/>
      <c r="AE233" s="79"/>
    </row>
    <row r="234" spans="1:31" ht="16.5" x14ac:dyDescent="0.35">
      <c r="A234" s="71">
        <v>228</v>
      </c>
      <c r="B234" s="72">
        <v>2041226097</v>
      </c>
      <c r="C234" s="80" t="s">
        <v>1039</v>
      </c>
      <c r="D234" s="81" t="s">
        <v>552</v>
      </c>
      <c r="E234" s="72" t="s">
        <v>534</v>
      </c>
      <c r="F234" s="76">
        <v>3</v>
      </c>
      <c r="G234" s="72" t="s">
        <v>924</v>
      </c>
      <c r="H234" s="78">
        <v>45623</v>
      </c>
      <c r="I234" s="72" t="s">
        <v>1299</v>
      </c>
      <c r="J234" s="72">
        <v>3.5</v>
      </c>
      <c r="K234" s="72"/>
      <c r="L234" s="72" t="s">
        <v>1301</v>
      </c>
      <c r="M234" s="78">
        <v>45783</v>
      </c>
      <c r="N234" s="72" t="s">
        <v>1299</v>
      </c>
      <c r="O234" s="72">
        <v>8.5</v>
      </c>
      <c r="P234" s="72"/>
      <c r="Q234" s="72" t="s">
        <v>924</v>
      </c>
      <c r="R234" s="78">
        <v>45803</v>
      </c>
      <c r="S234" s="72" t="s">
        <v>1299</v>
      </c>
      <c r="T234" s="72">
        <v>7.5</v>
      </c>
      <c r="U234" s="72"/>
      <c r="V234" s="72"/>
      <c r="W234" s="72"/>
      <c r="X234" s="72"/>
      <c r="Y234" s="72"/>
      <c r="Z234" s="72"/>
      <c r="AA234" s="79"/>
      <c r="AB234" s="79"/>
      <c r="AC234" s="79"/>
      <c r="AD234" s="79"/>
      <c r="AE234" s="79"/>
    </row>
    <row r="235" spans="1:31" ht="16.5" x14ac:dyDescent="0.35">
      <c r="A235" s="71">
        <v>229</v>
      </c>
      <c r="B235" s="72">
        <v>2041220439</v>
      </c>
      <c r="C235" s="80" t="s">
        <v>1043</v>
      </c>
      <c r="D235" s="81" t="s">
        <v>38</v>
      </c>
      <c r="E235" s="72" t="s">
        <v>132</v>
      </c>
      <c r="F235" s="76">
        <v>4</v>
      </c>
      <c r="G235" s="72" t="s">
        <v>925</v>
      </c>
      <c r="H235" s="78">
        <v>45398</v>
      </c>
      <c r="I235" s="72" t="s">
        <v>1299</v>
      </c>
      <c r="J235" s="72">
        <v>7.5</v>
      </c>
      <c r="K235" s="72"/>
      <c r="L235" s="72" t="s">
        <v>924</v>
      </c>
      <c r="M235" s="78">
        <v>45623</v>
      </c>
      <c r="N235" s="72" t="s">
        <v>1299</v>
      </c>
      <c r="O235" s="72">
        <v>7.5</v>
      </c>
      <c r="P235" s="72"/>
      <c r="Q235" s="72" t="s">
        <v>1300</v>
      </c>
      <c r="R235" s="78">
        <v>45631</v>
      </c>
      <c r="S235" s="72" t="s">
        <v>1299</v>
      </c>
      <c r="T235" s="72">
        <v>9</v>
      </c>
      <c r="U235" s="72"/>
      <c r="V235" s="79" t="s">
        <v>1301</v>
      </c>
      <c r="W235" s="83">
        <v>45398</v>
      </c>
      <c r="X235" s="79" t="s">
        <v>1299</v>
      </c>
      <c r="Y235" s="79">
        <v>7.5</v>
      </c>
      <c r="Z235" s="72"/>
      <c r="AA235" s="79"/>
      <c r="AB235" s="79"/>
      <c r="AC235" s="79"/>
      <c r="AD235" s="79"/>
      <c r="AE235" s="79"/>
    </row>
    <row r="236" spans="1:31" ht="16.5" x14ac:dyDescent="0.35">
      <c r="A236" s="71">
        <v>230</v>
      </c>
      <c r="B236" s="72">
        <v>2041220564</v>
      </c>
      <c r="C236" s="80" t="s">
        <v>1041</v>
      </c>
      <c r="D236" s="81" t="s">
        <v>1042</v>
      </c>
      <c r="E236" s="72" t="s">
        <v>132</v>
      </c>
      <c r="F236" s="76">
        <v>2</v>
      </c>
      <c r="G236" s="72" t="s">
        <v>924</v>
      </c>
      <c r="H236" s="78">
        <v>45621</v>
      </c>
      <c r="I236" s="72" t="s">
        <v>1299</v>
      </c>
      <c r="J236" s="72">
        <v>8</v>
      </c>
      <c r="K236" s="72"/>
      <c r="L236" s="72" t="s">
        <v>1300</v>
      </c>
      <c r="M236" s="78">
        <v>45631</v>
      </c>
      <c r="N236" s="72" t="s">
        <v>1299</v>
      </c>
      <c r="O236" s="72">
        <v>7.5</v>
      </c>
      <c r="P236" s="72"/>
      <c r="Q236" s="72" t="s">
        <v>1290</v>
      </c>
      <c r="R236" s="78" t="s">
        <v>1290</v>
      </c>
      <c r="S236" s="72" t="s">
        <v>1290</v>
      </c>
      <c r="T236" s="72"/>
      <c r="U236" s="72"/>
      <c r="V236" s="72"/>
      <c r="W236" s="72"/>
      <c r="X236" s="72"/>
      <c r="Y236" s="72"/>
      <c r="Z236" s="72"/>
      <c r="AA236" s="79"/>
      <c r="AB236" s="79"/>
      <c r="AC236" s="79"/>
      <c r="AD236" s="79"/>
      <c r="AE236" s="79"/>
    </row>
    <row r="237" spans="1:31" ht="16.5" x14ac:dyDescent="0.35">
      <c r="A237" s="71">
        <v>231</v>
      </c>
      <c r="B237" s="72">
        <v>2041220710</v>
      </c>
      <c r="C237" s="80" t="s">
        <v>745</v>
      </c>
      <c r="D237" s="81" t="s">
        <v>73</v>
      </c>
      <c r="E237" s="72" t="s">
        <v>132</v>
      </c>
      <c r="F237" s="76">
        <v>2</v>
      </c>
      <c r="G237" s="72" t="s">
        <v>1301</v>
      </c>
      <c r="H237" s="78">
        <v>45785</v>
      </c>
      <c r="I237" s="72" t="s">
        <v>1299</v>
      </c>
      <c r="J237" s="72">
        <v>7</v>
      </c>
      <c r="K237" s="72"/>
      <c r="L237" s="72" t="s">
        <v>924</v>
      </c>
      <c r="M237" s="78">
        <v>45803</v>
      </c>
      <c r="N237" s="72" t="s">
        <v>1299</v>
      </c>
      <c r="O237" s="72">
        <v>6.5</v>
      </c>
      <c r="P237" s="72"/>
      <c r="Q237" s="72"/>
      <c r="R237" s="78"/>
      <c r="S237" s="72"/>
      <c r="T237" s="72"/>
      <c r="U237" s="72"/>
      <c r="V237" s="72"/>
      <c r="W237" s="72"/>
      <c r="X237" s="72"/>
      <c r="Y237" s="72"/>
      <c r="Z237" s="72"/>
      <c r="AA237" s="79"/>
      <c r="AB237" s="79"/>
      <c r="AC237" s="79"/>
      <c r="AD237" s="79"/>
      <c r="AE237" s="79"/>
    </row>
    <row r="238" spans="1:31" ht="16.5" x14ac:dyDescent="0.35">
      <c r="A238" s="71">
        <v>232</v>
      </c>
      <c r="B238" s="72">
        <v>2041220767</v>
      </c>
      <c r="C238" s="80" t="s">
        <v>1045</v>
      </c>
      <c r="D238" s="81" t="s">
        <v>84</v>
      </c>
      <c r="E238" s="72" t="s">
        <v>132</v>
      </c>
      <c r="F238" s="76">
        <v>2</v>
      </c>
      <c r="G238" s="72" t="s">
        <v>925</v>
      </c>
      <c r="H238" s="78">
        <v>45818</v>
      </c>
      <c r="I238" s="72" t="s">
        <v>1299</v>
      </c>
      <c r="J238" s="72">
        <v>9</v>
      </c>
      <c r="K238" s="72"/>
      <c r="L238" s="72" t="s">
        <v>925</v>
      </c>
      <c r="M238" s="78">
        <v>45818</v>
      </c>
      <c r="N238" s="72" t="s">
        <v>1299</v>
      </c>
      <c r="O238" s="72">
        <v>9</v>
      </c>
      <c r="P238" s="72"/>
      <c r="Q238" s="72"/>
      <c r="R238" s="78"/>
      <c r="S238" s="72"/>
      <c r="T238" s="72"/>
      <c r="U238" s="72"/>
      <c r="V238" s="72"/>
      <c r="W238" s="72"/>
      <c r="X238" s="72"/>
      <c r="Y238" s="72"/>
      <c r="Z238" s="72"/>
      <c r="AA238" s="79"/>
      <c r="AB238" s="79"/>
      <c r="AC238" s="79"/>
      <c r="AD238" s="79"/>
      <c r="AE238" s="79"/>
    </row>
    <row r="239" spans="1:31" ht="16.5" x14ac:dyDescent="0.35">
      <c r="A239" s="71">
        <v>233</v>
      </c>
      <c r="B239" s="72">
        <v>2041221131</v>
      </c>
      <c r="C239" s="80" t="s">
        <v>1047</v>
      </c>
      <c r="D239" s="81" t="s">
        <v>85</v>
      </c>
      <c r="E239" s="72" t="s">
        <v>132</v>
      </c>
      <c r="F239" s="76">
        <v>0</v>
      </c>
      <c r="G239" s="72"/>
      <c r="H239" s="78"/>
      <c r="I239" s="72"/>
      <c r="J239" s="72"/>
      <c r="K239" s="72"/>
      <c r="L239" s="72"/>
      <c r="M239" s="78"/>
      <c r="N239" s="72"/>
      <c r="O239" s="72"/>
      <c r="P239" s="72"/>
      <c r="Q239" s="72"/>
      <c r="R239" s="78"/>
      <c r="S239" s="72"/>
      <c r="T239" s="72"/>
      <c r="U239" s="72"/>
      <c r="V239" s="72"/>
      <c r="W239" s="72"/>
      <c r="X239" s="72"/>
      <c r="Y239" s="72"/>
      <c r="Z239" s="72"/>
      <c r="AA239" s="79"/>
      <c r="AB239" s="79"/>
      <c r="AC239" s="79"/>
      <c r="AD239" s="79"/>
      <c r="AE239" s="79"/>
    </row>
    <row r="240" spans="1:31" ht="16.5" x14ac:dyDescent="0.35">
      <c r="A240" s="71">
        <v>234</v>
      </c>
      <c r="B240" s="72">
        <v>2041221251</v>
      </c>
      <c r="C240" s="80" t="s">
        <v>89</v>
      </c>
      <c r="D240" s="81" t="s">
        <v>172</v>
      </c>
      <c r="E240" s="72" t="s">
        <v>132</v>
      </c>
      <c r="F240" s="76">
        <v>4</v>
      </c>
      <c r="G240" s="72" t="s">
        <v>1300</v>
      </c>
      <c r="H240" s="78">
        <v>45422</v>
      </c>
      <c r="I240" s="72" t="s">
        <v>1299</v>
      </c>
      <c r="J240" s="72">
        <v>7</v>
      </c>
      <c r="K240" s="72"/>
      <c r="L240" s="72" t="s">
        <v>925</v>
      </c>
      <c r="M240" s="78">
        <v>45636</v>
      </c>
      <c r="N240" s="72" t="s">
        <v>1299</v>
      </c>
      <c r="O240" s="72">
        <v>5</v>
      </c>
      <c r="P240" s="72"/>
      <c r="Q240" s="72" t="s">
        <v>924</v>
      </c>
      <c r="R240" s="78">
        <v>45786</v>
      </c>
      <c r="S240" s="72" t="s">
        <v>1299</v>
      </c>
      <c r="T240" s="72">
        <v>7.5</v>
      </c>
      <c r="U240" s="72"/>
      <c r="V240" s="72" t="s">
        <v>925</v>
      </c>
      <c r="W240" s="78">
        <v>45818</v>
      </c>
      <c r="X240" s="72" t="s">
        <v>1299</v>
      </c>
      <c r="Y240" s="72">
        <v>5</v>
      </c>
      <c r="Z240" s="72"/>
      <c r="AA240" s="79"/>
      <c r="AB240" s="79"/>
      <c r="AC240" s="79"/>
      <c r="AD240" s="79"/>
      <c r="AE240" s="79"/>
    </row>
    <row r="241" spans="1:31" ht="16.5" x14ac:dyDescent="0.35">
      <c r="A241" s="71">
        <v>235</v>
      </c>
      <c r="B241" s="72">
        <v>2041221426</v>
      </c>
      <c r="C241" s="80" t="s">
        <v>366</v>
      </c>
      <c r="D241" s="81" t="s">
        <v>88</v>
      </c>
      <c r="E241" s="72" t="s">
        <v>132</v>
      </c>
      <c r="F241" s="76">
        <v>3</v>
      </c>
      <c r="G241" s="72" t="s">
        <v>924</v>
      </c>
      <c r="H241" s="78">
        <v>45623</v>
      </c>
      <c r="I241" s="72" t="s">
        <v>1299</v>
      </c>
      <c r="J241" s="72">
        <v>8</v>
      </c>
      <c r="K241" s="72"/>
      <c r="L241" s="72" t="s">
        <v>1301</v>
      </c>
      <c r="M241" s="78">
        <v>45629</v>
      </c>
      <c r="N241" s="72" t="s">
        <v>1299</v>
      </c>
      <c r="O241" s="72">
        <v>9</v>
      </c>
      <c r="P241" s="72"/>
      <c r="Q241" s="72" t="s">
        <v>1300</v>
      </c>
      <c r="R241" s="78">
        <v>45644</v>
      </c>
      <c r="S241" s="72" t="s">
        <v>1299</v>
      </c>
      <c r="T241" s="72">
        <v>7.5</v>
      </c>
      <c r="U241" s="72"/>
      <c r="V241" s="72"/>
      <c r="W241" s="72"/>
      <c r="X241" s="72"/>
      <c r="Y241" s="72"/>
      <c r="Z241" s="72"/>
      <c r="AA241" s="79"/>
      <c r="AB241" s="79"/>
      <c r="AC241" s="79"/>
      <c r="AD241" s="79"/>
      <c r="AE241" s="79"/>
    </row>
    <row r="242" spans="1:31" ht="16.5" x14ac:dyDescent="0.35">
      <c r="A242" s="71">
        <v>236</v>
      </c>
      <c r="B242" s="72">
        <v>2041221416</v>
      </c>
      <c r="C242" s="80" t="s">
        <v>721</v>
      </c>
      <c r="D242" s="81" t="s">
        <v>88</v>
      </c>
      <c r="E242" s="72" t="s">
        <v>132</v>
      </c>
      <c r="F242" s="76">
        <v>2</v>
      </c>
      <c r="G242" s="72" t="s">
        <v>924</v>
      </c>
      <c r="H242" s="78">
        <v>45621</v>
      </c>
      <c r="I242" s="72" t="s">
        <v>1299</v>
      </c>
      <c r="J242" s="72">
        <v>6.5</v>
      </c>
      <c r="K242" s="72"/>
      <c r="L242" s="72" t="s">
        <v>1301</v>
      </c>
      <c r="M242" s="78">
        <v>45629</v>
      </c>
      <c r="N242" s="72" t="s">
        <v>1299</v>
      </c>
      <c r="O242" s="72">
        <v>9</v>
      </c>
      <c r="P242" s="72"/>
      <c r="Q242" s="72"/>
      <c r="R242" s="78"/>
      <c r="S242" s="72"/>
      <c r="T242" s="72"/>
      <c r="U242" s="72"/>
      <c r="V242" s="72"/>
      <c r="W242" s="72"/>
      <c r="X242" s="72"/>
      <c r="Y242" s="72"/>
      <c r="Z242" s="72"/>
      <c r="AA242" s="79"/>
      <c r="AB242" s="79"/>
      <c r="AC242" s="79"/>
      <c r="AD242" s="79"/>
      <c r="AE242" s="79"/>
    </row>
    <row r="243" spans="1:31" ht="16.5" x14ac:dyDescent="0.35">
      <c r="A243" s="71">
        <v>237</v>
      </c>
      <c r="B243" s="72">
        <v>2041226153</v>
      </c>
      <c r="C243" s="80" t="s">
        <v>751</v>
      </c>
      <c r="D243" s="81" t="s">
        <v>81</v>
      </c>
      <c r="E243" s="72" t="s">
        <v>132</v>
      </c>
      <c r="F243" s="76">
        <v>2</v>
      </c>
      <c r="G243" s="72" t="s">
        <v>1300</v>
      </c>
      <c r="H243" s="78">
        <v>45721</v>
      </c>
      <c r="I243" s="72" t="s">
        <v>1299</v>
      </c>
      <c r="J243" s="72">
        <v>9</v>
      </c>
      <c r="K243" s="72"/>
      <c r="L243" s="72" t="s">
        <v>924</v>
      </c>
      <c r="M243" s="78">
        <v>45817</v>
      </c>
      <c r="N243" s="72" t="s">
        <v>1299</v>
      </c>
      <c r="O243" s="72">
        <v>9</v>
      </c>
      <c r="P243" s="72"/>
      <c r="Q243" s="72"/>
      <c r="R243" s="78"/>
      <c r="S243" s="72"/>
      <c r="T243" s="72"/>
      <c r="U243" s="72"/>
      <c r="V243" s="72"/>
      <c r="W243" s="72"/>
      <c r="X243" s="72"/>
      <c r="Y243" s="72"/>
      <c r="Z243" s="72"/>
      <c r="AA243" s="79"/>
      <c r="AB243" s="79"/>
      <c r="AC243" s="79"/>
      <c r="AD243" s="79"/>
      <c r="AE243" s="79"/>
    </row>
    <row r="244" spans="1:31" ht="16.5" x14ac:dyDescent="0.35">
      <c r="A244" s="71">
        <v>238</v>
      </c>
      <c r="B244" s="72">
        <v>2041221756</v>
      </c>
      <c r="C244" s="80" t="s">
        <v>746</v>
      </c>
      <c r="D244" s="81" t="s">
        <v>43</v>
      </c>
      <c r="E244" s="72" t="s">
        <v>132</v>
      </c>
      <c r="F244" s="76">
        <v>3</v>
      </c>
      <c r="G244" s="72" t="s">
        <v>924</v>
      </c>
      <c r="H244" s="78">
        <v>45629</v>
      </c>
      <c r="I244" s="72" t="s">
        <v>1299</v>
      </c>
      <c r="J244" s="72">
        <v>8.5</v>
      </c>
      <c r="K244" s="72"/>
      <c r="L244" s="72" t="s">
        <v>1301</v>
      </c>
      <c r="M244" s="78">
        <v>45785</v>
      </c>
      <c r="N244" s="72" t="s">
        <v>1299</v>
      </c>
      <c r="O244" s="72">
        <v>9.5</v>
      </c>
      <c r="P244" s="72"/>
      <c r="Q244" s="72" t="s">
        <v>1300</v>
      </c>
      <c r="R244" s="78">
        <v>45791</v>
      </c>
      <c r="S244" s="72" t="s">
        <v>1299</v>
      </c>
      <c r="T244" s="72">
        <v>8.5</v>
      </c>
      <c r="U244" s="72"/>
      <c r="V244" s="72"/>
      <c r="W244" s="72"/>
      <c r="X244" s="72"/>
      <c r="Y244" s="72"/>
      <c r="Z244" s="72"/>
      <c r="AA244" s="79"/>
      <c r="AB244" s="79"/>
      <c r="AC244" s="79"/>
      <c r="AD244" s="79"/>
      <c r="AE244" s="79"/>
    </row>
    <row r="245" spans="1:31" ht="16.5" x14ac:dyDescent="0.35">
      <c r="A245" s="71">
        <v>239</v>
      </c>
      <c r="B245" s="72">
        <v>2041221818</v>
      </c>
      <c r="C245" s="80" t="s">
        <v>1049</v>
      </c>
      <c r="D245" s="81" t="s">
        <v>173</v>
      </c>
      <c r="E245" s="72" t="s">
        <v>132</v>
      </c>
      <c r="F245" s="76">
        <v>2</v>
      </c>
      <c r="G245" s="72" t="s">
        <v>924</v>
      </c>
      <c r="H245" s="78">
        <v>45602</v>
      </c>
      <c r="I245" s="72" t="s">
        <v>1299</v>
      </c>
      <c r="J245" s="72">
        <v>6.5</v>
      </c>
      <c r="K245" s="72">
        <v>0.5</v>
      </c>
      <c r="L245" s="72" t="s">
        <v>1301</v>
      </c>
      <c r="M245" s="78">
        <v>45629</v>
      </c>
      <c r="N245" s="72" t="s">
        <v>1299</v>
      </c>
      <c r="O245" s="72">
        <v>9</v>
      </c>
      <c r="P245" s="72">
        <v>0.5</v>
      </c>
      <c r="Q245" s="72"/>
      <c r="R245" s="78"/>
      <c r="S245" s="72"/>
      <c r="T245" s="72"/>
      <c r="U245" s="72"/>
      <c r="V245" s="72"/>
      <c r="W245" s="72"/>
      <c r="X245" s="72"/>
      <c r="Y245" s="72"/>
      <c r="Z245" s="72"/>
      <c r="AA245" s="79"/>
      <c r="AB245" s="79"/>
      <c r="AC245" s="79"/>
      <c r="AD245" s="79"/>
      <c r="AE245" s="79"/>
    </row>
    <row r="246" spans="1:31" ht="16.5" x14ac:dyDescent="0.35">
      <c r="A246" s="71">
        <v>240</v>
      </c>
      <c r="B246" s="72">
        <v>2041221993</v>
      </c>
      <c r="C246" s="80" t="s">
        <v>1050</v>
      </c>
      <c r="D246" s="81" t="s">
        <v>47</v>
      </c>
      <c r="E246" s="72" t="s">
        <v>132</v>
      </c>
      <c r="F246" s="76">
        <v>2</v>
      </c>
      <c r="G246" s="72" t="s">
        <v>924</v>
      </c>
      <c r="H246" s="78">
        <v>45602</v>
      </c>
      <c r="I246" s="72" t="s">
        <v>1299</v>
      </c>
      <c r="J246" s="72">
        <v>4.5</v>
      </c>
      <c r="K246" s="72"/>
      <c r="L246" s="72" t="s">
        <v>1301</v>
      </c>
      <c r="M246" s="78">
        <v>45629</v>
      </c>
      <c r="N246" s="72" t="s">
        <v>1299</v>
      </c>
      <c r="O246" s="72">
        <v>8.5</v>
      </c>
      <c r="P246" s="72"/>
      <c r="Q246" s="72"/>
      <c r="R246" s="78"/>
      <c r="S246" s="72"/>
      <c r="T246" s="72"/>
      <c r="U246" s="72"/>
      <c r="V246" s="72"/>
      <c r="W246" s="72"/>
      <c r="X246" s="72"/>
      <c r="Y246" s="72"/>
      <c r="Z246" s="72"/>
      <c r="AA246" s="79"/>
      <c r="AB246" s="79"/>
      <c r="AC246" s="79"/>
      <c r="AD246" s="79"/>
      <c r="AE246" s="79"/>
    </row>
    <row r="247" spans="1:31" ht="16.5" x14ac:dyDescent="0.35">
      <c r="A247" s="71">
        <v>241</v>
      </c>
      <c r="B247" s="72">
        <v>2041222131</v>
      </c>
      <c r="C247" s="80" t="s">
        <v>87</v>
      </c>
      <c r="D247" s="81" t="s">
        <v>747</v>
      </c>
      <c r="E247" s="72" t="s">
        <v>132</v>
      </c>
      <c r="F247" s="76">
        <v>2</v>
      </c>
      <c r="G247" s="72" t="s">
        <v>1300</v>
      </c>
      <c r="H247" s="78">
        <v>45728</v>
      </c>
      <c r="I247" s="72" t="s">
        <v>1299</v>
      </c>
      <c r="J247" s="72">
        <v>8</v>
      </c>
      <c r="K247" s="72"/>
      <c r="L247" s="72" t="s">
        <v>924</v>
      </c>
      <c r="M247" s="78">
        <v>45776</v>
      </c>
      <c r="N247" s="72" t="s">
        <v>1299</v>
      </c>
      <c r="O247" s="72">
        <v>8.5</v>
      </c>
      <c r="P247" s="72"/>
      <c r="Q247" s="72"/>
      <c r="R247" s="78"/>
      <c r="S247" s="72"/>
      <c r="T247" s="72"/>
      <c r="U247" s="72"/>
      <c r="V247" s="72"/>
      <c r="W247" s="72"/>
      <c r="X247" s="72"/>
      <c r="Y247" s="72"/>
      <c r="Z247" s="72"/>
      <c r="AA247" s="79"/>
      <c r="AB247" s="79"/>
      <c r="AC247" s="79"/>
      <c r="AD247" s="79"/>
      <c r="AE247" s="79"/>
    </row>
    <row r="248" spans="1:31" ht="16.5" x14ac:dyDescent="0.35">
      <c r="A248" s="71">
        <v>242</v>
      </c>
      <c r="B248" s="72">
        <v>2041222093</v>
      </c>
      <c r="C248" s="80" t="s">
        <v>752</v>
      </c>
      <c r="D248" s="81" t="s">
        <v>747</v>
      </c>
      <c r="E248" s="72" t="s">
        <v>132</v>
      </c>
      <c r="F248" s="76">
        <v>3</v>
      </c>
      <c r="G248" s="72" t="s">
        <v>1300</v>
      </c>
      <c r="H248" s="78">
        <v>45737</v>
      </c>
      <c r="I248" s="72" t="s">
        <v>1299</v>
      </c>
      <c r="J248" s="72">
        <v>8</v>
      </c>
      <c r="K248" s="72"/>
      <c r="L248" s="72" t="s">
        <v>1301</v>
      </c>
      <c r="M248" s="78">
        <v>45757</v>
      </c>
      <c r="N248" s="72" t="s">
        <v>1299</v>
      </c>
      <c r="O248" s="72">
        <v>8.5</v>
      </c>
      <c r="P248" s="72"/>
      <c r="Q248" s="72" t="s">
        <v>924</v>
      </c>
      <c r="R248" s="78">
        <v>45776</v>
      </c>
      <c r="S248" s="72" t="s">
        <v>1299</v>
      </c>
      <c r="T248" s="72">
        <v>8.5</v>
      </c>
      <c r="U248" s="72"/>
      <c r="V248" s="72"/>
      <c r="W248" s="72"/>
      <c r="X248" s="72"/>
      <c r="Y248" s="72"/>
      <c r="Z248" s="72"/>
      <c r="AA248" s="79"/>
      <c r="AB248" s="79"/>
      <c r="AC248" s="79"/>
      <c r="AD248" s="79"/>
      <c r="AE248" s="79"/>
    </row>
    <row r="249" spans="1:31" ht="16.5" x14ac:dyDescent="0.35">
      <c r="A249" s="71">
        <v>243</v>
      </c>
      <c r="B249" s="72">
        <v>2041222174</v>
      </c>
      <c r="C249" s="80" t="s">
        <v>519</v>
      </c>
      <c r="D249" s="81" t="s">
        <v>687</v>
      </c>
      <c r="E249" s="72" t="s">
        <v>132</v>
      </c>
      <c r="F249" s="76">
        <v>3</v>
      </c>
      <c r="G249" s="72" t="s">
        <v>924</v>
      </c>
      <c r="H249" s="78">
        <v>45629</v>
      </c>
      <c r="I249" s="72" t="s">
        <v>1299</v>
      </c>
      <c r="J249" s="72">
        <v>7.5</v>
      </c>
      <c r="K249" s="72"/>
      <c r="L249" s="72" t="s">
        <v>1301</v>
      </c>
      <c r="M249" s="78">
        <v>45785</v>
      </c>
      <c r="N249" s="72" t="s">
        <v>1299</v>
      </c>
      <c r="O249" s="72">
        <v>9.5</v>
      </c>
      <c r="P249" s="72"/>
      <c r="Q249" s="72" t="s">
        <v>1300</v>
      </c>
      <c r="R249" s="78">
        <v>45791</v>
      </c>
      <c r="S249" s="72" t="s">
        <v>1299</v>
      </c>
      <c r="T249" s="72">
        <v>8</v>
      </c>
      <c r="U249" s="72"/>
      <c r="V249" s="72"/>
      <c r="W249" s="72"/>
      <c r="X249" s="72"/>
      <c r="Y249" s="72"/>
      <c r="Z249" s="72"/>
      <c r="AA249" s="79"/>
      <c r="AB249" s="79"/>
      <c r="AC249" s="79"/>
      <c r="AD249" s="79"/>
      <c r="AE249" s="79"/>
    </row>
    <row r="250" spans="1:31" ht="16.5" x14ac:dyDescent="0.35">
      <c r="A250" s="71">
        <v>244</v>
      </c>
      <c r="B250" s="72">
        <v>2041222189</v>
      </c>
      <c r="C250" s="80" t="s">
        <v>1051</v>
      </c>
      <c r="D250" s="81" t="s">
        <v>400</v>
      </c>
      <c r="E250" s="72" t="s">
        <v>132</v>
      </c>
      <c r="F250" s="76">
        <v>1</v>
      </c>
      <c r="G250" s="72" t="s">
        <v>924</v>
      </c>
      <c r="H250" s="78">
        <v>45629</v>
      </c>
      <c r="I250" s="72" t="s">
        <v>1299</v>
      </c>
      <c r="J250" s="72">
        <v>8</v>
      </c>
      <c r="K250" s="72"/>
      <c r="L250" s="72"/>
      <c r="M250" s="72"/>
      <c r="N250" s="72"/>
      <c r="O250" s="72"/>
      <c r="P250" s="72"/>
      <c r="Q250" s="72"/>
      <c r="R250" s="78"/>
      <c r="S250" s="72"/>
      <c r="T250" s="72"/>
      <c r="U250" s="72"/>
      <c r="V250" s="72"/>
      <c r="W250" s="72"/>
      <c r="X250" s="72"/>
      <c r="Y250" s="72"/>
      <c r="Z250" s="72"/>
      <c r="AA250" s="79"/>
      <c r="AB250" s="79"/>
      <c r="AC250" s="79"/>
      <c r="AD250" s="79"/>
      <c r="AE250" s="79"/>
    </row>
    <row r="251" spans="1:31" ht="16.5" x14ac:dyDescent="0.35">
      <c r="A251" s="71">
        <v>245</v>
      </c>
      <c r="B251" s="72">
        <v>2041222385</v>
      </c>
      <c r="C251" s="80" t="s">
        <v>737</v>
      </c>
      <c r="D251" s="81" t="s">
        <v>29</v>
      </c>
      <c r="E251" s="72" t="s">
        <v>132</v>
      </c>
      <c r="F251" s="76">
        <v>3</v>
      </c>
      <c r="G251" s="72" t="s">
        <v>925</v>
      </c>
      <c r="H251" s="78">
        <v>45559</v>
      </c>
      <c r="I251" s="72" t="s">
        <v>1299</v>
      </c>
      <c r="J251" s="72">
        <v>9</v>
      </c>
      <c r="K251" s="72"/>
      <c r="L251" s="72" t="s">
        <v>1300</v>
      </c>
      <c r="M251" s="78">
        <v>45455</v>
      </c>
      <c r="N251" s="72" t="s">
        <v>1299</v>
      </c>
      <c r="O251" s="72">
        <v>8.5</v>
      </c>
      <c r="P251" s="72"/>
      <c r="Q251" s="72" t="s">
        <v>924</v>
      </c>
      <c r="R251" s="78">
        <v>45637</v>
      </c>
      <c r="S251" s="72" t="s">
        <v>1299</v>
      </c>
      <c r="T251" s="72">
        <v>9</v>
      </c>
      <c r="U251" s="72"/>
      <c r="V251" s="72"/>
      <c r="W251" s="72"/>
      <c r="X251" s="72"/>
      <c r="Y251" s="72"/>
      <c r="Z251" s="72"/>
      <c r="AA251" s="79"/>
      <c r="AB251" s="79"/>
      <c r="AC251" s="79"/>
      <c r="AD251" s="79"/>
      <c r="AE251" s="79"/>
    </row>
    <row r="252" spans="1:31" ht="16.5" x14ac:dyDescent="0.35">
      <c r="A252" s="71">
        <v>246</v>
      </c>
      <c r="B252" s="72">
        <v>2041222462</v>
      </c>
      <c r="C252" s="80" t="s">
        <v>755</v>
      </c>
      <c r="D252" s="81" t="s">
        <v>58</v>
      </c>
      <c r="E252" s="72" t="s">
        <v>132</v>
      </c>
      <c r="F252" s="76">
        <v>2</v>
      </c>
      <c r="G252" s="72" t="s">
        <v>1300</v>
      </c>
      <c r="H252" s="78">
        <v>45737</v>
      </c>
      <c r="I252" s="72" t="s">
        <v>1299</v>
      </c>
      <c r="J252" s="72">
        <v>7.5</v>
      </c>
      <c r="K252" s="72">
        <v>0.5</v>
      </c>
      <c r="L252" s="72" t="s">
        <v>924</v>
      </c>
      <c r="M252" s="78">
        <v>45787</v>
      </c>
      <c r="N252" s="72" t="s">
        <v>1299</v>
      </c>
      <c r="O252" s="72">
        <v>9.5</v>
      </c>
      <c r="P252" s="72"/>
      <c r="Q252" s="72"/>
      <c r="R252" s="78"/>
      <c r="S252" s="72"/>
      <c r="T252" s="72"/>
      <c r="U252" s="72"/>
      <c r="V252" s="72"/>
      <c r="W252" s="72"/>
      <c r="X252" s="72"/>
      <c r="Y252" s="72"/>
      <c r="Z252" s="72"/>
      <c r="AA252" s="79"/>
      <c r="AB252" s="79"/>
      <c r="AC252" s="79"/>
      <c r="AD252" s="79"/>
      <c r="AE252" s="79"/>
    </row>
    <row r="253" spans="1:31" ht="16.5" x14ac:dyDescent="0.35">
      <c r="A253" s="71">
        <v>247</v>
      </c>
      <c r="B253" s="72">
        <v>2041222645</v>
      </c>
      <c r="C253" s="80" t="s">
        <v>738</v>
      </c>
      <c r="D253" s="81" t="s">
        <v>239</v>
      </c>
      <c r="E253" s="72" t="s">
        <v>132</v>
      </c>
      <c r="F253" s="76">
        <v>3</v>
      </c>
      <c r="G253" s="72" t="s">
        <v>1300</v>
      </c>
      <c r="H253" s="78">
        <v>45631</v>
      </c>
      <c r="I253" s="72" t="s">
        <v>1299</v>
      </c>
      <c r="J253" s="72">
        <v>7.5</v>
      </c>
      <c r="K253" s="72"/>
      <c r="L253" s="79" t="s">
        <v>928</v>
      </c>
      <c r="M253" s="83">
        <v>45799</v>
      </c>
      <c r="N253" s="79" t="s">
        <v>1299</v>
      </c>
      <c r="O253" s="72">
        <v>9.5</v>
      </c>
      <c r="P253" s="72"/>
      <c r="Q253" s="72" t="s">
        <v>924</v>
      </c>
      <c r="R253" s="78">
        <v>45803</v>
      </c>
      <c r="S253" s="72" t="s">
        <v>1299</v>
      </c>
      <c r="T253" s="72">
        <v>8</v>
      </c>
      <c r="U253" s="72"/>
      <c r="V253" s="72"/>
      <c r="W253" s="72"/>
      <c r="X253" s="72"/>
      <c r="Y253" s="72"/>
      <c r="Z253" s="72"/>
      <c r="AA253" s="79"/>
      <c r="AB253" s="79"/>
      <c r="AC253" s="79"/>
      <c r="AD253" s="79"/>
      <c r="AE253" s="79"/>
    </row>
    <row r="254" spans="1:31" ht="16.5" x14ac:dyDescent="0.35">
      <c r="A254" s="71">
        <v>248</v>
      </c>
      <c r="B254" s="72">
        <v>2041222717</v>
      </c>
      <c r="C254" s="80" t="s">
        <v>739</v>
      </c>
      <c r="D254" s="81" t="s">
        <v>91</v>
      </c>
      <c r="E254" s="72" t="s">
        <v>132</v>
      </c>
      <c r="F254" s="76">
        <v>2</v>
      </c>
      <c r="G254" s="72" t="s">
        <v>925</v>
      </c>
      <c r="H254" s="78">
        <v>45559</v>
      </c>
      <c r="I254" s="72" t="s">
        <v>1299</v>
      </c>
      <c r="J254" s="72">
        <v>9</v>
      </c>
      <c r="K254" s="72"/>
      <c r="L254" s="72" t="s">
        <v>924</v>
      </c>
      <c r="M254" s="78">
        <v>45637</v>
      </c>
      <c r="N254" s="72" t="s">
        <v>1299</v>
      </c>
      <c r="O254" s="72">
        <v>9.5</v>
      </c>
      <c r="P254" s="72"/>
      <c r="Q254" s="72"/>
      <c r="R254" s="78"/>
      <c r="S254" s="72"/>
      <c r="T254" s="72"/>
      <c r="U254" s="72"/>
      <c r="V254" s="72"/>
      <c r="W254" s="72"/>
      <c r="X254" s="72"/>
      <c r="Y254" s="72"/>
      <c r="Z254" s="72"/>
      <c r="AA254" s="79"/>
      <c r="AB254" s="79"/>
      <c r="AC254" s="79"/>
      <c r="AD254" s="79"/>
      <c r="AE254" s="79"/>
    </row>
    <row r="255" spans="1:31" ht="16.5" x14ac:dyDescent="0.35">
      <c r="A255" s="71">
        <v>249</v>
      </c>
      <c r="B255" s="72">
        <v>2041222691</v>
      </c>
      <c r="C255" s="80" t="s">
        <v>754</v>
      </c>
      <c r="D255" s="81" t="s">
        <v>91</v>
      </c>
      <c r="E255" s="72" t="s">
        <v>132</v>
      </c>
      <c r="F255" s="76">
        <v>2</v>
      </c>
      <c r="G255" s="72" t="s">
        <v>1300</v>
      </c>
      <c r="H255" s="78">
        <v>45742</v>
      </c>
      <c r="I255" s="72" t="s">
        <v>1299</v>
      </c>
      <c r="J255" s="72">
        <v>8.5</v>
      </c>
      <c r="K255" s="72"/>
      <c r="L255" s="72" t="s">
        <v>1301</v>
      </c>
      <c r="M255" s="78">
        <v>45785</v>
      </c>
      <c r="N255" s="72" t="s">
        <v>1299</v>
      </c>
      <c r="O255" s="72">
        <v>5</v>
      </c>
      <c r="P255" s="72"/>
      <c r="Q255" s="72"/>
      <c r="R255" s="78"/>
      <c r="S255" s="72"/>
      <c r="T255" s="72"/>
      <c r="U255" s="72"/>
      <c r="V255" s="72"/>
      <c r="W255" s="72"/>
      <c r="X255" s="72"/>
      <c r="Y255" s="72"/>
      <c r="Z255" s="72"/>
      <c r="AA255" s="79"/>
      <c r="AB255" s="79"/>
      <c r="AC255" s="79"/>
      <c r="AD255" s="79"/>
      <c r="AE255" s="79"/>
    </row>
    <row r="256" spans="1:31" ht="16.5" x14ac:dyDescent="0.35">
      <c r="A256" s="71">
        <v>250</v>
      </c>
      <c r="B256" s="72">
        <v>2041222747</v>
      </c>
      <c r="C256" s="80" t="s">
        <v>741</v>
      </c>
      <c r="D256" s="81" t="s">
        <v>742</v>
      </c>
      <c r="E256" s="72" t="s">
        <v>132</v>
      </c>
      <c r="F256" s="76">
        <v>2</v>
      </c>
      <c r="G256" s="72" t="s">
        <v>1300</v>
      </c>
      <c r="H256" s="78">
        <v>45721</v>
      </c>
      <c r="I256" s="72" t="s">
        <v>1299</v>
      </c>
      <c r="J256" s="72">
        <v>5.5</v>
      </c>
      <c r="K256" s="72"/>
      <c r="L256" s="72" t="s">
        <v>924</v>
      </c>
      <c r="M256" s="78">
        <v>45787</v>
      </c>
      <c r="N256" s="72" t="s">
        <v>1299</v>
      </c>
      <c r="O256" s="72">
        <v>9</v>
      </c>
      <c r="P256" s="72"/>
      <c r="Q256" s="72"/>
      <c r="R256" s="78"/>
      <c r="S256" s="72"/>
      <c r="T256" s="72"/>
      <c r="U256" s="72"/>
      <c r="V256" s="72"/>
      <c r="W256" s="72"/>
      <c r="X256" s="72"/>
      <c r="Y256" s="72"/>
      <c r="Z256" s="72"/>
      <c r="AA256" s="79"/>
      <c r="AB256" s="79"/>
      <c r="AC256" s="79"/>
      <c r="AD256" s="79"/>
      <c r="AE256" s="79"/>
    </row>
    <row r="257" spans="1:31" ht="16.5" x14ac:dyDescent="0.35">
      <c r="A257" s="71">
        <v>251</v>
      </c>
      <c r="B257" s="72">
        <v>2041222925</v>
      </c>
      <c r="C257" s="80" t="s">
        <v>1053</v>
      </c>
      <c r="D257" s="81" t="s">
        <v>92</v>
      </c>
      <c r="E257" s="72" t="s">
        <v>132</v>
      </c>
      <c r="F257" s="76">
        <v>1</v>
      </c>
      <c r="G257" s="72" t="s">
        <v>924</v>
      </c>
      <c r="H257" s="78">
        <v>45817</v>
      </c>
      <c r="I257" s="72" t="s">
        <v>1299</v>
      </c>
      <c r="J257" s="72">
        <v>8</v>
      </c>
      <c r="K257" s="72"/>
      <c r="L257" s="72"/>
      <c r="M257" s="72"/>
      <c r="N257" s="72"/>
      <c r="O257" s="72"/>
      <c r="P257" s="72"/>
      <c r="Q257" s="72"/>
      <c r="R257" s="78"/>
      <c r="S257" s="72"/>
      <c r="T257" s="72"/>
      <c r="U257" s="72"/>
      <c r="V257" s="72"/>
      <c r="W257" s="72"/>
      <c r="X257" s="72"/>
      <c r="Y257" s="72"/>
      <c r="Z257" s="72"/>
      <c r="AA257" s="79"/>
      <c r="AB257" s="79"/>
      <c r="AC257" s="79"/>
      <c r="AD257" s="79"/>
      <c r="AE257" s="79"/>
    </row>
    <row r="258" spans="1:31" ht="16.5" x14ac:dyDescent="0.35">
      <c r="A258" s="71">
        <v>252</v>
      </c>
      <c r="B258" s="72">
        <v>2041223007</v>
      </c>
      <c r="C258" s="80" t="s">
        <v>744</v>
      </c>
      <c r="D258" s="81" t="s">
        <v>241</v>
      </c>
      <c r="E258" s="72" t="s">
        <v>132</v>
      </c>
      <c r="F258" s="76">
        <v>3</v>
      </c>
      <c r="G258" s="72" t="s">
        <v>1301</v>
      </c>
      <c r="H258" s="78">
        <v>45629</v>
      </c>
      <c r="I258" s="72" t="s">
        <v>1299</v>
      </c>
      <c r="J258" s="72">
        <v>9.5</v>
      </c>
      <c r="K258" s="72"/>
      <c r="L258" s="72" t="s">
        <v>924</v>
      </c>
      <c r="M258" s="78">
        <v>45787</v>
      </c>
      <c r="N258" s="72" t="s">
        <v>1299</v>
      </c>
      <c r="O258" s="72">
        <v>9</v>
      </c>
      <c r="P258" s="72"/>
      <c r="Q258" s="72" t="s">
        <v>925</v>
      </c>
      <c r="R258" s="78">
        <v>45813</v>
      </c>
      <c r="S258" s="72" t="s">
        <v>1299</v>
      </c>
      <c r="T258" s="72">
        <v>7.5</v>
      </c>
      <c r="U258" s="72"/>
      <c r="V258" s="72"/>
      <c r="W258" s="72"/>
      <c r="X258" s="72"/>
      <c r="Y258" s="72"/>
      <c r="Z258" s="72"/>
      <c r="AA258" s="79"/>
      <c r="AB258" s="79"/>
      <c r="AC258" s="79"/>
      <c r="AD258" s="79"/>
      <c r="AE258" s="79"/>
    </row>
    <row r="259" spans="1:31" ht="16.5" x14ac:dyDescent="0.35">
      <c r="A259" s="71">
        <v>253</v>
      </c>
      <c r="B259" s="72">
        <v>2041222986</v>
      </c>
      <c r="C259" s="80" t="s">
        <v>743</v>
      </c>
      <c r="D259" s="81" t="s">
        <v>241</v>
      </c>
      <c r="E259" s="72" t="s">
        <v>132</v>
      </c>
      <c r="F259" s="76">
        <v>2</v>
      </c>
      <c r="G259" s="72" t="s">
        <v>1301</v>
      </c>
      <c r="H259" s="78">
        <v>45630</v>
      </c>
      <c r="I259" s="72" t="s">
        <v>1299</v>
      </c>
      <c r="J259" s="72">
        <v>7.5</v>
      </c>
      <c r="K259" s="72"/>
      <c r="L259" s="72" t="s">
        <v>924</v>
      </c>
      <c r="M259" s="78">
        <v>45637</v>
      </c>
      <c r="N259" s="72" t="s">
        <v>1299</v>
      </c>
      <c r="O259" s="72">
        <v>6.5</v>
      </c>
      <c r="P259" s="72"/>
      <c r="Q259" s="72"/>
      <c r="R259" s="78"/>
      <c r="S259" s="72"/>
      <c r="T259" s="72"/>
      <c r="U259" s="72"/>
      <c r="V259" s="72"/>
      <c r="W259" s="72"/>
      <c r="X259" s="72"/>
      <c r="Y259" s="72"/>
      <c r="Z259" s="72"/>
      <c r="AA259" s="79"/>
      <c r="AB259" s="79"/>
      <c r="AC259" s="79"/>
      <c r="AD259" s="79"/>
      <c r="AE259" s="79"/>
    </row>
    <row r="260" spans="1:31" ht="16.5" x14ac:dyDescent="0.35">
      <c r="A260" s="71">
        <v>254</v>
      </c>
      <c r="B260" s="72">
        <v>2041223058</v>
      </c>
      <c r="C260" s="80" t="s">
        <v>1055</v>
      </c>
      <c r="D260" s="81" t="s">
        <v>51</v>
      </c>
      <c r="E260" s="72" t="s">
        <v>132</v>
      </c>
      <c r="F260" s="76">
        <v>1</v>
      </c>
      <c r="G260" s="72" t="s">
        <v>924</v>
      </c>
      <c r="H260" s="78">
        <v>45817</v>
      </c>
      <c r="I260" s="72" t="s">
        <v>1299</v>
      </c>
      <c r="J260" s="72">
        <v>9</v>
      </c>
      <c r="K260" s="72"/>
      <c r="L260" s="72"/>
      <c r="M260" s="72"/>
      <c r="N260" s="72"/>
      <c r="O260" s="72"/>
      <c r="P260" s="72"/>
      <c r="Q260" s="72"/>
      <c r="R260" s="78"/>
      <c r="S260" s="72"/>
      <c r="T260" s="72"/>
      <c r="U260" s="72"/>
      <c r="V260" s="72"/>
      <c r="W260" s="72"/>
      <c r="X260" s="72"/>
      <c r="Y260" s="72"/>
      <c r="Z260" s="72"/>
      <c r="AA260" s="79"/>
      <c r="AB260" s="79"/>
      <c r="AC260" s="79"/>
      <c r="AD260" s="79"/>
      <c r="AE260" s="79"/>
    </row>
    <row r="261" spans="1:31" ht="16.5" x14ac:dyDescent="0.35">
      <c r="A261" s="71">
        <v>255</v>
      </c>
      <c r="B261" s="72">
        <v>2041223153</v>
      </c>
      <c r="C261" s="80" t="s">
        <v>1056</v>
      </c>
      <c r="D261" s="81" t="s">
        <v>205</v>
      </c>
      <c r="E261" s="72" t="s">
        <v>132</v>
      </c>
      <c r="F261" s="76">
        <v>2</v>
      </c>
      <c r="G261" s="72" t="s">
        <v>1301</v>
      </c>
      <c r="H261" s="78">
        <v>45630</v>
      </c>
      <c r="I261" s="72" t="s">
        <v>1299</v>
      </c>
      <c r="J261" s="72">
        <v>6.5</v>
      </c>
      <c r="K261" s="72"/>
      <c r="L261" s="72" t="s">
        <v>1300</v>
      </c>
      <c r="M261" s="78">
        <v>45644</v>
      </c>
      <c r="N261" s="72" t="s">
        <v>1299</v>
      </c>
      <c r="O261" s="72">
        <v>8.5</v>
      </c>
      <c r="P261" s="72"/>
      <c r="Q261" s="72"/>
      <c r="R261" s="78"/>
      <c r="S261" s="72"/>
      <c r="T261" s="72"/>
      <c r="U261" s="72"/>
      <c r="V261" s="72"/>
      <c r="W261" s="72"/>
      <c r="X261" s="72"/>
      <c r="Y261" s="72"/>
      <c r="Z261" s="72"/>
      <c r="AA261" s="79"/>
      <c r="AB261" s="79"/>
      <c r="AC261" s="79"/>
      <c r="AD261" s="79"/>
      <c r="AE261" s="79"/>
    </row>
    <row r="262" spans="1:31" ht="16.5" x14ac:dyDescent="0.35">
      <c r="A262" s="71">
        <v>256</v>
      </c>
      <c r="B262" s="72">
        <v>2041223868</v>
      </c>
      <c r="C262" s="80" t="s">
        <v>95</v>
      </c>
      <c r="D262" s="81" t="s">
        <v>31</v>
      </c>
      <c r="E262" s="72" t="s">
        <v>132</v>
      </c>
      <c r="F262" s="76">
        <v>2</v>
      </c>
      <c r="G262" s="72" t="s">
        <v>924</v>
      </c>
      <c r="H262" s="78">
        <v>45786</v>
      </c>
      <c r="I262" s="72" t="s">
        <v>1299</v>
      </c>
      <c r="J262" s="72">
        <v>8</v>
      </c>
      <c r="K262" s="72"/>
      <c r="L262" s="72" t="s">
        <v>1301</v>
      </c>
      <c r="M262" s="78">
        <v>45785</v>
      </c>
      <c r="N262" s="72" t="s">
        <v>1299</v>
      </c>
      <c r="O262" s="72">
        <v>9.5</v>
      </c>
      <c r="P262" s="72"/>
      <c r="Q262" s="72"/>
      <c r="R262" s="78"/>
      <c r="S262" s="72"/>
      <c r="T262" s="72"/>
      <c r="U262" s="72"/>
      <c r="V262" s="72"/>
      <c r="W262" s="72"/>
      <c r="X262" s="72"/>
      <c r="Y262" s="72"/>
      <c r="Z262" s="72"/>
      <c r="AA262" s="79"/>
      <c r="AB262" s="79"/>
      <c r="AC262" s="79"/>
      <c r="AD262" s="79"/>
      <c r="AE262" s="79"/>
    </row>
    <row r="263" spans="1:31" ht="16.5" x14ac:dyDescent="0.35">
      <c r="A263" s="71">
        <v>257</v>
      </c>
      <c r="B263" s="72">
        <v>2041223935</v>
      </c>
      <c r="C263" s="80" t="s">
        <v>749</v>
      </c>
      <c r="D263" s="81" t="s">
        <v>750</v>
      </c>
      <c r="E263" s="72" t="s">
        <v>132</v>
      </c>
      <c r="F263" s="76">
        <v>2</v>
      </c>
      <c r="G263" s="72" t="s">
        <v>1300</v>
      </c>
      <c r="H263" s="78">
        <v>45728</v>
      </c>
      <c r="I263" s="72" t="s">
        <v>1299</v>
      </c>
      <c r="J263" s="72">
        <v>7.5</v>
      </c>
      <c r="K263" s="72"/>
      <c r="L263" s="72" t="s">
        <v>924</v>
      </c>
      <c r="M263" s="78">
        <v>45776</v>
      </c>
      <c r="N263" s="72" t="s">
        <v>1299</v>
      </c>
      <c r="O263" s="72">
        <v>5</v>
      </c>
      <c r="P263" s="72"/>
      <c r="Q263" s="72"/>
      <c r="R263" s="78"/>
      <c r="S263" s="72"/>
      <c r="T263" s="72"/>
      <c r="U263" s="72"/>
      <c r="V263" s="72"/>
      <c r="W263" s="72"/>
      <c r="X263" s="72"/>
      <c r="Y263" s="72"/>
      <c r="Z263" s="72"/>
      <c r="AA263" s="79"/>
      <c r="AB263" s="79"/>
      <c r="AC263" s="79"/>
      <c r="AD263" s="79"/>
      <c r="AE263" s="79"/>
    </row>
    <row r="264" spans="1:31" ht="16.5" x14ac:dyDescent="0.35">
      <c r="A264" s="71">
        <v>258</v>
      </c>
      <c r="B264" s="72">
        <v>2041224029</v>
      </c>
      <c r="C264" s="80" t="s">
        <v>1057</v>
      </c>
      <c r="D264" s="81" t="s">
        <v>181</v>
      </c>
      <c r="E264" s="72" t="s">
        <v>132</v>
      </c>
      <c r="F264" s="76">
        <v>0</v>
      </c>
      <c r="G264" s="72"/>
      <c r="H264" s="78"/>
      <c r="I264" s="72"/>
      <c r="J264" s="72"/>
      <c r="K264" s="72"/>
      <c r="L264" s="72"/>
      <c r="M264" s="72"/>
      <c r="N264" s="72"/>
      <c r="O264" s="72"/>
      <c r="P264" s="72"/>
      <c r="Q264" s="72"/>
      <c r="R264" s="78"/>
      <c r="S264" s="72"/>
      <c r="T264" s="72"/>
      <c r="U264" s="72"/>
      <c r="V264" s="72"/>
      <c r="W264" s="72"/>
      <c r="X264" s="72"/>
      <c r="Y264" s="72"/>
      <c r="Z264" s="72"/>
      <c r="AA264" s="79"/>
      <c r="AB264" s="79"/>
      <c r="AC264" s="79"/>
      <c r="AD264" s="79"/>
      <c r="AE264" s="79"/>
    </row>
    <row r="265" spans="1:31" ht="16.5" x14ac:dyDescent="0.35">
      <c r="A265" s="71">
        <v>259</v>
      </c>
      <c r="B265" s="72">
        <v>2041224117</v>
      </c>
      <c r="C265" s="80" t="s">
        <v>1059</v>
      </c>
      <c r="D265" s="81" t="s">
        <v>65</v>
      </c>
      <c r="E265" s="72" t="s">
        <v>132</v>
      </c>
      <c r="F265" s="76">
        <v>2</v>
      </c>
      <c r="G265" s="72" t="s">
        <v>924</v>
      </c>
      <c r="H265" s="78">
        <v>45621</v>
      </c>
      <c r="I265" s="72" t="s">
        <v>1299</v>
      </c>
      <c r="J265" s="72">
        <v>8.5</v>
      </c>
      <c r="K265" s="72"/>
      <c r="L265" s="72" t="s">
        <v>1304</v>
      </c>
      <c r="M265" s="78">
        <v>45628</v>
      </c>
      <c r="N265" s="72" t="s">
        <v>1299</v>
      </c>
      <c r="O265" s="72">
        <v>8</v>
      </c>
      <c r="P265" s="72"/>
      <c r="Q265" s="72"/>
      <c r="R265" s="78"/>
      <c r="S265" s="72"/>
      <c r="T265" s="72"/>
      <c r="U265" s="72"/>
      <c r="V265" s="72"/>
      <c r="W265" s="72"/>
      <c r="X265" s="72"/>
      <c r="Y265" s="72"/>
      <c r="Z265" s="72"/>
      <c r="AA265" s="79"/>
      <c r="AB265" s="79"/>
      <c r="AC265" s="79"/>
      <c r="AD265" s="79"/>
      <c r="AE265" s="79"/>
    </row>
    <row r="266" spans="1:31" ht="16.5" x14ac:dyDescent="0.35">
      <c r="A266" s="71">
        <v>260</v>
      </c>
      <c r="B266" s="72">
        <v>2041224201</v>
      </c>
      <c r="C266" s="80" t="s">
        <v>143</v>
      </c>
      <c r="D266" s="81" t="s">
        <v>144</v>
      </c>
      <c r="E266" s="72" t="s">
        <v>132</v>
      </c>
      <c r="F266" s="76">
        <v>2</v>
      </c>
      <c r="G266" s="72" t="s">
        <v>1300</v>
      </c>
      <c r="H266" s="78">
        <v>45737</v>
      </c>
      <c r="I266" s="72" t="s">
        <v>1299</v>
      </c>
      <c r="J266" s="72">
        <v>8</v>
      </c>
      <c r="K266" s="72"/>
      <c r="L266" s="72" t="s">
        <v>924</v>
      </c>
      <c r="M266" s="78">
        <v>45787</v>
      </c>
      <c r="N266" s="72" t="s">
        <v>1299</v>
      </c>
      <c r="O266" s="72">
        <v>9.5</v>
      </c>
      <c r="P266" s="72"/>
      <c r="Q266" s="72"/>
      <c r="R266" s="78"/>
      <c r="S266" s="72"/>
      <c r="T266" s="72"/>
      <c r="U266" s="72"/>
      <c r="V266" s="72"/>
      <c r="W266" s="72"/>
      <c r="X266" s="72"/>
      <c r="Y266" s="72"/>
      <c r="Z266" s="72"/>
      <c r="AA266" s="79"/>
      <c r="AB266" s="79"/>
      <c r="AC266" s="79"/>
      <c r="AD266" s="79"/>
      <c r="AE266" s="79"/>
    </row>
    <row r="267" spans="1:31" ht="16.5" x14ac:dyDescent="0.35">
      <c r="A267" s="71">
        <v>261</v>
      </c>
      <c r="B267" s="72">
        <v>2041224257</v>
      </c>
      <c r="C267" s="80" t="s">
        <v>141</v>
      </c>
      <c r="D267" s="81" t="s">
        <v>142</v>
      </c>
      <c r="E267" s="72" t="s">
        <v>132</v>
      </c>
      <c r="F267" s="76">
        <v>2</v>
      </c>
      <c r="G267" s="72" t="s">
        <v>1300</v>
      </c>
      <c r="H267" s="78">
        <v>45744</v>
      </c>
      <c r="I267" s="72" t="s">
        <v>1299</v>
      </c>
      <c r="J267" s="72">
        <v>9</v>
      </c>
      <c r="K267" s="72"/>
      <c r="L267" s="88" t="s">
        <v>1302</v>
      </c>
      <c r="M267" s="78">
        <v>45552</v>
      </c>
      <c r="N267" s="72" t="s">
        <v>1299</v>
      </c>
      <c r="O267" s="72"/>
      <c r="P267" s="72"/>
      <c r="Q267" s="72"/>
      <c r="R267" s="78"/>
      <c r="S267" s="72"/>
      <c r="T267" s="72"/>
      <c r="U267" s="72"/>
      <c r="V267" s="72"/>
      <c r="W267" s="72"/>
      <c r="X267" s="72"/>
      <c r="Y267" s="72"/>
      <c r="Z267" s="72"/>
      <c r="AA267" s="79"/>
      <c r="AB267" s="79"/>
      <c r="AC267" s="79"/>
      <c r="AD267" s="79"/>
      <c r="AE267" s="79"/>
    </row>
    <row r="268" spans="1:31" ht="16.5" x14ac:dyDescent="0.35">
      <c r="A268" s="71">
        <v>262</v>
      </c>
      <c r="B268" s="72">
        <v>2041224348</v>
      </c>
      <c r="C268" s="80" t="s">
        <v>1070</v>
      </c>
      <c r="D268" s="81" t="s">
        <v>54</v>
      </c>
      <c r="E268" s="72" t="s">
        <v>132</v>
      </c>
      <c r="F268" s="76">
        <v>1</v>
      </c>
      <c r="G268" s="72" t="s">
        <v>924</v>
      </c>
      <c r="H268" s="78">
        <v>45629</v>
      </c>
      <c r="I268" s="72" t="s">
        <v>1299</v>
      </c>
      <c r="J268" s="72">
        <v>8</v>
      </c>
      <c r="K268" s="72"/>
      <c r="L268" s="72"/>
      <c r="M268" s="78"/>
      <c r="N268" s="72"/>
      <c r="O268" s="72"/>
      <c r="P268" s="72"/>
      <c r="Q268" s="72"/>
      <c r="R268" s="78"/>
      <c r="S268" s="72"/>
      <c r="T268" s="72"/>
      <c r="U268" s="72"/>
      <c r="V268" s="72"/>
      <c r="W268" s="72"/>
      <c r="X268" s="72"/>
      <c r="Y268" s="72"/>
      <c r="Z268" s="72"/>
      <c r="AA268" s="79"/>
      <c r="AB268" s="79"/>
      <c r="AC268" s="79"/>
      <c r="AD268" s="79"/>
      <c r="AE268" s="79"/>
    </row>
    <row r="269" spans="1:31" ht="16.5" x14ac:dyDescent="0.35">
      <c r="A269" s="71">
        <v>263</v>
      </c>
      <c r="B269" s="72">
        <v>2041224381</v>
      </c>
      <c r="C269" s="80" t="s">
        <v>221</v>
      </c>
      <c r="D269" s="81" t="s">
        <v>1072</v>
      </c>
      <c r="E269" s="72" t="s">
        <v>132</v>
      </c>
      <c r="F269" s="76">
        <v>2</v>
      </c>
      <c r="G269" s="72" t="s">
        <v>1300</v>
      </c>
      <c r="H269" s="78">
        <v>45455</v>
      </c>
      <c r="I269" s="72" t="s">
        <v>1299</v>
      </c>
      <c r="J269" s="72">
        <v>6.5</v>
      </c>
      <c r="K269" s="72"/>
      <c r="L269" s="72" t="s">
        <v>924</v>
      </c>
      <c r="M269" s="78">
        <v>45637</v>
      </c>
      <c r="N269" s="72" t="s">
        <v>1299</v>
      </c>
      <c r="O269" s="72">
        <v>7</v>
      </c>
      <c r="P269" s="72"/>
      <c r="Q269" s="72"/>
      <c r="R269" s="78"/>
      <c r="S269" s="72"/>
      <c r="T269" s="72"/>
      <c r="U269" s="72"/>
      <c r="V269" s="72"/>
      <c r="W269" s="72"/>
      <c r="X269" s="72"/>
      <c r="Y269" s="72"/>
      <c r="Z269" s="72"/>
      <c r="AA269" s="79"/>
      <c r="AB269" s="79"/>
      <c r="AC269" s="79"/>
      <c r="AD269" s="79"/>
      <c r="AE269" s="79"/>
    </row>
    <row r="270" spans="1:31" ht="16.5" x14ac:dyDescent="0.35">
      <c r="A270" s="71">
        <v>264</v>
      </c>
      <c r="B270" s="72">
        <v>2041224545</v>
      </c>
      <c r="C270" s="80" t="s">
        <v>1073</v>
      </c>
      <c r="D270" s="81" t="s">
        <v>117</v>
      </c>
      <c r="E270" s="72" t="s">
        <v>132</v>
      </c>
      <c r="F270" s="76">
        <v>2</v>
      </c>
      <c r="G270" s="72" t="s">
        <v>925</v>
      </c>
      <c r="H270" s="78">
        <v>45636</v>
      </c>
      <c r="I270" s="72" t="s">
        <v>1299</v>
      </c>
      <c r="J270" s="72">
        <v>8</v>
      </c>
      <c r="K270" s="72"/>
      <c r="L270" s="72" t="s">
        <v>1300</v>
      </c>
      <c r="M270" s="78">
        <v>45644</v>
      </c>
      <c r="N270" s="72" t="s">
        <v>1299</v>
      </c>
      <c r="O270" s="72">
        <v>7.5</v>
      </c>
      <c r="P270" s="72"/>
      <c r="Q270" s="72"/>
      <c r="R270" s="78"/>
      <c r="S270" s="72"/>
      <c r="T270" s="72"/>
      <c r="U270" s="72"/>
      <c r="V270" s="72"/>
      <c r="W270" s="72"/>
      <c r="X270" s="72"/>
      <c r="Y270" s="72"/>
      <c r="Z270" s="72"/>
      <c r="AA270" s="79"/>
      <c r="AB270" s="79"/>
      <c r="AC270" s="79"/>
      <c r="AD270" s="79"/>
      <c r="AE270" s="79"/>
    </row>
    <row r="271" spans="1:31" ht="16.5" x14ac:dyDescent="0.35">
      <c r="A271" s="71">
        <v>265</v>
      </c>
      <c r="B271" s="72">
        <v>2041224820</v>
      </c>
      <c r="C271" s="80" t="s">
        <v>1063</v>
      </c>
      <c r="D271" s="81" t="s">
        <v>102</v>
      </c>
      <c r="E271" s="72" t="s">
        <v>132</v>
      </c>
      <c r="F271" s="76">
        <v>3</v>
      </c>
      <c r="G271" s="72" t="s">
        <v>924</v>
      </c>
      <c r="H271" s="78">
        <v>45629</v>
      </c>
      <c r="I271" s="72" t="s">
        <v>1299</v>
      </c>
      <c r="J271" s="72">
        <v>6</v>
      </c>
      <c r="K271" s="72"/>
      <c r="L271" s="72" t="s">
        <v>925</v>
      </c>
      <c r="M271" s="78">
        <v>45433</v>
      </c>
      <c r="N271" s="72" t="s">
        <v>1299</v>
      </c>
      <c r="O271" s="72">
        <v>6.5</v>
      </c>
      <c r="P271" s="72"/>
      <c r="Q271" s="72" t="s">
        <v>1300</v>
      </c>
      <c r="R271" s="78">
        <v>45644</v>
      </c>
      <c r="S271" s="72" t="s">
        <v>1299</v>
      </c>
      <c r="T271" s="72">
        <v>8</v>
      </c>
      <c r="U271" s="72"/>
      <c r="V271" s="72"/>
      <c r="W271" s="72"/>
      <c r="X271" s="72"/>
      <c r="Y271" s="72"/>
      <c r="Z271" s="72"/>
      <c r="AA271" s="79"/>
      <c r="AB271" s="79"/>
      <c r="AC271" s="79"/>
      <c r="AD271" s="79"/>
      <c r="AE271" s="79"/>
    </row>
    <row r="272" spans="1:31" ht="16.5" x14ac:dyDescent="0.35">
      <c r="A272" s="71">
        <v>266</v>
      </c>
      <c r="B272" s="72">
        <v>2041224842</v>
      </c>
      <c r="C272" s="80" t="s">
        <v>1061</v>
      </c>
      <c r="D272" s="81" t="s">
        <v>254</v>
      </c>
      <c r="E272" s="72" t="s">
        <v>132</v>
      </c>
      <c r="F272" s="76">
        <v>3</v>
      </c>
      <c r="G272" s="72" t="s">
        <v>925</v>
      </c>
      <c r="H272" s="78" t="s">
        <v>2038</v>
      </c>
      <c r="I272" s="72" t="s">
        <v>1299</v>
      </c>
      <c r="J272" s="72">
        <v>8.5</v>
      </c>
      <c r="K272" s="72">
        <v>0.5</v>
      </c>
      <c r="L272" s="72" t="s">
        <v>1300</v>
      </c>
      <c r="M272" s="78">
        <v>45422</v>
      </c>
      <c r="N272" s="72" t="s">
        <v>1299</v>
      </c>
      <c r="O272" s="72">
        <v>7</v>
      </c>
      <c r="P272" s="72"/>
      <c r="Q272" s="88" t="s">
        <v>1302</v>
      </c>
      <c r="R272" s="78">
        <v>45552</v>
      </c>
      <c r="S272" s="72" t="s">
        <v>1299</v>
      </c>
      <c r="T272" s="72">
        <v>7</v>
      </c>
      <c r="U272" s="72"/>
      <c r="V272" s="72"/>
      <c r="W272" s="72"/>
      <c r="X272" s="72"/>
      <c r="Y272" s="72"/>
      <c r="Z272" s="72"/>
      <c r="AA272" s="79"/>
      <c r="AB272" s="79"/>
      <c r="AC272" s="79"/>
      <c r="AD272" s="79"/>
      <c r="AE272" s="79"/>
    </row>
    <row r="273" spans="1:31" ht="16.5" x14ac:dyDescent="0.35">
      <c r="A273" s="71">
        <v>267</v>
      </c>
      <c r="B273" s="72">
        <v>2041225005</v>
      </c>
      <c r="C273" s="80" t="s">
        <v>1065</v>
      </c>
      <c r="D273" s="81" t="s">
        <v>610</v>
      </c>
      <c r="E273" s="72" t="s">
        <v>132</v>
      </c>
      <c r="F273" s="76">
        <v>2</v>
      </c>
      <c r="G273" s="72" t="s">
        <v>925</v>
      </c>
      <c r="H273" s="78">
        <v>45398</v>
      </c>
      <c r="I273" s="72" t="s">
        <v>1299</v>
      </c>
      <c r="J273" s="72">
        <v>7.5</v>
      </c>
      <c r="K273" s="72"/>
      <c r="L273" s="72" t="s">
        <v>1300</v>
      </c>
      <c r="M273" s="78">
        <v>45455</v>
      </c>
      <c r="N273" s="72" t="s">
        <v>1299</v>
      </c>
      <c r="O273" s="72">
        <v>7.5</v>
      </c>
      <c r="P273" s="72"/>
      <c r="Q273" s="72"/>
      <c r="R273" s="78"/>
      <c r="S273" s="72"/>
      <c r="T273" s="72"/>
      <c r="U273" s="72"/>
      <c r="V273" s="72"/>
      <c r="W273" s="72"/>
      <c r="X273" s="72"/>
      <c r="Y273" s="72"/>
      <c r="Z273" s="72"/>
      <c r="AA273" s="79"/>
      <c r="AB273" s="79"/>
      <c r="AC273" s="79"/>
      <c r="AD273" s="79"/>
      <c r="AE273" s="79"/>
    </row>
    <row r="274" spans="1:31" ht="16.5" x14ac:dyDescent="0.35">
      <c r="A274" s="71">
        <v>268</v>
      </c>
      <c r="B274" s="72">
        <v>2041225236</v>
      </c>
      <c r="C274" s="80" t="s">
        <v>1066</v>
      </c>
      <c r="D274" s="81" t="s">
        <v>123</v>
      </c>
      <c r="E274" s="72" t="s">
        <v>132</v>
      </c>
      <c r="F274" s="76">
        <v>2</v>
      </c>
      <c r="G274" s="72" t="s">
        <v>924</v>
      </c>
      <c r="H274" s="78">
        <v>45602</v>
      </c>
      <c r="I274" s="72" t="s">
        <v>1299</v>
      </c>
      <c r="J274" s="72">
        <v>7</v>
      </c>
      <c r="K274" s="72"/>
      <c r="L274" s="72" t="s">
        <v>1301</v>
      </c>
      <c r="M274" s="78">
        <v>45630</v>
      </c>
      <c r="N274" s="72" t="s">
        <v>1299</v>
      </c>
      <c r="O274" s="72">
        <v>7</v>
      </c>
      <c r="P274" s="72"/>
      <c r="Q274" s="72"/>
      <c r="R274" s="78"/>
      <c r="S274" s="72"/>
      <c r="T274" s="72"/>
      <c r="U274" s="72"/>
      <c r="V274" s="72"/>
      <c r="W274" s="72"/>
      <c r="X274" s="72"/>
      <c r="Y274" s="72"/>
      <c r="Z274" s="72"/>
      <c r="AA274" s="79"/>
      <c r="AB274" s="79"/>
      <c r="AC274" s="79"/>
      <c r="AD274" s="79"/>
      <c r="AE274" s="79"/>
    </row>
    <row r="275" spans="1:31" ht="16.5" x14ac:dyDescent="0.35">
      <c r="A275" s="71">
        <v>269</v>
      </c>
      <c r="B275" s="72">
        <v>2041225260</v>
      </c>
      <c r="C275" s="80" t="s">
        <v>130</v>
      </c>
      <c r="D275" s="81" t="s">
        <v>123</v>
      </c>
      <c r="E275" s="72" t="s">
        <v>132</v>
      </c>
      <c r="F275" s="76">
        <v>3</v>
      </c>
      <c r="G275" s="72" t="s">
        <v>1300</v>
      </c>
      <c r="H275" s="78">
        <v>45749</v>
      </c>
      <c r="I275" s="86" t="s">
        <v>1299</v>
      </c>
      <c r="J275" s="72">
        <v>8</v>
      </c>
      <c r="K275" s="72"/>
      <c r="L275" s="72" t="s">
        <v>1301</v>
      </c>
      <c r="M275" s="78">
        <v>45757</v>
      </c>
      <c r="N275" s="72" t="s">
        <v>1299</v>
      </c>
      <c r="O275" s="72">
        <v>8.5</v>
      </c>
      <c r="P275" s="72"/>
      <c r="Q275" s="72" t="s">
        <v>924</v>
      </c>
      <c r="R275" s="78">
        <v>45803</v>
      </c>
      <c r="S275" s="72" t="s">
        <v>1299</v>
      </c>
      <c r="T275" s="72">
        <v>7.5</v>
      </c>
      <c r="U275" s="72"/>
      <c r="V275" s="72"/>
      <c r="W275" s="72"/>
      <c r="X275" s="72"/>
      <c r="Y275" s="72"/>
      <c r="Z275" s="72"/>
      <c r="AA275" s="79"/>
      <c r="AB275" s="79"/>
      <c r="AC275" s="79"/>
      <c r="AD275" s="79"/>
      <c r="AE275" s="79"/>
    </row>
    <row r="276" spans="1:31" ht="16.5" x14ac:dyDescent="0.35">
      <c r="A276" s="71">
        <v>270</v>
      </c>
      <c r="B276" s="72">
        <v>2041225181</v>
      </c>
      <c r="C276" s="80" t="s">
        <v>565</v>
      </c>
      <c r="D276" s="81" t="s">
        <v>123</v>
      </c>
      <c r="E276" s="72" t="s">
        <v>132</v>
      </c>
      <c r="F276" s="76">
        <v>0</v>
      </c>
      <c r="G276" s="72"/>
      <c r="H276" s="78"/>
      <c r="I276" s="72"/>
      <c r="J276" s="72"/>
      <c r="K276" s="72"/>
      <c r="L276" s="72"/>
      <c r="M276" s="72"/>
      <c r="N276" s="72"/>
      <c r="O276" s="72"/>
      <c r="P276" s="72"/>
      <c r="Q276" s="72"/>
      <c r="R276" s="78"/>
      <c r="S276" s="72"/>
      <c r="T276" s="72"/>
      <c r="U276" s="72"/>
      <c r="V276" s="72"/>
      <c r="W276" s="72"/>
      <c r="X276" s="72"/>
      <c r="Y276" s="72"/>
      <c r="Z276" s="72"/>
      <c r="AA276" s="79"/>
      <c r="AB276" s="79"/>
      <c r="AC276" s="79"/>
      <c r="AD276" s="79"/>
      <c r="AE276" s="79"/>
    </row>
    <row r="277" spans="1:31" ht="16.5" x14ac:dyDescent="0.35">
      <c r="A277" s="71">
        <v>271</v>
      </c>
      <c r="B277" s="72">
        <v>2041225290</v>
      </c>
      <c r="C277" s="80" t="s">
        <v>1067</v>
      </c>
      <c r="D277" s="81" t="s">
        <v>514</v>
      </c>
      <c r="E277" s="72" t="s">
        <v>132</v>
      </c>
      <c r="F277" s="76">
        <v>2</v>
      </c>
      <c r="G277" s="72" t="s">
        <v>1300</v>
      </c>
      <c r="H277" s="78">
        <v>45455</v>
      </c>
      <c r="I277" s="72" t="s">
        <v>1299</v>
      </c>
      <c r="J277" s="72">
        <v>7</v>
      </c>
      <c r="K277" s="72"/>
      <c r="L277" s="72" t="s">
        <v>924</v>
      </c>
      <c r="M277" s="78">
        <v>45637</v>
      </c>
      <c r="N277" s="72" t="s">
        <v>1299</v>
      </c>
      <c r="O277" s="72">
        <v>8</v>
      </c>
      <c r="P277" s="72"/>
      <c r="Q277" s="72"/>
      <c r="R277" s="78"/>
      <c r="S277" s="72"/>
      <c r="T277" s="72"/>
      <c r="U277" s="72"/>
      <c r="V277" s="72"/>
      <c r="W277" s="72"/>
      <c r="X277" s="72"/>
      <c r="Y277" s="72"/>
      <c r="Z277" s="72"/>
      <c r="AA277" s="79"/>
      <c r="AB277" s="79"/>
      <c r="AC277" s="79"/>
      <c r="AD277" s="79"/>
      <c r="AE277" s="79"/>
    </row>
    <row r="278" spans="1:31" ht="16.5" x14ac:dyDescent="0.35">
      <c r="A278" s="71">
        <v>272</v>
      </c>
      <c r="B278" s="72">
        <v>2041225321</v>
      </c>
      <c r="C278" s="80" t="s">
        <v>50</v>
      </c>
      <c r="D278" s="81" t="s">
        <v>432</v>
      </c>
      <c r="E278" s="72" t="s">
        <v>132</v>
      </c>
      <c r="F278" s="76">
        <v>3</v>
      </c>
      <c r="G278" s="79" t="s">
        <v>925</v>
      </c>
      <c r="H278" s="83">
        <v>45398</v>
      </c>
      <c r="I278" s="79" t="s">
        <v>1299</v>
      </c>
      <c r="J278" s="79">
        <v>6.5</v>
      </c>
      <c r="K278" s="79"/>
      <c r="L278" s="79" t="s">
        <v>925</v>
      </c>
      <c r="M278" s="83">
        <v>45440</v>
      </c>
      <c r="N278" s="79" t="s">
        <v>1299</v>
      </c>
      <c r="O278" s="79">
        <v>7.5</v>
      </c>
      <c r="P278" s="79">
        <v>0.5</v>
      </c>
      <c r="Q278" s="79" t="s">
        <v>1300</v>
      </c>
      <c r="R278" s="83">
        <v>45455</v>
      </c>
      <c r="S278" s="79" t="s">
        <v>1299</v>
      </c>
      <c r="T278" s="79">
        <v>6.5</v>
      </c>
      <c r="U278" s="79"/>
      <c r="V278" s="79"/>
      <c r="W278" s="79"/>
      <c r="X278" s="79"/>
      <c r="Y278" s="79"/>
      <c r="Z278" s="72"/>
      <c r="AA278" s="79"/>
      <c r="AB278" s="79"/>
      <c r="AC278" s="79"/>
      <c r="AD278" s="79"/>
      <c r="AE278" s="79"/>
    </row>
    <row r="279" spans="1:31" ht="16.5" x14ac:dyDescent="0.35">
      <c r="A279" s="71">
        <v>273</v>
      </c>
      <c r="B279" s="72">
        <v>2041225318</v>
      </c>
      <c r="C279" s="80" t="s">
        <v>1069</v>
      </c>
      <c r="D279" s="81" t="s">
        <v>432</v>
      </c>
      <c r="E279" s="72" t="s">
        <v>132</v>
      </c>
      <c r="F279" s="76">
        <v>3</v>
      </c>
      <c r="G279" s="79" t="s">
        <v>925</v>
      </c>
      <c r="H279" s="83">
        <v>45398</v>
      </c>
      <c r="I279" s="79" t="s">
        <v>1299</v>
      </c>
      <c r="J279" s="79">
        <v>7</v>
      </c>
      <c r="K279" s="79"/>
      <c r="L279" s="79" t="s">
        <v>925</v>
      </c>
      <c r="M279" s="83">
        <v>45440</v>
      </c>
      <c r="N279" s="79" t="s">
        <v>1299</v>
      </c>
      <c r="O279" s="79">
        <v>7.5</v>
      </c>
      <c r="P279" s="79"/>
      <c r="Q279" s="79" t="s">
        <v>1300</v>
      </c>
      <c r="R279" s="83">
        <v>45455</v>
      </c>
      <c r="S279" s="79" t="s">
        <v>1299</v>
      </c>
      <c r="T279" s="79">
        <v>5.5</v>
      </c>
      <c r="U279" s="79"/>
      <c r="V279" s="79"/>
      <c r="W279" s="79"/>
      <c r="X279" s="79"/>
      <c r="Y279" s="79"/>
      <c r="Z279" s="72"/>
      <c r="AA279" s="79"/>
      <c r="AB279" s="79"/>
      <c r="AC279" s="79"/>
      <c r="AD279" s="79"/>
      <c r="AE279" s="79"/>
    </row>
    <row r="280" spans="1:31" ht="16.5" x14ac:dyDescent="0.35">
      <c r="A280" s="71">
        <v>274</v>
      </c>
      <c r="B280" s="72">
        <v>2041225352</v>
      </c>
      <c r="C280" s="80" t="s">
        <v>507</v>
      </c>
      <c r="D280" s="81" t="s">
        <v>258</v>
      </c>
      <c r="E280" s="72" t="s">
        <v>132</v>
      </c>
      <c r="F280" s="76">
        <v>3</v>
      </c>
      <c r="G280" s="72" t="s">
        <v>924</v>
      </c>
      <c r="H280" s="78">
        <v>45621</v>
      </c>
      <c r="I280" s="72" t="s">
        <v>1299</v>
      </c>
      <c r="J280" s="72">
        <v>8</v>
      </c>
      <c r="K280" s="72"/>
      <c r="L280" s="72" t="s">
        <v>1301</v>
      </c>
      <c r="M280" s="78">
        <v>45630</v>
      </c>
      <c r="N280" s="72" t="s">
        <v>1299</v>
      </c>
      <c r="O280" s="72">
        <v>7.5</v>
      </c>
      <c r="P280" s="72"/>
      <c r="Q280" s="72" t="s">
        <v>1300</v>
      </c>
      <c r="R280" s="78">
        <v>45631</v>
      </c>
      <c r="S280" s="72" t="s">
        <v>1299</v>
      </c>
      <c r="T280" s="72">
        <v>8</v>
      </c>
      <c r="U280" s="72"/>
      <c r="V280" s="72"/>
      <c r="W280" s="78"/>
      <c r="X280" s="72"/>
      <c r="Y280" s="72"/>
      <c r="Z280" s="72"/>
      <c r="AA280" s="79"/>
      <c r="AB280" s="79"/>
      <c r="AC280" s="79"/>
      <c r="AD280" s="79"/>
      <c r="AE280" s="79"/>
    </row>
    <row r="281" spans="1:31" ht="16.5" x14ac:dyDescent="0.35">
      <c r="A281" s="71">
        <v>275</v>
      </c>
      <c r="B281" s="72">
        <v>2041225451</v>
      </c>
      <c r="C281" s="80" t="s">
        <v>137</v>
      </c>
      <c r="D281" s="81" t="s">
        <v>138</v>
      </c>
      <c r="E281" s="72" t="s">
        <v>132</v>
      </c>
      <c r="F281" s="76">
        <v>3</v>
      </c>
      <c r="G281" s="72" t="s">
        <v>1300</v>
      </c>
      <c r="H281" s="78">
        <v>45455</v>
      </c>
      <c r="I281" s="72" t="s">
        <v>1299</v>
      </c>
      <c r="J281" s="72">
        <v>9</v>
      </c>
      <c r="K281" s="72"/>
      <c r="L281" s="72" t="s">
        <v>1301</v>
      </c>
      <c r="M281" s="78">
        <v>45629</v>
      </c>
      <c r="N281" s="72" t="s">
        <v>1299</v>
      </c>
      <c r="O281" s="72">
        <v>8.5</v>
      </c>
      <c r="P281" s="72"/>
      <c r="Q281" s="72" t="s">
        <v>924</v>
      </c>
      <c r="R281" s="78">
        <v>45637</v>
      </c>
      <c r="S281" s="72" t="s">
        <v>1299</v>
      </c>
      <c r="T281" s="72">
        <v>6.5</v>
      </c>
      <c r="U281" s="72"/>
      <c r="V281" s="72"/>
      <c r="W281" s="72"/>
      <c r="X281" s="72"/>
      <c r="Y281" s="72"/>
      <c r="Z281" s="72"/>
      <c r="AA281" s="79"/>
      <c r="AB281" s="79"/>
      <c r="AC281" s="79"/>
      <c r="AD281" s="79"/>
      <c r="AE281" s="79"/>
    </row>
    <row r="282" spans="1:31" ht="16.5" x14ac:dyDescent="0.35">
      <c r="A282" s="71">
        <v>276</v>
      </c>
      <c r="B282" s="72">
        <v>2041225827</v>
      </c>
      <c r="C282" s="80" t="s">
        <v>140</v>
      </c>
      <c r="D282" s="81" t="s">
        <v>66</v>
      </c>
      <c r="E282" s="72" t="s">
        <v>132</v>
      </c>
      <c r="F282" s="76">
        <v>5</v>
      </c>
      <c r="G282" s="72" t="s">
        <v>925</v>
      </c>
      <c r="H282" s="78">
        <v>45398</v>
      </c>
      <c r="I282" s="72" t="s">
        <v>1299</v>
      </c>
      <c r="J282" s="72">
        <v>7.5</v>
      </c>
      <c r="K282" s="72"/>
      <c r="L282" s="72" t="s">
        <v>1300</v>
      </c>
      <c r="M282" s="78">
        <v>45455</v>
      </c>
      <c r="N282" s="72" t="s">
        <v>1299</v>
      </c>
      <c r="O282" s="72">
        <v>6</v>
      </c>
      <c r="P282" s="72"/>
      <c r="Q282" s="72" t="s">
        <v>924</v>
      </c>
      <c r="R282" s="78">
        <v>45629</v>
      </c>
      <c r="S282" s="72" t="s">
        <v>1299</v>
      </c>
      <c r="T282" s="72">
        <v>7</v>
      </c>
      <c r="U282" s="72"/>
      <c r="V282" s="72" t="s">
        <v>924</v>
      </c>
      <c r="W282" s="78">
        <v>45786</v>
      </c>
      <c r="X282" s="72" t="s">
        <v>1299</v>
      </c>
      <c r="Y282" s="72">
        <v>9.5</v>
      </c>
      <c r="Z282" s="72"/>
      <c r="AA282" s="72" t="s">
        <v>1300</v>
      </c>
      <c r="AB282" s="78">
        <v>45791</v>
      </c>
      <c r="AC282" s="72" t="s">
        <v>1299</v>
      </c>
      <c r="AD282" s="79">
        <v>9</v>
      </c>
      <c r="AE282" s="79"/>
    </row>
    <row r="283" spans="1:31" ht="16.5" x14ac:dyDescent="0.35">
      <c r="A283" s="71">
        <v>277</v>
      </c>
      <c r="B283" s="72">
        <v>2041225846</v>
      </c>
      <c r="C283" s="80" t="s">
        <v>1076</v>
      </c>
      <c r="D283" s="81" t="s">
        <v>1077</v>
      </c>
      <c r="E283" s="72" t="s">
        <v>132</v>
      </c>
      <c r="F283" s="76">
        <v>4</v>
      </c>
      <c r="G283" s="72" t="s">
        <v>1300</v>
      </c>
      <c r="H283" s="78">
        <v>45422</v>
      </c>
      <c r="I283" s="72" t="s">
        <v>1299</v>
      </c>
      <c r="J283" s="72">
        <v>7</v>
      </c>
      <c r="K283" s="72"/>
      <c r="L283" s="72" t="s">
        <v>924</v>
      </c>
      <c r="M283" s="78">
        <v>45602</v>
      </c>
      <c r="N283" s="72" t="s">
        <v>1299</v>
      </c>
      <c r="O283" s="72">
        <v>7</v>
      </c>
      <c r="P283" s="72"/>
      <c r="Q283" s="72" t="s">
        <v>1301</v>
      </c>
      <c r="R283" s="78">
        <v>45630</v>
      </c>
      <c r="S283" s="72" t="s">
        <v>1299</v>
      </c>
      <c r="T283" s="72">
        <v>8.5</v>
      </c>
      <c r="U283" s="72"/>
      <c r="V283" s="72" t="s">
        <v>1300</v>
      </c>
      <c r="W283" s="78">
        <v>45631</v>
      </c>
      <c r="X283" s="72" t="s">
        <v>1299</v>
      </c>
      <c r="Y283" s="72">
        <v>8</v>
      </c>
      <c r="Z283" s="72"/>
      <c r="AA283" s="79"/>
      <c r="AB283" s="79"/>
      <c r="AC283" s="79"/>
      <c r="AD283" s="79"/>
      <c r="AE283" s="79"/>
    </row>
    <row r="284" spans="1:31" ht="16.5" x14ac:dyDescent="0.35">
      <c r="A284" s="71">
        <v>278</v>
      </c>
      <c r="B284" s="72">
        <v>2041226084</v>
      </c>
      <c r="C284" s="80" t="s">
        <v>1078</v>
      </c>
      <c r="D284" s="81" t="s">
        <v>24</v>
      </c>
      <c r="E284" s="72" t="s">
        <v>132</v>
      </c>
      <c r="F284" s="76">
        <v>2</v>
      </c>
      <c r="G284" s="72" t="s">
        <v>924</v>
      </c>
      <c r="H284" s="78">
        <v>45602</v>
      </c>
      <c r="I284" s="72" t="s">
        <v>1299</v>
      </c>
      <c r="J284" s="72">
        <v>7.5</v>
      </c>
      <c r="K284" s="72"/>
      <c r="L284" s="88" t="s">
        <v>1302</v>
      </c>
      <c r="M284" s="78">
        <v>45552</v>
      </c>
      <c r="N284" s="72" t="s">
        <v>1299</v>
      </c>
      <c r="O284" s="72"/>
      <c r="P284" s="72"/>
      <c r="Q284" s="72"/>
      <c r="R284" s="78"/>
      <c r="S284" s="72"/>
      <c r="T284" s="72"/>
      <c r="U284" s="72"/>
      <c r="V284" s="72"/>
      <c r="W284" s="72"/>
      <c r="X284" s="72"/>
      <c r="Y284" s="72"/>
      <c r="Z284" s="72"/>
      <c r="AA284" s="79"/>
      <c r="AB284" s="79"/>
      <c r="AC284" s="79"/>
      <c r="AD284" s="79"/>
      <c r="AE284" s="79"/>
    </row>
    <row r="285" spans="1:31" ht="16.5" x14ac:dyDescent="0.35">
      <c r="A285" s="71">
        <v>279</v>
      </c>
      <c r="B285" s="72">
        <v>2041226099</v>
      </c>
      <c r="C285" s="80" t="s">
        <v>1079</v>
      </c>
      <c r="D285" s="81" t="s">
        <v>552</v>
      </c>
      <c r="E285" s="72" t="s">
        <v>132</v>
      </c>
      <c r="F285" s="76">
        <v>1</v>
      </c>
      <c r="G285" s="72" t="s">
        <v>925</v>
      </c>
      <c r="H285" s="78">
        <v>45559</v>
      </c>
      <c r="I285" s="72" t="s">
        <v>1299</v>
      </c>
      <c r="J285" s="72">
        <v>9</v>
      </c>
      <c r="K285" s="72"/>
      <c r="L285" s="72"/>
      <c r="M285" s="78"/>
      <c r="N285" s="72"/>
      <c r="O285" s="72"/>
      <c r="P285" s="72"/>
      <c r="Q285" s="72"/>
      <c r="R285" s="78"/>
      <c r="S285" s="72"/>
      <c r="T285" s="72"/>
      <c r="U285" s="72"/>
      <c r="V285" s="72"/>
      <c r="W285" s="72"/>
      <c r="X285" s="72"/>
      <c r="Y285" s="72"/>
      <c r="Z285" s="72"/>
      <c r="AA285" s="79"/>
      <c r="AB285" s="79"/>
      <c r="AC285" s="79"/>
      <c r="AD285" s="79"/>
      <c r="AE285" s="79"/>
    </row>
    <row r="286" spans="1:31" ht="16.5" x14ac:dyDescent="0.35">
      <c r="A286" s="71">
        <v>280</v>
      </c>
      <c r="B286" s="72">
        <v>2041226133</v>
      </c>
      <c r="C286" s="80" t="s">
        <v>134</v>
      </c>
      <c r="D286" s="81" t="s">
        <v>135</v>
      </c>
      <c r="E286" s="72" t="s">
        <v>132</v>
      </c>
      <c r="F286" s="76">
        <v>2</v>
      </c>
      <c r="G286" s="72" t="s">
        <v>1301</v>
      </c>
      <c r="H286" s="78">
        <v>45629</v>
      </c>
      <c r="I286" s="72" t="s">
        <v>1299</v>
      </c>
      <c r="J286" s="72">
        <v>9</v>
      </c>
      <c r="K286" s="72"/>
      <c r="L286" s="72" t="s">
        <v>924</v>
      </c>
      <c r="M286" s="78">
        <v>45637</v>
      </c>
      <c r="N286" s="72" t="s">
        <v>1299</v>
      </c>
      <c r="O286" s="72">
        <v>9</v>
      </c>
      <c r="P286" s="72"/>
      <c r="Q286" s="72"/>
      <c r="R286" s="78"/>
      <c r="S286" s="72"/>
      <c r="T286" s="72"/>
      <c r="U286" s="72"/>
      <c r="V286" s="72"/>
      <c r="W286" s="72"/>
      <c r="X286" s="72"/>
      <c r="Y286" s="72"/>
      <c r="Z286" s="72"/>
      <c r="AA286" s="79"/>
      <c r="AB286" s="79"/>
      <c r="AC286" s="79"/>
      <c r="AD286" s="79"/>
      <c r="AE286" s="79"/>
    </row>
    <row r="287" spans="1:31" ht="16.5" x14ac:dyDescent="0.35">
      <c r="A287" s="71">
        <v>281</v>
      </c>
      <c r="B287" s="72">
        <v>2041226111</v>
      </c>
      <c r="C287" s="80" t="s">
        <v>95</v>
      </c>
      <c r="D287" s="81" t="s">
        <v>135</v>
      </c>
      <c r="E287" s="72" t="s">
        <v>132</v>
      </c>
      <c r="F287" s="76">
        <v>2</v>
      </c>
      <c r="G287" s="72" t="s">
        <v>1300</v>
      </c>
      <c r="H287" s="78">
        <v>45742</v>
      </c>
      <c r="I287" s="72" t="s">
        <v>1299</v>
      </c>
      <c r="J287" s="72">
        <v>7.5</v>
      </c>
      <c r="K287" s="72"/>
      <c r="L287" s="72" t="s">
        <v>924</v>
      </c>
      <c r="M287" s="78">
        <v>45776</v>
      </c>
      <c r="N287" s="72" t="s">
        <v>1299</v>
      </c>
      <c r="O287" s="72">
        <v>6.5</v>
      </c>
      <c r="P287" s="72"/>
      <c r="Q287" s="72"/>
      <c r="R287" s="78"/>
      <c r="S287" s="72"/>
      <c r="T287" s="72"/>
      <c r="U287" s="72"/>
      <c r="V287" s="72"/>
      <c r="W287" s="72"/>
      <c r="X287" s="72"/>
      <c r="Y287" s="72"/>
      <c r="Z287" s="72"/>
      <c r="AA287" s="79"/>
      <c r="AB287" s="79"/>
      <c r="AC287" s="79"/>
      <c r="AD287" s="79"/>
      <c r="AE287" s="79"/>
    </row>
    <row r="288" spans="1:31" ht="16.5" x14ac:dyDescent="0.35">
      <c r="A288" s="71">
        <v>282</v>
      </c>
      <c r="B288" s="72">
        <v>2041226123</v>
      </c>
      <c r="C288" s="80" t="s">
        <v>1080</v>
      </c>
      <c r="D288" s="81" t="s">
        <v>135</v>
      </c>
      <c r="E288" s="72" t="s">
        <v>132</v>
      </c>
      <c r="F288" s="76">
        <v>2</v>
      </c>
      <c r="G288" s="72" t="s">
        <v>924</v>
      </c>
      <c r="H288" s="78">
        <v>45623</v>
      </c>
      <c r="I288" s="72" t="s">
        <v>1299</v>
      </c>
      <c r="J288" s="72">
        <v>7</v>
      </c>
      <c r="K288" s="72"/>
      <c r="L288" s="72" t="s">
        <v>1300</v>
      </c>
      <c r="M288" s="78">
        <v>45631</v>
      </c>
      <c r="N288" s="72" t="s">
        <v>1299</v>
      </c>
      <c r="O288" s="72">
        <v>7.5</v>
      </c>
      <c r="P288" s="72"/>
      <c r="Q288" s="72"/>
      <c r="R288" s="78"/>
      <c r="S288" s="72"/>
      <c r="T288" s="72"/>
      <c r="U288" s="72"/>
      <c r="V288" s="72"/>
      <c r="W288" s="72"/>
      <c r="X288" s="72"/>
      <c r="Y288" s="72"/>
      <c r="Z288" s="72"/>
      <c r="AA288" s="79"/>
      <c r="AB288" s="79"/>
      <c r="AC288" s="79"/>
      <c r="AD288" s="79"/>
      <c r="AE288" s="79"/>
    </row>
    <row r="289" spans="1:31" ht="16.5" x14ac:dyDescent="0.35">
      <c r="A289" s="71">
        <v>283</v>
      </c>
      <c r="B289" s="72">
        <v>2041220248</v>
      </c>
      <c r="C289" s="80" t="s">
        <v>95</v>
      </c>
      <c r="D289" s="81" t="s">
        <v>170</v>
      </c>
      <c r="E289" s="72" t="s">
        <v>148</v>
      </c>
      <c r="F289" s="76">
        <v>3</v>
      </c>
      <c r="G289" s="72" t="s">
        <v>1300</v>
      </c>
      <c r="H289" s="78">
        <v>45742</v>
      </c>
      <c r="I289" s="72" t="s">
        <v>1299</v>
      </c>
      <c r="J289" s="72">
        <v>9</v>
      </c>
      <c r="K289" s="72"/>
      <c r="L289" s="72" t="s">
        <v>924</v>
      </c>
      <c r="M289" s="78">
        <v>45798</v>
      </c>
      <c r="N289" s="72" t="s">
        <v>1299</v>
      </c>
      <c r="O289" s="79">
        <v>8</v>
      </c>
      <c r="P289" s="89"/>
      <c r="Q289" s="88" t="s">
        <v>1302</v>
      </c>
      <c r="R289" s="78">
        <v>45552</v>
      </c>
      <c r="S289" s="72" t="s">
        <v>1299</v>
      </c>
      <c r="T289" s="72"/>
      <c r="U289" s="72"/>
      <c r="V289" s="72"/>
      <c r="W289" s="72"/>
      <c r="X289" s="72"/>
      <c r="Y289" s="72"/>
      <c r="Z289" s="72"/>
      <c r="AA289" s="79"/>
      <c r="AB289" s="79"/>
      <c r="AC289" s="79"/>
      <c r="AD289" s="79"/>
      <c r="AE289" s="79"/>
    </row>
    <row r="290" spans="1:31" ht="16.5" x14ac:dyDescent="0.35">
      <c r="A290" s="71">
        <v>284</v>
      </c>
      <c r="B290" s="72">
        <v>2041220290</v>
      </c>
      <c r="C290" s="80" t="s">
        <v>157</v>
      </c>
      <c r="D290" s="81" t="s">
        <v>158</v>
      </c>
      <c r="E290" s="72" t="s">
        <v>148</v>
      </c>
      <c r="F290" s="76">
        <v>2</v>
      </c>
      <c r="G290" s="72" t="s">
        <v>1300</v>
      </c>
      <c r="H290" s="78">
        <v>45749</v>
      </c>
      <c r="I290" s="86" t="s">
        <v>1299</v>
      </c>
      <c r="J290" s="72">
        <v>9</v>
      </c>
      <c r="K290" s="72"/>
      <c r="L290" s="72" t="s">
        <v>1301</v>
      </c>
      <c r="M290" s="78">
        <v>45783</v>
      </c>
      <c r="N290" s="72" t="s">
        <v>1299</v>
      </c>
      <c r="O290" s="72">
        <v>9</v>
      </c>
      <c r="P290" s="72"/>
      <c r="Q290" s="72"/>
      <c r="R290" s="78"/>
      <c r="S290" s="72"/>
      <c r="T290" s="72"/>
      <c r="U290" s="72"/>
      <c r="V290" s="72"/>
      <c r="W290" s="72"/>
      <c r="X290" s="72"/>
      <c r="Y290" s="72"/>
      <c r="Z290" s="72"/>
      <c r="AA290" s="79"/>
      <c r="AB290" s="79"/>
      <c r="AC290" s="79"/>
      <c r="AD290" s="79"/>
      <c r="AE290" s="79"/>
    </row>
    <row r="291" spans="1:31" ht="16.5" x14ac:dyDescent="0.35">
      <c r="A291" s="71">
        <v>285</v>
      </c>
      <c r="B291" s="72">
        <v>2041220593</v>
      </c>
      <c r="C291" s="80" t="s">
        <v>1084</v>
      </c>
      <c r="D291" s="81" t="s">
        <v>542</v>
      </c>
      <c r="E291" s="72" t="s">
        <v>148</v>
      </c>
      <c r="F291" s="76">
        <v>0</v>
      </c>
      <c r="G291" s="72"/>
      <c r="H291" s="78"/>
      <c r="I291" s="72"/>
      <c r="J291" s="72"/>
      <c r="K291" s="72"/>
      <c r="L291" s="72"/>
      <c r="M291" s="72"/>
      <c r="N291" s="72"/>
      <c r="O291" s="72"/>
      <c r="P291" s="72"/>
      <c r="Q291" s="72"/>
      <c r="R291" s="78"/>
      <c r="S291" s="72"/>
      <c r="T291" s="72"/>
      <c r="U291" s="72"/>
      <c r="V291" s="72"/>
      <c r="W291" s="72"/>
      <c r="X291" s="72"/>
      <c r="Y291" s="72"/>
      <c r="Z291" s="72"/>
      <c r="AA291" s="79"/>
      <c r="AB291" s="79"/>
      <c r="AC291" s="79"/>
      <c r="AD291" s="79"/>
      <c r="AE291" s="79"/>
    </row>
    <row r="292" spans="1:31" ht="16.5" x14ac:dyDescent="0.35">
      <c r="A292" s="71">
        <v>286</v>
      </c>
      <c r="B292" s="72">
        <v>2041220592</v>
      </c>
      <c r="C292" s="80" t="s">
        <v>1085</v>
      </c>
      <c r="D292" s="81" t="s">
        <v>542</v>
      </c>
      <c r="E292" s="72" t="s">
        <v>148</v>
      </c>
      <c r="F292" s="76">
        <v>2</v>
      </c>
      <c r="G292" s="72" t="s">
        <v>1300</v>
      </c>
      <c r="H292" s="78">
        <v>45436</v>
      </c>
      <c r="I292" s="72" t="s">
        <v>1299</v>
      </c>
      <c r="J292" s="72">
        <v>7</v>
      </c>
      <c r="K292" s="72"/>
      <c r="L292" s="72" t="s">
        <v>924</v>
      </c>
      <c r="M292" s="78">
        <v>45803</v>
      </c>
      <c r="N292" s="72" t="s">
        <v>1299</v>
      </c>
      <c r="O292" s="72">
        <v>8</v>
      </c>
      <c r="P292" s="72"/>
      <c r="Q292" s="72"/>
      <c r="R292" s="78"/>
      <c r="S292" s="72"/>
      <c r="T292" s="72"/>
      <c r="U292" s="72"/>
      <c r="V292" s="72"/>
      <c r="W292" s="72"/>
      <c r="X292" s="72"/>
      <c r="Y292" s="72"/>
      <c r="Z292" s="72"/>
      <c r="AA292" s="79"/>
      <c r="AB292" s="79"/>
      <c r="AC292" s="79"/>
      <c r="AD292" s="79"/>
      <c r="AE292" s="79"/>
    </row>
    <row r="293" spans="1:31" ht="16.5" x14ac:dyDescent="0.35">
      <c r="A293" s="71">
        <v>287</v>
      </c>
      <c r="B293" s="72">
        <v>2041220760</v>
      </c>
      <c r="C293" s="80" t="s">
        <v>1087</v>
      </c>
      <c r="D293" s="81" t="s">
        <v>84</v>
      </c>
      <c r="E293" s="72" t="s">
        <v>148</v>
      </c>
      <c r="F293" s="76">
        <v>2</v>
      </c>
      <c r="G293" s="72" t="s">
        <v>924</v>
      </c>
      <c r="H293" s="78">
        <v>45629</v>
      </c>
      <c r="I293" s="72" t="s">
        <v>1299</v>
      </c>
      <c r="J293" s="72">
        <v>7.5</v>
      </c>
      <c r="K293" s="72"/>
      <c r="L293" s="72" t="s">
        <v>925</v>
      </c>
      <c r="M293" s="78">
        <v>45636</v>
      </c>
      <c r="N293" s="72" t="s">
        <v>1299</v>
      </c>
      <c r="O293" s="72">
        <v>7</v>
      </c>
      <c r="P293" s="72"/>
      <c r="Q293" s="72"/>
      <c r="R293" s="78"/>
      <c r="S293" s="72"/>
      <c r="T293" s="72"/>
      <c r="U293" s="72"/>
      <c r="V293" s="72"/>
      <c r="W293" s="72"/>
      <c r="X293" s="72"/>
      <c r="Y293" s="72"/>
      <c r="Z293" s="72"/>
      <c r="AA293" s="79"/>
      <c r="AB293" s="79"/>
      <c r="AC293" s="79"/>
      <c r="AD293" s="79"/>
      <c r="AE293" s="79"/>
    </row>
    <row r="294" spans="1:31" ht="16.5" x14ac:dyDescent="0.35">
      <c r="A294" s="71">
        <v>288</v>
      </c>
      <c r="B294" s="72">
        <v>2041220829</v>
      </c>
      <c r="C294" s="80" t="s">
        <v>1086</v>
      </c>
      <c r="D294" s="81" t="s">
        <v>271</v>
      </c>
      <c r="E294" s="72" t="s">
        <v>148</v>
      </c>
      <c r="F294" s="76">
        <v>2</v>
      </c>
      <c r="G294" s="72" t="s">
        <v>924</v>
      </c>
      <c r="H294" s="78">
        <v>45621</v>
      </c>
      <c r="I294" s="72" t="s">
        <v>1299</v>
      </c>
      <c r="J294" s="72">
        <v>8.5</v>
      </c>
      <c r="K294" s="72"/>
      <c r="L294" s="88" t="s">
        <v>1302</v>
      </c>
      <c r="M294" s="78">
        <v>45552</v>
      </c>
      <c r="N294" s="72" t="s">
        <v>1299</v>
      </c>
      <c r="O294" s="72"/>
      <c r="P294" s="72"/>
      <c r="Q294" s="72"/>
      <c r="R294" s="78"/>
      <c r="S294" s="72"/>
      <c r="T294" s="72"/>
      <c r="U294" s="72"/>
      <c r="V294" s="72"/>
      <c r="W294" s="72"/>
      <c r="X294" s="72"/>
      <c r="Y294" s="72"/>
      <c r="Z294" s="72"/>
      <c r="AA294" s="79"/>
      <c r="AB294" s="79"/>
      <c r="AC294" s="79"/>
      <c r="AD294" s="79"/>
      <c r="AE294" s="79"/>
    </row>
    <row r="295" spans="1:31" ht="16.5" x14ac:dyDescent="0.35">
      <c r="A295" s="71">
        <v>289</v>
      </c>
      <c r="B295" s="72">
        <v>2041220863</v>
      </c>
      <c r="C295" s="80" t="s">
        <v>176</v>
      </c>
      <c r="D295" s="81" t="s">
        <v>34</v>
      </c>
      <c r="E295" s="72" t="s">
        <v>148</v>
      </c>
      <c r="F295" s="76">
        <v>3</v>
      </c>
      <c r="G295" s="72" t="s">
        <v>924</v>
      </c>
      <c r="H295" s="78">
        <v>45798</v>
      </c>
      <c r="I295" s="72" t="s">
        <v>1299</v>
      </c>
      <c r="J295" s="72">
        <v>8.5</v>
      </c>
      <c r="K295" s="72"/>
      <c r="L295" s="79" t="s">
        <v>928</v>
      </c>
      <c r="M295" s="83">
        <v>45799</v>
      </c>
      <c r="N295" s="79" t="s">
        <v>1299</v>
      </c>
      <c r="O295" s="72">
        <v>9</v>
      </c>
      <c r="P295" s="72"/>
      <c r="Q295" s="88" t="s">
        <v>1302</v>
      </c>
      <c r="R295" s="78">
        <v>45552</v>
      </c>
      <c r="S295" s="72" t="s">
        <v>1299</v>
      </c>
      <c r="T295" s="72"/>
      <c r="U295" s="72"/>
      <c r="V295" s="72"/>
      <c r="W295" s="72"/>
      <c r="X295" s="72"/>
      <c r="Y295" s="72"/>
      <c r="Z295" s="72"/>
      <c r="AA295" s="79"/>
      <c r="AB295" s="79"/>
      <c r="AC295" s="79"/>
      <c r="AD295" s="79"/>
      <c r="AE295" s="79"/>
    </row>
    <row r="296" spans="1:31" ht="16.5" x14ac:dyDescent="0.35">
      <c r="A296" s="71">
        <v>290</v>
      </c>
      <c r="B296" s="72">
        <v>2041220954</v>
      </c>
      <c r="C296" s="80" t="s">
        <v>1082</v>
      </c>
      <c r="D296" s="81" t="s">
        <v>446</v>
      </c>
      <c r="E296" s="72" t="s">
        <v>148</v>
      </c>
      <c r="F296" s="76">
        <v>0</v>
      </c>
      <c r="G296" s="72"/>
      <c r="H296" s="78"/>
      <c r="I296" s="72"/>
      <c r="J296" s="72"/>
      <c r="K296" s="72"/>
      <c r="L296" s="72"/>
      <c r="M296" s="78"/>
      <c r="N296" s="72"/>
      <c r="O296" s="72"/>
      <c r="P296" s="72"/>
      <c r="Q296" s="72"/>
      <c r="R296" s="78"/>
      <c r="S296" s="72"/>
      <c r="T296" s="72"/>
      <c r="U296" s="72"/>
      <c r="V296" s="72"/>
      <c r="W296" s="72"/>
      <c r="X296" s="72"/>
      <c r="Y296" s="72"/>
      <c r="Z296" s="72"/>
      <c r="AA296" s="79"/>
      <c r="AB296" s="79"/>
      <c r="AC296" s="79"/>
      <c r="AD296" s="79"/>
      <c r="AE296" s="79"/>
    </row>
    <row r="297" spans="1:31" ht="16.5" x14ac:dyDescent="0.35">
      <c r="A297" s="71">
        <v>291</v>
      </c>
      <c r="B297" s="72">
        <v>2041221287</v>
      </c>
      <c r="C297" s="80" t="s">
        <v>171</v>
      </c>
      <c r="D297" s="81" t="s">
        <v>172</v>
      </c>
      <c r="E297" s="72" t="s">
        <v>148</v>
      </c>
      <c r="F297" s="76">
        <v>2</v>
      </c>
      <c r="G297" s="72" t="s">
        <v>1300</v>
      </c>
      <c r="H297" s="78">
        <v>45742</v>
      </c>
      <c r="I297" s="72" t="s">
        <v>1299</v>
      </c>
      <c r="J297" s="72">
        <v>9.5</v>
      </c>
      <c r="K297" s="72"/>
      <c r="L297" s="72" t="s">
        <v>924</v>
      </c>
      <c r="M297" s="78">
        <v>45803</v>
      </c>
      <c r="N297" s="72" t="s">
        <v>1299</v>
      </c>
      <c r="O297" s="72">
        <v>7.5</v>
      </c>
      <c r="P297" s="72"/>
      <c r="Q297" s="72"/>
      <c r="R297" s="78"/>
      <c r="S297" s="72"/>
      <c r="T297" s="72"/>
      <c r="U297" s="72"/>
      <c r="V297" s="72"/>
      <c r="W297" s="72"/>
      <c r="X297" s="72"/>
      <c r="Y297" s="72"/>
      <c r="Z297" s="72"/>
      <c r="AA297" s="79"/>
      <c r="AB297" s="79"/>
      <c r="AC297" s="79"/>
      <c r="AD297" s="79"/>
      <c r="AE297" s="79"/>
    </row>
    <row r="298" spans="1:31" ht="16.5" x14ac:dyDescent="0.35">
      <c r="A298" s="71">
        <v>292</v>
      </c>
      <c r="B298" s="72">
        <v>2041221401</v>
      </c>
      <c r="C298" s="80" t="s">
        <v>1089</v>
      </c>
      <c r="D298" s="81" t="s">
        <v>88</v>
      </c>
      <c r="E298" s="72" t="s">
        <v>148</v>
      </c>
      <c r="F298" s="76">
        <v>2</v>
      </c>
      <c r="G298" s="72" t="s">
        <v>1301</v>
      </c>
      <c r="H298" s="78">
        <v>45630</v>
      </c>
      <c r="I298" s="72" t="s">
        <v>1299</v>
      </c>
      <c r="J298" s="72">
        <v>7.5</v>
      </c>
      <c r="K298" s="72"/>
      <c r="L298" s="72" t="s">
        <v>925</v>
      </c>
      <c r="M298" s="78">
        <v>45636</v>
      </c>
      <c r="N298" s="72" t="s">
        <v>1299</v>
      </c>
      <c r="O298" s="72">
        <v>8</v>
      </c>
      <c r="P298" s="72"/>
      <c r="Q298" s="72"/>
      <c r="R298" s="78"/>
      <c r="S298" s="72"/>
      <c r="T298" s="72"/>
      <c r="U298" s="72"/>
      <c r="V298" s="72"/>
      <c r="W298" s="72"/>
      <c r="X298" s="72"/>
      <c r="Y298" s="72"/>
      <c r="Z298" s="72"/>
      <c r="AA298" s="79"/>
      <c r="AB298" s="79"/>
      <c r="AC298" s="79"/>
      <c r="AD298" s="79"/>
      <c r="AE298" s="79"/>
    </row>
    <row r="299" spans="1:31" ht="16.5" x14ac:dyDescent="0.35">
      <c r="A299" s="71">
        <v>293</v>
      </c>
      <c r="B299" s="72">
        <v>2041221454</v>
      </c>
      <c r="C299" s="80" t="s">
        <v>149</v>
      </c>
      <c r="D299" s="81" t="s">
        <v>90</v>
      </c>
      <c r="E299" s="72" t="s">
        <v>148</v>
      </c>
      <c r="F299" s="76">
        <v>3</v>
      </c>
      <c r="G299" s="72" t="s">
        <v>1301</v>
      </c>
      <c r="H299" s="78">
        <v>45757</v>
      </c>
      <c r="I299" s="72" t="s">
        <v>1299</v>
      </c>
      <c r="J299" s="72">
        <v>7.5</v>
      </c>
      <c r="K299" s="72"/>
      <c r="L299" s="72" t="s">
        <v>924</v>
      </c>
      <c r="M299" s="78">
        <v>45803</v>
      </c>
      <c r="N299" s="72" t="s">
        <v>1299</v>
      </c>
      <c r="O299" s="72">
        <v>8</v>
      </c>
      <c r="P299" s="72"/>
      <c r="Q299" s="72" t="s">
        <v>1300</v>
      </c>
      <c r="R299" s="78">
        <v>45422</v>
      </c>
      <c r="S299" s="72" t="s">
        <v>1299</v>
      </c>
      <c r="T299" s="72">
        <v>4</v>
      </c>
      <c r="U299" s="72"/>
      <c r="V299" s="72"/>
      <c r="W299" s="78"/>
      <c r="X299" s="72"/>
      <c r="Y299" s="72"/>
      <c r="Z299" s="72"/>
      <c r="AA299" s="79"/>
      <c r="AB299" s="79"/>
      <c r="AC299" s="79"/>
      <c r="AD299" s="79"/>
      <c r="AE299" s="79"/>
    </row>
    <row r="300" spans="1:31" ht="16.5" x14ac:dyDescent="0.35">
      <c r="A300" s="71">
        <v>294</v>
      </c>
      <c r="B300" s="72">
        <v>2041221464</v>
      </c>
      <c r="C300" s="80" t="s">
        <v>191</v>
      </c>
      <c r="D300" s="81" t="s">
        <v>192</v>
      </c>
      <c r="E300" s="72" t="s">
        <v>148</v>
      </c>
      <c r="F300" s="76">
        <v>2</v>
      </c>
      <c r="G300" s="72" t="s">
        <v>1301</v>
      </c>
      <c r="H300" s="78">
        <v>45785</v>
      </c>
      <c r="I300" s="72" t="s">
        <v>1299</v>
      </c>
      <c r="J300" s="72">
        <v>9</v>
      </c>
      <c r="K300" s="72"/>
      <c r="L300" s="72" t="s">
        <v>1300</v>
      </c>
      <c r="M300" s="78">
        <v>45784</v>
      </c>
      <c r="N300" s="72" t="s">
        <v>1299</v>
      </c>
      <c r="O300" s="72">
        <v>9.5</v>
      </c>
      <c r="P300" s="72"/>
      <c r="Q300" s="72"/>
      <c r="R300" s="78"/>
      <c r="S300" s="72"/>
      <c r="T300" s="72"/>
      <c r="U300" s="72"/>
      <c r="V300" s="72"/>
      <c r="W300" s="72"/>
      <c r="X300" s="72"/>
      <c r="Y300" s="72"/>
      <c r="Z300" s="72"/>
      <c r="AA300" s="79"/>
      <c r="AB300" s="79"/>
      <c r="AC300" s="79"/>
      <c r="AD300" s="79"/>
      <c r="AE300" s="79"/>
    </row>
    <row r="301" spans="1:31" ht="16.5" x14ac:dyDescent="0.35">
      <c r="A301" s="71">
        <v>295</v>
      </c>
      <c r="B301" s="72">
        <v>2041221593</v>
      </c>
      <c r="C301" s="80" t="s">
        <v>121</v>
      </c>
      <c r="D301" s="81" t="s">
        <v>120</v>
      </c>
      <c r="E301" s="72" t="s">
        <v>148</v>
      </c>
      <c r="F301" s="76">
        <v>2</v>
      </c>
      <c r="G301" s="72" t="s">
        <v>1300</v>
      </c>
      <c r="H301" s="78">
        <v>45784</v>
      </c>
      <c r="I301" s="72" t="s">
        <v>1299</v>
      </c>
      <c r="J301" s="72">
        <v>10</v>
      </c>
      <c r="K301" s="72"/>
      <c r="L301" s="72" t="s">
        <v>924</v>
      </c>
      <c r="M301" s="78">
        <v>45803</v>
      </c>
      <c r="N301" s="72" t="s">
        <v>1299</v>
      </c>
      <c r="O301" s="72">
        <v>9.5</v>
      </c>
      <c r="P301" s="72"/>
      <c r="Q301" s="72"/>
      <c r="R301" s="78" t="s">
        <v>1290</v>
      </c>
      <c r="S301" s="72" t="s">
        <v>1290</v>
      </c>
      <c r="T301" s="72" t="s">
        <v>1290</v>
      </c>
      <c r="U301" s="72" t="s">
        <v>1290</v>
      </c>
      <c r="V301" s="72" t="s">
        <v>1290</v>
      </c>
      <c r="W301" s="78" t="s">
        <v>1290</v>
      </c>
      <c r="X301" s="72" t="s">
        <v>1290</v>
      </c>
      <c r="Y301" s="72" t="s">
        <v>1290</v>
      </c>
      <c r="Z301" s="72" t="s">
        <v>1290</v>
      </c>
      <c r="AA301" s="79"/>
      <c r="AB301" s="79"/>
      <c r="AC301" s="79"/>
      <c r="AD301" s="79"/>
      <c r="AE301" s="79"/>
    </row>
    <row r="302" spans="1:31" ht="16.5" x14ac:dyDescent="0.35">
      <c r="A302" s="71">
        <v>296</v>
      </c>
      <c r="B302" s="72">
        <v>2041221730</v>
      </c>
      <c r="C302" s="80" t="s">
        <v>1092</v>
      </c>
      <c r="D302" s="81" t="s">
        <v>43</v>
      </c>
      <c r="E302" s="72" t="s">
        <v>148</v>
      </c>
      <c r="F302" s="76">
        <v>3</v>
      </c>
      <c r="G302" s="72" t="s">
        <v>924</v>
      </c>
      <c r="H302" s="78">
        <v>45621</v>
      </c>
      <c r="I302" s="72" t="s">
        <v>1299</v>
      </c>
      <c r="J302" s="72">
        <v>8</v>
      </c>
      <c r="K302" s="72"/>
      <c r="L302" s="72" t="s">
        <v>1301</v>
      </c>
      <c r="M302" s="78">
        <v>45629</v>
      </c>
      <c r="N302" s="72" t="s">
        <v>1299</v>
      </c>
      <c r="O302" s="72">
        <v>7</v>
      </c>
      <c r="P302" s="72"/>
      <c r="Q302" s="72" t="s">
        <v>1301</v>
      </c>
      <c r="R302" s="78">
        <v>45630</v>
      </c>
      <c r="S302" s="72" t="s">
        <v>1299</v>
      </c>
      <c r="T302" s="72">
        <v>7</v>
      </c>
      <c r="U302" s="72"/>
      <c r="V302" s="72"/>
      <c r="W302" s="72"/>
      <c r="X302" s="72"/>
      <c r="Y302" s="72"/>
      <c r="Z302" s="72"/>
      <c r="AA302" s="79"/>
      <c r="AB302" s="79"/>
      <c r="AC302" s="79"/>
      <c r="AD302" s="79"/>
      <c r="AE302" s="79"/>
    </row>
    <row r="303" spans="1:31" ht="16.5" x14ac:dyDescent="0.35">
      <c r="A303" s="71">
        <v>297</v>
      </c>
      <c r="B303" s="72">
        <v>2041221821</v>
      </c>
      <c r="C303" s="80" t="s">
        <v>137</v>
      </c>
      <c r="D303" s="81" t="s">
        <v>173</v>
      </c>
      <c r="E303" s="72" t="s">
        <v>148</v>
      </c>
      <c r="F303" s="76">
        <v>3</v>
      </c>
      <c r="G303" s="72" t="s">
        <v>925</v>
      </c>
      <c r="H303" s="78">
        <v>45559</v>
      </c>
      <c r="I303" s="72" t="s">
        <v>1299</v>
      </c>
      <c r="J303" s="72">
        <v>8</v>
      </c>
      <c r="K303" s="72"/>
      <c r="L303" s="72" t="s">
        <v>1300</v>
      </c>
      <c r="M303" s="78">
        <v>45455</v>
      </c>
      <c r="N303" s="72" t="s">
        <v>1299</v>
      </c>
      <c r="O303" s="72">
        <v>6.5</v>
      </c>
      <c r="P303" s="72"/>
      <c r="Q303" s="88" t="s">
        <v>1302</v>
      </c>
      <c r="R303" s="78">
        <v>45552</v>
      </c>
      <c r="S303" s="72" t="s">
        <v>1299</v>
      </c>
      <c r="T303" s="72"/>
      <c r="U303" s="72"/>
      <c r="V303" s="72"/>
      <c r="W303" s="72"/>
      <c r="X303" s="72"/>
      <c r="Y303" s="72"/>
      <c r="Z303" s="72"/>
      <c r="AA303" s="79"/>
      <c r="AB303" s="79"/>
      <c r="AC303" s="79"/>
      <c r="AD303" s="79"/>
      <c r="AE303" s="79"/>
    </row>
    <row r="304" spans="1:31" ht="16.5" x14ac:dyDescent="0.35">
      <c r="A304" s="71">
        <v>298</v>
      </c>
      <c r="B304" s="72">
        <v>2041221845</v>
      </c>
      <c r="C304" s="80" t="s">
        <v>727</v>
      </c>
      <c r="D304" s="81" t="s">
        <v>173</v>
      </c>
      <c r="E304" s="72" t="s">
        <v>148</v>
      </c>
      <c r="F304" s="76">
        <v>2</v>
      </c>
      <c r="G304" s="72" t="s">
        <v>924</v>
      </c>
      <c r="H304" s="78">
        <v>45621</v>
      </c>
      <c r="I304" s="72" t="s">
        <v>1299</v>
      </c>
      <c r="J304" s="72">
        <v>7</v>
      </c>
      <c r="K304" s="72"/>
      <c r="L304" s="72" t="s">
        <v>1300</v>
      </c>
      <c r="M304" s="78">
        <v>45631</v>
      </c>
      <c r="N304" s="72" t="s">
        <v>1299</v>
      </c>
      <c r="O304" s="72">
        <v>6</v>
      </c>
      <c r="P304" s="72"/>
      <c r="Q304" s="72"/>
      <c r="R304" s="78"/>
      <c r="S304" s="72"/>
      <c r="T304" s="72"/>
      <c r="U304" s="72"/>
      <c r="V304" s="72"/>
      <c r="W304" s="72"/>
      <c r="X304" s="72"/>
      <c r="Y304" s="72"/>
      <c r="Z304" s="72"/>
      <c r="AA304" s="79"/>
      <c r="AB304" s="79"/>
      <c r="AC304" s="79"/>
      <c r="AD304" s="79"/>
      <c r="AE304" s="79"/>
    </row>
    <row r="305" spans="1:31" ht="16.5" x14ac:dyDescent="0.35">
      <c r="A305" s="71">
        <v>299</v>
      </c>
      <c r="B305" s="72">
        <v>2041222302</v>
      </c>
      <c r="C305" s="80" t="s">
        <v>513</v>
      </c>
      <c r="D305" s="81" t="s">
        <v>29</v>
      </c>
      <c r="E305" s="72" t="s">
        <v>148</v>
      </c>
      <c r="F305" s="76">
        <v>2</v>
      </c>
      <c r="G305" s="72" t="s">
        <v>924</v>
      </c>
      <c r="H305" s="78">
        <v>45621</v>
      </c>
      <c r="I305" s="72" t="s">
        <v>1299</v>
      </c>
      <c r="J305" s="72">
        <v>8.5</v>
      </c>
      <c r="K305" s="72"/>
      <c r="L305" s="88" t="s">
        <v>1302</v>
      </c>
      <c r="M305" s="78">
        <v>45552</v>
      </c>
      <c r="N305" s="72" t="s">
        <v>1299</v>
      </c>
      <c r="O305" s="72"/>
      <c r="P305" s="72"/>
      <c r="Q305" s="72"/>
      <c r="R305" s="78"/>
      <c r="S305" s="72"/>
      <c r="T305" s="72"/>
      <c r="U305" s="72"/>
      <c r="V305" s="72"/>
      <c r="W305" s="72"/>
      <c r="X305" s="72"/>
      <c r="Y305" s="72"/>
      <c r="Z305" s="72"/>
      <c r="AA305" s="79"/>
      <c r="AB305" s="79"/>
      <c r="AC305" s="79"/>
      <c r="AD305" s="79"/>
      <c r="AE305" s="79"/>
    </row>
    <row r="306" spans="1:31" ht="16.5" x14ac:dyDescent="0.35">
      <c r="A306" s="71">
        <v>300</v>
      </c>
      <c r="B306" s="72">
        <v>2041222309</v>
      </c>
      <c r="C306" s="80" t="s">
        <v>178</v>
      </c>
      <c r="D306" s="81" t="s">
        <v>29</v>
      </c>
      <c r="E306" s="72" t="s">
        <v>148</v>
      </c>
      <c r="F306" s="76">
        <v>2</v>
      </c>
      <c r="G306" s="72" t="s">
        <v>1300</v>
      </c>
      <c r="H306" s="78">
        <v>45784</v>
      </c>
      <c r="I306" s="72" t="s">
        <v>1299</v>
      </c>
      <c r="J306" s="72">
        <v>10</v>
      </c>
      <c r="K306" s="72"/>
      <c r="L306" s="72" t="s">
        <v>1301</v>
      </c>
      <c r="M306" s="78">
        <v>45783</v>
      </c>
      <c r="N306" s="72" t="s">
        <v>1299</v>
      </c>
      <c r="O306" s="72">
        <v>4.5</v>
      </c>
      <c r="P306" s="72"/>
      <c r="Q306" s="72"/>
      <c r="R306" s="78"/>
      <c r="S306" s="72"/>
      <c r="T306" s="72"/>
      <c r="U306" s="72"/>
      <c r="V306" s="72"/>
      <c r="W306" s="72"/>
      <c r="X306" s="72"/>
      <c r="Y306" s="72"/>
      <c r="Z306" s="72"/>
      <c r="AA306" s="79"/>
      <c r="AB306" s="79"/>
      <c r="AC306" s="79"/>
      <c r="AD306" s="79"/>
      <c r="AE306" s="79"/>
    </row>
    <row r="307" spans="1:31" ht="16.5" x14ac:dyDescent="0.35">
      <c r="A307" s="71">
        <v>301</v>
      </c>
      <c r="B307" s="72">
        <v>2041222515</v>
      </c>
      <c r="C307" s="80" t="s">
        <v>174</v>
      </c>
      <c r="D307" s="81" t="s">
        <v>175</v>
      </c>
      <c r="E307" s="72" t="s">
        <v>148</v>
      </c>
      <c r="F307" s="76">
        <v>2</v>
      </c>
      <c r="G307" s="72" t="s">
        <v>1300</v>
      </c>
      <c r="H307" s="78">
        <v>45742</v>
      </c>
      <c r="I307" s="72" t="s">
        <v>1299</v>
      </c>
      <c r="J307" s="72">
        <v>8</v>
      </c>
      <c r="K307" s="72"/>
      <c r="L307" s="72" t="s">
        <v>924</v>
      </c>
      <c r="M307" s="78">
        <v>45803</v>
      </c>
      <c r="N307" s="72" t="s">
        <v>1299</v>
      </c>
      <c r="O307" s="72">
        <v>8</v>
      </c>
      <c r="P307" s="72"/>
      <c r="Q307" s="72"/>
      <c r="R307" s="78"/>
      <c r="S307" s="72"/>
      <c r="T307" s="72"/>
      <c r="U307" s="72"/>
      <c r="V307" s="72"/>
      <c r="W307" s="72"/>
      <c r="X307" s="72"/>
      <c r="Y307" s="72"/>
      <c r="Z307" s="72"/>
      <c r="AA307" s="79"/>
      <c r="AB307" s="79"/>
      <c r="AC307" s="79"/>
      <c r="AD307" s="79"/>
      <c r="AE307" s="79"/>
    </row>
    <row r="308" spans="1:31" ht="16.5" x14ac:dyDescent="0.35">
      <c r="A308" s="71">
        <v>302</v>
      </c>
      <c r="B308" s="72">
        <v>2041222688</v>
      </c>
      <c r="C308" s="80" t="s">
        <v>1093</v>
      </c>
      <c r="D308" s="81" t="s">
        <v>91</v>
      </c>
      <c r="E308" s="72" t="s">
        <v>148</v>
      </c>
      <c r="F308" s="76">
        <v>3</v>
      </c>
      <c r="G308" s="72" t="s">
        <v>1300</v>
      </c>
      <c r="H308" s="78">
        <v>45436</v>
      </c>
      <c r="I308" s="72" t="s">
        <v>1299</v>
      </c>
      <c r="J308" s="72">
        <v>6.5</v>
      </c>
      <c r="K308" s="72"/>
      <c r="L308" s="72" t="s">
        <v>924</v>
      </c>
      <c r="M308" s="78">
        <v>45621</v>
      </c>
      <c r="N308" s="72" t="s">
        <v>1299</v>
      </c>
      <c r="O308" s="72">
        <v>8</v>
      </c>
      <c r="P308" s="72"/>
      <c r="Q308" s="72" t="s">
        <v>1300</v>
      </c>
      <c r="R308" s="78">
        <v>45644</v>
      </c>
      <c r="S308" s="72" t="s">
        <v>1299</v>
      </c>
      <c r="T308" s="72">
        <v>10</v>
      </c>
      <c r="U308" s="72"/>
      <c r="V308" s="72"/>
      <c r="W308" s="72"/>
      <c r="X308" s="72"/>
      <c r="Y308" s="72"/>
      <c r="Z308" s="72"/>
      <c r="AA308" s="79"/>
      <c r="AB308" s="79"/>
      <c r="AC308" s="79"/>
      <c r="AD308" s="79"/>
      <c r="AE308" s="79"/>
    </row>
    <row r="309" spans="1:31" ht="16.5" x14ac:dyDescent="0.35">
      <c r="A309" s="71">
        <v>303</v>
      </c>
      <c r="B309" s="72">
        <v>2041222734</v>
      </c>
      <c r="C309" s="80" t="s">
        <v>1094</v>
      </c>
      <c r="D309" s="81" t="s">
        <v>905</v>
      </c>
      <c r="E309" s="72" t="s">
        <v>148</v>
      </c>
      <c r="F309" s="76">
        <v>3</v>
      </c>
      <c r="G309" s="72" t="s">
        <v>925</v>
      </c>
      <c r="H309" s="78">
        <v>45398</v>
      </c>
      <c r="I309" s="72" t="s">
        <v>1299</v>
      </c>
      <c r="J309" s="72">
        <v>5.5</v>
      </c>
      <c r="K309" s="72"/>
      <c r="L309" s="72" t="s">
        <v>1301</v>
      </c>
      <c r="M309" s="78">
        <v>45629</v>
      </c>
      <c r="N309" s="72" t="s">
        <v>1299</v>
      </c>
      <c r="O309" s="72">
        <v>8.5</v>
      </c>
      <c r="P309" s="72"/>
      <c r="Q309" s="88" t="s">
        <v>1302</v>
      </c>
      <c r="R309" s="78">
        <v>45552</v>
      </c>
      <c r="S309" s="72" t="s">
        <v>1299</v>
      </c>
      <c r="T309" s="72"/>
      <c r="U309" s="72"/>
      <c r="V309" s="72"/>
      <c r="W309" s="72"/>
      <c r="X309" s="72"/>
      <c r="Y309" s="72"/>
      <c r="Z309" s="72"/>
      <c r="AA309" s="79"/>
      <c r="AB309" s="79"/>
      <c r="AC309" s="79"/>
      <c r="AD309" s="79"/>
      <c r="AE309" s="79"/>
    </row>
    <row r="310" spans="1:31" ht="16.5" x14ac:dyDescent="0.35">
      <c r="A310" s="71">
        <v>304</v>
      </c>
      <c r="B310" s="72">
        <v>2041222755</v>
      </c>
      <c r="C310" s="80" t="s">
        <v>151</v>
      </c>
      <c r="D310" s="81" t="s">
        <v>152</v>
      </c>
      <c r="E310" s="72" t="s">
        <v>148</v>
      </c>
      <c r="F310" s="76">
        <v>4</v>
      </c>
      <c r="G310" s="72" t="s">
        <v>925</v>
      </c>
      <c r="H310" s="78">
        <v>45433</v>
      </c>
      <c r="I310" s="72" t="s">
        <v>1299</v>
      </c>
      <c r="J310" s="72">
        <v>7</v>
      </c>
      <c r="K310" s="72"/>
      <c r="L310" s="72" t="s">
        <v>1300</v>
      </c>
      <c r="M310" s="78">
        <v>45742</v>
      </c>
      <c r="N310" s="72" t="s">
        <v>1299</v>
      </c>
      <c r="O310" s="72">
        <v>9</v>
      </c>
      <c r="P310" s="72"/>
      <c r="Q310" s="72" t="s">
        <v>1301</v>
      </c>
      <c r="R310" s="78">
        <v>45785</v>
      </c>
      <c r="S310" s="72" t="s">
        <v>1299</v>
      </c>
      <c r="T310" s="72">
        <v>8</v>
      </c>
      <c r="U310" s="72"/>
      <c r="V310" s="72" t="s">
        <v>1300</v>
      </c>
      <c r="W310" s="78">
        <v>45422</v>
      </c>
      <c r="X310" s="72" t="s">
        <v>1299</v>
      </c>
      <c r="Y310" s="72"/>
      <c r="Z310" s="72"/>
      <c r="AA310" s="79"/>
      <c r="AB310" s="79"/>
      <c r="AC310" s="79"/>
      <c r="AD310" s="79"/>
      <c r="AE310" s="79"/>
    </row>
    <row r="311" spans="1:31" ht="16.5" x14ac:dyDescent="0.35">
      <c r="A311" s="71">
        <v>305</v>
      </c>
      <c r="B311" s="72">
        <v>2041222804</v>
      </c>
      <c r="C311" s="80" t="s">
        <v>1098</v>
      </c>
      <c r="D311" s="81" t="s">
        <v>1099</v>
      </c>
      <c r="E311" s="72" t="s">
        <v>148</v>
      </c>
      <c r="F311" s="76">
        <v>0</v>
      </c>
      <c r="G311" s="72"/>
      <c r="H311" s="78"/>
      <c r="I311" s="72"/>
      <c r="J311" s="72"/>
      <c r="K311" s="72"/>
      <c r="L311" s="72"/>
      <c r="M311" s="78"/>
      <c r="N311" s="72"/>
      <c r="O311" s="72"/>
      <c r="P311" s="72"/>
      <c r="Q311" s="72"/>
      <c r="R311" s="78"/>
      <c r="S311" s="72"/>
      <c r="T311" s="72"/>
      <c r="U311" s="72"/>
      <c r="V311" s="72"/>
      <c r="W311" s="72"/>
      <c r="X311" s="72"/>
      <c r="Y311" s="72"/>
      <c r="Z311" s="72"/>
      <c r="AA311" s="79"/>
      <c r="AB311" s="79"/>
      <c r="AC311" s="79"/>
      <c r="AD311" s="79"/>
      <c r="AE311" s="79"/>
    </row>
    <row r="312" spans="1:31" ht="16.5" x14ac:dyDescent="0.35">
      <c r="A312" s="71">
        <v>306</v>
      </c>
      <c r="B312" s="72">
        <v>2041222814</v>
      </c>
      <c r="C312" s="80" t="s">
        <v>162</v>
      </c>
      <c r="D312" s="81" t="s">
        <v>163</v>
      </c>
      <c r="E312" s="72" t="s">
        <v>148</v>
      </c>
      <c r="F312" s="76">
        <v>2</v>
      </c>
      <c r="G312" s="72" t="s">
        <v>1301</v>
      </c>
      <c r="H312" s="78">
        <v>45783</v>
      </c>
      <c r="I312" s="72" t="s">
        <v>1299</v>
      </c>
      <c r="J312" s="72">
        <v>7.5</v>
      </c>
      <c r="K312" s="72"/>
      <c r="L312" s="72" t="s">
        <v>1300</v>
      </c>
      <c r="M312" s="78">
        <v>45791</v>
      </c>
      <c r="N312" s="72" t="s">
        <v>1299</v>
      </c>
      <c r="O312" s="72">
        <v>7.5</v>
      </c>
      <c r="P312" s="72">
        <v>0.5</v>
      </c>
      <c r="Q312" s="72"/>
      <c r="R312" s="78"/>
      <c r="S312" s="72"/>
      <c r="T312" s="72"/>
      <c r="U312" s="72"/>
      <c r="V312" s="72"/>
      <c r="W312" s="72"/>
      <c r="X312" s="72"/>
      <c r="Y312" s="72"/>
      <c r="Z312" s="72"/>
      <c r="AA312" s="79"/>
      <c r="AB312" s="79"/>
      <c r="AC312" s="79"/>
      <c r="AD312" s="79"/>
      <c r="AE312" s="79"/>
    </row>
    <row r="313" spans="1:31" ht="16.5" x14ac:dyDescent="0.35">
      <c r="A313" s="71">
        <v>307</v>
      </c>
      <c r="B313" s="72">
        <v>2041222836</v>
      </c>
      <c r="C313" s="80" t="s">
        <v>1095</v>
      </c>
      <c r="D313" s="81" t="s">
        <v>362</v>
      </c>
      <c r="E313" s="72" t="s">
        <v>148</v>
      </c>
      <c r="F313" s="76">
        <v>2</v>
      </c>
      <c r="G313" s="72" t="s">
        <v>924</v>
      </c>
      <c r="H313" s="78">
        <v>45623</v>
      </c>
      <c r="I313" s="72" t="s">
        <v>1299</v>
      </c>
      <c r="J313" s="72">
        <v>6.5</v>
      </c>
      <c r="K313" s="72"/>
      <c r="L313" s="72" t="s">
        <v>1300</v>
      </c>
      <c r="M313" s="78">
        <v>45644</v>
      </c>
      <c r="N313" s="72" t="s">
        <v>1299</v>
      </c>
      <c r="O313" s="72">
        <v>8.5</v>
      </c>
      <c r="P313" s="72"/>
      <c r="Q313" s="72"/>
      <c r="R313" s="78"/>
      <c r="S313" s="72"/>
      <c r="T313" s="72"/>
      <c r="U313" s="72"/>
      <c r="V313" s="72"/>
      <c r="W313" s="72"/>
      <c r="X313" s="72"/>
      <c r="Y313" s="72"/>
      <c r="Z313" s="72"/>
      <c r="AA313" s="79"/>
      <c r="AB313" s="79"/>
      <c r="AC313" s="79"/>
      <c r="AD313" s="79"/>
      <c r="AE313" s="79"/>
    </row>
    <row r="314" spans="1:31" ht="16.5" x14ac:dyDescent="0.35">
      <c r="A314" s="71">
        <v>308</v>
      </c>
      <c r="B314" s="72">
        <v>2041223376</v>
      </c>
      <c r="C314" s="80" t="s">
        <v>1096</v>
      </c>
      <c r="D314" s="81" t="s">
        <v>76</v>
      </c>
      <c r="E314" s="72" t="s">
        <v>148</v>
      </c>
      <c r="F314" s="76">
        <v>2</v>
      </c>
      <c r="G314" s="72" t="s">
        <v>1300</v>
      </c>
      <c r="H314" s="78">
        <v>45422</v>
      </c>
      <c r="I314" s="72" t="s">
        <v>1299</v>
      </c>
      <c r="J314" s="72">
        <v>5</v>
      </c>
      <c r="K314" s="72"/>
      <c r="L314" s="72" t="s">
        <v>924</v>
      </c>
      <c r="M314" s="78">
        <v>45645</v>
      </c>
      <c r="N314" s="72" t="s">
        <v>1299</v>
      </c>
      <c r="O314" s="72">
        <v>6.5</v>
      </c>
      <c r="P314" s="72"/>
      <c r="Q314" s="72"/>
      <c r="R314" s="78"/>
      <c r="S314" s="72"/>
      <c r="T314" s="72"/>
      <c r="U314" s="72"/>
      <c r="V314" s="72"/>
      <c r="W314" s="72"/>
      <c r="X314" s="72"/>
      <c r="Y314" s="72"/>
      <c r="Z314" s="72"/>
      <c r="AA314" s="79"/>
      <c r="AB314" s="79"/>
      <c r="AC314" s="79"/>
      <c r="AD314" s="79"/>
      <c r="AE314" s="79"/>
    </row>
    <row r="315" spans="1:31" ht="16.5" x14ac:dyDescent="0.35">
      <c r="A315" s="71">
        <v>309</v>
      </c>
      <c r="B315" s="72">
        <v>2041223425</v>
      </c>
      <c r="C315" s="80" t="s">
        <v>126</v>
      </c>
      <c r="D315" s="81" t="s">
        <v>161</v>
      </c>
      <c r="E315" s="72" t="s">
        <v>148</v>
      </c>
      <c r="F315" s="76">
        <v>3</v>
      </c>
      <c r="G315" s="72" t="s">
        <v>925</v>
      </c>
      <c r="H315" s="78">
        <v>45433</v>
      </c>
      <c r="I315" s="72" t="s">
        <v>1299</v>
      </c>
      <c r="J315" s="72">
        <v>7</v>
      </c>
      <c r="K315" s="72"/>
      <c r="L315" s="72" t="s">
        <v>924</v>
      </c>
      <c r="M315" s="78">
        <v>45621</v>
      </c>
      <c r="N315" s="72" t="s">
        <v>1299</v>
      </c>
      <c r="O315" s="72">
        <v>6</v>
      </c>
      <c r="P315" s="90"/>
      <c r="Q315" s="72" t="s">
        <v>1300</v>
      </c>
      <c r="R315" s="78">
        <v>45631</v>
      </c>
      <c r="S315" s="72" t="s">
        <v>1299</v>
      </c>
      <c r="T315" s="72">
        <v>7</v>
      </c>
      <c r="U315" s="72"/>
      <c r="V315" s="72"/>
      <c r="W315" s="72"/>
      <c r="X315" s="72"/>
      <c r="Y315" s="72"/>
      <c r="Z315" s="72"/>
      <c r="AA315" s="79"/>
      <c r="AB315" s="79"/>
      <c r="AC315" s="79"/>
      <c r="AD315" s="79"/>
      <c r="AE315" s="79"/>
    </row>
    <row r="316" spans="1:31" ht="16.5" x14ac:dyDescent="0.35">
      <c r="A316" s="71">
        <v>310</v>
      </c>
      <c r="B316" s="72">
        <v>2041223428</v>
      </c>
      <c r="C316" s="80" t="s">
        <v>160</v>
      </c>
      <c r="D316" s="81" t="s">
        <v>161</v>
      </c>
      <c r="E316" s="72" t="s">
        <v>148</v>
      </c>
      <c r="F316" s="76">
        <v>2</v>
      </c>
      <c r="G316" s="72" t="s">
        <v>1301</v>
      </c>
      <c r="H316" s="78">
        <v>45630</v>
      </c>
      <c r="I316" s="72" t="s">
        <v>1299</v>
      </c>
      <c r="J316" s="72">
        <v>8</v>
      </c>
      <c r="K316" s="72"/>
      <c r="L316" s="88" t="s">
        <v>1302</v>
      </c>
      <c r="M316" s="78">
        <v>45552</v>
      </c>
      <c r="N316" s="72" t="s">
        <v>1299</v>
      </c>
      <c r="O316" s="72"/>
      <c r="P316" s="72"/>
      <c r="Q316" s="72"/>
      <c r="R316" s="78"/>
      <c r="S316" s="72"/>
      <c r="T316" s="72"/>
      <c r="U316" s="72"/>
      <c r="V316" s="72"/>
      <c r="W316" s="72"/>
      <c r="X316" s="72"/>
      <c r="Y316" s="72"/>
      <c r="Z316" s="72"/>
      <c r="AA316" s="79"/>
      <c r="AB316" s="79"/>
      <c r="AC316" s="79"/>
      <c r="AD316" s="79"/>
      <c r="AE316" s="79"/>
    </row>
    <row r="317" spans="1:31" ht="16.5" x14ac:dyDescent="0.35">
      <c r="A317" s="71">
        <v>311</v>
      </c>
      <c r="B317" s="72">
        <v>2041223767</v>
      </c>
      <c r="C317" s="80" t="s">
        <v>87</v>
      </c>
      <c r="D317" s="81" t="s">
        <v>154</v>
      </c>
      <c r="E317" s="72" t="s">
        <v>148</v>
      </c>
      <c r="F317" s="76">
        <v>2</v>
      </c>
      <c r="G317" s="72" t="s">
        <v>1300</v>
      </c>
      <c r="H317" s="78">
        <v>45787</v>
      </c>
      <c r="I317" s="72" t="s">
        <v>1299</v>
      </c>
      <c r="J317" s="72">
        <v>6.5</v>
      </c>
      <c r="K317" s="72"/>
      <c r="L317" s="72" t="s">
        <v>1300</v>
      </c>
      <c r="M317" s="78">
        <v>45784</v>
      </c>
      <c r="N317" s="72" t="s">
        <v>1299</v>
      </c>
      <c r="O317" s="72">
        <v>10</v>
      </c>
      <c r="P317" s="72"/>
      <c r="Q317" s="72"/>
      <c r="R317" s="78"/>
      <c r="S317" s="72"/>
      <c r="T317" s="72"/>
      <c r="U317" s="72"/>
      <c r="V317" s="72"/>
      <c r="W317" s="72"/>
      <c r="X317" s="72"/>
      <c r="Y317" s="72"/>
      <c r="Z317" s="72"/>
      <c r="AA317" s="79"/>
      <c r="AB317" s="79"/>
      <c r="AC317" s="79"/>
      <c r="AD317" s="79"/>
      <c r="AE317" s="79"/>
    </row>
    <row r="318" spans="1:31" ht="16.5" x14ac:dyDescent="0.35">
      <c r="A318" s="71">
        <v>312</v>
      </c>
      <c r="B318" s="72">
        <v>2041223998</v>
      </c>
      <c r="C318" s="80" t="s">
        <v>146</v>
      </c>
      <c r="D318" s="81" t="s">
        <v>147</v>
      </c>
      <c r="E318" s="72" t="s">
        <v>148</v>
      </c>
      <c r="F318" s="76">
        <v>2</v>
      </c>
      <c r="G318" s="72" t="s">
        <v>1301</v>
      </c>
      <c r="H318" s="78">
        <v>45757</v>
      </c>
      <c r="I318" s="72" t="s">
        <v>1299</v>
      </c>
      <c r="J318" s="72">
        <v>7.5</v>
      </c>
      <c r="K318" s="72"/>
      <c r="L318" s="72" t="s">
        <v>924</v>
      </c>
      <c r="M318" s="78">
        <v>45776</v>
      </c>
      <c r="N318" s="72" t="s">
        <v>1299</v>
      </c>
      <c r="O318" s="72">
        <v>8</v>
      </c>
      <c r="P318" s="72"/>
      <c r="Q318" s="72"/>
      <c r="R318" s="78"/>
      <c r="S318" s="72"/>
      <c r="T318" s="72"/>
      <c r="U318" s="72"/>
      <c r="V318" s="72"/>
      <c r="W318" s="72"/>
      <c r="X318" s="72"/>
      <c r="Y318" s="72"/>
      <c r="Z318" s="72"/>
      <c r="AA318" s="79"/>
      <c r="AB318" s="79"/>
      <c r="AC318" s="79"/>
      <c r="AD318" s="79"/>
      <c r="AE318" s="79"/>
    </row>
    <row r="319" spans="1:31" ht="16.5" x14ac:dyDescent="0.35">
      <c r="A319" s="71">
        <v>313</v>
      </c>
      <c r="B319" s="72">
        <v>2041224037</v>
      </c>
      <c r="C319" s="80" t="s">
        <v>180</v>
      </c>
      <c r="D319" s="81" t="s">
        <v>181</v>
      </c>
      <c r="E319" s="72" t="s">
        <v>148</v>
      </c>
      <c r="F319" s="76">
        <v>3</v>
      </c>
      <c r="G319" s="72" t="s">
        <v>1300</v>
      </c>
      <c r="H319" s="78">
        <v>45744</v>
      </c>
      <c r="I319" s="72" t="s">
        <v>1299</v>
      </c>
      <c r="J319" s="72">
        <v>8</v>
      </c>
      <c r="K319" s="72"/>
      <c r="L319" s="72" t="s">
        <v>924</v>
      </c>
      <c r="M319" s="78">
        <v>45798</v>
      </c>
      <c r="N319" s="72" t="s">
        <v>1299</v>
      </c>
      <c r="O319" s="72">
        <v>8.5</v>
      </c>
      <c r="P319" s="72"/>
      <c r="Q319" s="88" t="s">
        <v>1302</v>
      </c>
      <c r="R319" s="78">
        <v>45552</v>
      </c>
      <c r="S319" s="72" t="s">
        <v>1299</v>
      </c>
      <c r="T319" s="72"/>
      <c r="U319" s="72"/>
      <c r="V319" s="72"/>
      <c r="W319" s="72"/>
      <c r="X319" s="72"/>
      <c r="Y319" s="72"/>
      <c r="Z319" s="72"/>
      <c r="AA319" s="79"/>
      <c r="AB319" s="79"/>
      <c r="AC319" s="79"/>
      <c r="AD319" s="79"/>
      <c r="AE319" s="79"/>
    </row>
    <row r="320" spans="1:31" ht="16.5" x14ac:dyDescent="0.35">
      <c r="A320" s="71">
        <v>314</v>
      </c>
      <c r="B320" s="72">
        <v>2041224112</v>
      </c>
      <c r="C320" s="80" t="s">
        <v>1103</v>
      </c>
      <c r="D320" s="81" t="s">
        <v>65</v>
      </c>
      <c r="E320" s="72" t="s">
        <v>148</v>
      </c>
      <c r="F320" s="76">
        <v>2</v>
      </c>
      <c r="G320" s="72" t="s">
        <v>924</v>
      </c>
      <c r="H320" s="78">
        <v>45629</v>
      </c>
      <c r="I320" s="72" t="s">
        <v>1299</v>
      </c>
      <c r="J320" s="72">
        <v>7</v>
      </c>
      <c r="K320" s="72"/>
      <c r="L320" s="72" t="s">
        <v>1300</v>
      </c>
      <c r="M320" s="78">
        <v>45631</v>
      </c>
      <c r="N320" s="72" t="s">
        <v>1299</v>
      </c>
      <c r="O320" s="72">
        <v>7.5</v>
      </c>
      <c r="P320" s="72"/>
      <c r="Q320" s="72"/>
      <c r="R320" s="78"/>
      <c r="S320" s="72"/>
      <c r="T320" s="72"/>
      <c r="U320" s="72"/>
      <c r="V320" s="72"/>
      <c r="W320" s="72"/>
      <c r="X320" s="72"/>
      <c r="Y320" s="72"/>
      <c r="Z320" s="72"/>
      <c r="AA320" s="79"/>
      <c r="AB320" s="79"/>
      <c r="AC320" s="79"/>
      <c r="AD320" s="79"/>
      <c r="AE320" s="79"/>
    </row>
    <row r="321" spans="1:31" ht="16.5" x14ac:dyDescent="0.35">
      <c r="A321" s="71">
        <v>315</v>
      </c>
      <c r="B321" s="72">
        <v>2041224065</v>
      </c>
      <c r="C321" s="80" t="s">
        <v>783</v>
      </c>
      <c r="D321" s="81" t="s">
        <v>65</v>
      </c>
      <c r="E321" s="72" t="s">
        <v>148</v>
      </c>
      <c r="F321" s="76">
        <v>2</v>
      </c>
      <c r="G321" s="72" t="s">
        <v>924</v>
      </c>
      <c r="H321" s="78">
        <v>45637</v>
      </c>
      <c r="I321" s="72" t="s">
        <v>1299</v>
      </c>
      <c r="J321" s="72">
        <v>7.5</v>
      </c>
      <c r="K321" s="72"/>
      <c r="L321" s="72" t="s">
        <v>1300</v>
      </c>
      <c r="M321" s="78">
        <v>45631</v>
      </c>
      <c r="N321" s="72" t="s">
        <v>1299</v>
      </c>
      <c r="O321" s="72">
        <v>8</v>
      </c>
      <c r="P321" s="72"/>
      <c r="Q321" s="72"/>
      <c r="R321" s="78"/>
      <c r="S321" s="72"/>
      <c r="T321" s="72"/>
      <c r="U321" s="72"/>
      <c r="V321" s="72"/>
      <c r="W321" s="72"/>
      <c r="X321" s="72"/>
      <c r="Y321" s="72"/>
      <c r="Z321" s="72"/>
      <c r="AA321" s="79"/>
      <c r="AB321" s="79"/>
      <c r="AC321" s="79"/>
      <c r="AD321" s="79"/>
      <c r="AE321" s="79"/>
    </row>
    <row r="322" spans="1:31" ht="16.5" x14ac:dyDescent="0.35">
      <c r="A322" s="71">
        <v>316</v>
      </c>
      <c r="B322" s="72">
        <v>2041224166</v>
      </c>
      <c r="C322" s="80" t="s">
        <v>44</v>
      </c>
      <c r="D322" s="81" t="s">
        <v>194</v>
      </c>
      <c r="E322" s="72" t="s">
        <v>148</v>
      </c>
      <c r="F322" s="76">
        <v>2</v>
      </c>
      <c r="G322" s="72" t="s">
        <v>1300</v>
      </c>
      <c r="H322" s="78">
        <v>45784</v>
      </c>
      <c r="I322" s="72" t="s">
        <v>1299</v>
      </c>
      <c r="J322" s="72">
        <v>10</v>
      </c>
      <c r="K322" s="72"/>
      <c r="L322" s="72" t="s">
        <v>924</v>
      </c>
      <c r="M322" s="78">
        <v>45803</v>
      </c>
      <c r="N322" s="72" t="s">
        <v>1299</v>
      </c>
      <c r="O322" s="72">
        <v>9.5</v>
      </c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9"/>
      <c r="AB322" s="79"/>
      <c r="AC322" s="79"/>
      <c r="AD322" s="79"/>
      <c r="AE322" s="79"/>
    </row>
    <row r="323" spans="1:31" ht="16.5" x14ac:dyDescent="0.35">
      <c r="A323" s="71">
        <v>317</v>
      </c>
      <c r="B323" s="72">
        <v>2041224260</v>
      </c>
      <c r="C323" s="80" t="s">
        <v>1105</v>
      </c>
      <c r="D323" s="81" t="s">
        <v>142</v>
      </c>
      <c r="E323" s="72" t="s">
        <v>148</v>
      </c>
      <c r="F323" s="76">
        <v>0</v>
      </c>
      <c r="G323" s="72"/>
      <c r="H323" s="78"/>
      <c r="I323" s="72"/>
      <c r="J323" s="72"/>
      <c r="K323" s="72"/>
      <c r="L323" s="72"/>
      <c r="M323" s="72"/>
      <c r="N323" s="72"/>
      <c r="O323" s="72"/>
      <c r="P323" s="72"/>
      <c r="Q323" s="72"/>
      <c r="R323" s="78"/>
      <c r="S323" s="72"/>
      <c r="T323" s="72"/>
      <c r="U323" s="72"/>
      <c r="V323" s="72"/>
      <c r="W323" s="72"/>
      <c r="X323" s="72"/>
      <c r="Y323" s="72"/>
      <c r="Z323" s="72"/>
      <c r="AA323" s="79"/>
      <c r="AB323" s="79"/>
      <c r="AC323" s="79"/>
      <c r="AD323" s="79"/>
      <c r="AE323" s="79"/>
    </row>
    <row r="324" spans="1:31" ht="16.5" x14ac:dyDescent="0.35">
      <c r="A324" s="71">
        <v>318</v>
      </c>
      <c r="B324" s="72">
        <v>2041224352</v>
      </c>
      <c r="C324" s="80" t="s">
        <v>156</v>
      </c>
      <c r="D324" s="81" t="s">
        <v>54</v>
      </c>
      <c r="E324" s="72" t="s">
        <v>148</v>
      </c>
      <c r="F324" s="76">
        <v>3</v>
      </c>
      <c r="G324" s="72" t="s">
        <v>925</v>
      </c>
      <c r="H324" s="78">
        <v>45559</v>
      </c>
      <c r="I324" s="72" t="s">
        <v>1299</v>
      </c>
      <c r="J324" s="72">
        <v>8.5</v>
      </c>
      <c r="K324" s="72"/>
      <c r="L324" s="72" t="s">
        <v>924</v>
      </c>
      <c r="M324" s="78">
        <v>45629</v>
      </c>
      <c r="N324" s="72" t="s">
        <v>1299</v>
      </c>
      <c r="O324" s="72">
        <v>9</v>
      </c>
      <c r="P324" s="72"/>
      <c r="Q324" s="72" t="s">
        <v>1300</v>
      </c>
      <c r="R324" s="78">
        <v>45631</v>
      </c>
      <c r="S324" s="72" t="s">
        <v>1299</v>
      </c>
      <c r="T324" s="72">
        <v>8</v>
      </c>
      <c r="U324" s="72"/>
      <c r="V324" s="72"/>
      <c r="W324" s="72"/>
      <c r="X324" s="72"/>
      <c r="Y324" s="72"/>
      <c r="Z324" s="72"/>
      <c r="AA324" s="79"/>
      <c r="AB324" s="79"/>
      <c r="AC324" s="79"/>
      <c r="AD324" s="79"/>
      <c r="AE324" s="79"/>
    </row>
    <row r="325" spans="1:31" ht="16.5" x14ac:dyDescent="0.35">
      <c r="A325" s="71">
        <v>319</v>
      </c>
      <c r="B325" s="72">
        <v>2041224424</v>
      </c>
      <c r="C325" s="80" t="s">
        <v>188</v>
      </c>
      <c r="D325" s="81" t="s">
        <v>189</v>
      </c>
      <c r="E325" s="72" t="s">
        <v>148</v>
      </c>
      <c r="F325" s="76">
        <v>2</v>
      </c>
      <c r="G325" s="72" t="s">
        <v>1300</v>
      </c>
      <c r="H325" s="78">
        <v>45784</v>
      </c>
      <c r="I325" s="72" t="s">
        <v>1299</v>
      </c>
      <c r="J325" s="72">
        <v>9</v>
      </c>
      <c r="K325" s="72"/>
      <c r="L325" s="72" t="s">
        <v>924</v>
      </c>
      <c r="M325" s="78">
        <v>45798</v>
      </c>
      <c r="N325" s="72" t="s">
        <v>1299</v>
      </c>
      <c r="O325" s="72">
        <v>7.5</v>
      </c>
      <c r="P325" s="72"/>
      <c r="Q325" s="72" t="s">
        <v>1290</v>
      </c>
      <c r="R325" s="78"/>
      <c r="S325" s="72"/>
      <c r="T325" s="72"/>
      <c r="U325" s="72"/>
      <c r="V325" s="72"/>
      <c r="W325" s="72"/>
      <c r="X325" s="72"/>
      <c r="Y325" s="72"/>
      <c r="Z325" s="72"/>
      <c r="AA325" s="79"/>
      <c r="AB325" s="79"/>
      <c r="AC325" s="79"/>
      <c r="AD325" s="79"/>
      <c r="AE325" s="79"/>
    </row>
    <row r="326" spans="1:31" ht="16.5" x14ac:dyDescent="0.35">
      <c r="A326" s="71">
        <v>320</v>
      </c>
      <c r="B326" s="72">
        <v>2041224495</v>
      </c>
      <c r="C326" s="80" t="s">
        <v>519</v>
      </c>
      <c r="D326" s="81" t="s">
        <v>335</v>
      </c>
      <c r="E326" s="72" t="s">
        <v>148</v>
      </c>
      <c r="F326" s="76">
        <v>2</v>
      </c>
      <c r="G326" s="72" t="s">
        <v>1301</v>
      </c>
      <c r="H326" s="78">
        <v>45630</v>
      </c>
      <c r="I326" s="72" t="s">
        <v>1299</v>
      </c>
      <c r="J326" s="72">
        <v>7</v>
      </c>
      <c r="K326" s="72"/>
      <c r="L326" s="72" t="s">
        <v>925</v>
      </c>
      <c r="M326" s="78">
        <v>45636</v>
      </c>
      <c r="N326" s="72" t="s">
        <v>1299</v>
      </c>
      <c r="O326" s="72">
        <v>8</v>
      </c>
      <c r="P326" s="72"/>
      <c r="Q326" s="72"/>
      <c r="R326" s="78"/>
      <c r="S326" s="72"/>
      <c r="T326" s="72"/>
      <c r="U326" s="72"/>
      <c r="V326" s="72"/>
      <c r="W326" s="72"/>
      <c r="X326" s="72"/>
      <c r="Y326" s="72"/>
      <c r="Z326" s="72"/>
      <c r="AA326" s="79"/>
      <c r="AB326" s="79"/>
      <c r="AC326" s="79"/>
      <c r="AD326" s="79"/>
      <c r="AE326" s="79"/>
    </row>
    <row r="327" spans="1:31" ht="16.5" x14ac:dyDescent="0.35">
      <c r="A327" s="71">
        <v>321</v>
      </c>
      <c r="B327" s="72">
        <v>2041224656</v>
      </c>
      <c r="C327" s="80" t="s">
        <v>182</v>
      </c>
      <c r="D327" s="81" t="s">
        <v>183</v>
      </c>
      <c r="E327" s="72" t="s">
        <v>148</v>
      </c>
      <c r="F327" s="76">
        <v>2</v>
      </c>
      <c r="G327" s="72" t="s">
        <v>1300</v>
      </c>
      <c r="H327" s="78">
        <v>45749</v>
      </c>
      <c r="I327" s="86" t="s">
        <v>1299</v>
      </c>
      <c r="J327" s="72">
        <v>9</v>
      </c>
      <c r="K327" s="72"/>
      <c r="L327" s="72" t="s">
        <v>1301</v>
      </c>
      <c r="M327" s="78">
        <v>45785</v>
      </c>
      <c r="N327" s="72" t="s">
        <v>1299</v>
      </c>
      <c r="O327" s="72">
        <v>8</v>
      </c>
      <c r="P327" s="72"/>
      <c r="Q327" s="72"/>
      <c r="R327" s="78"/>
      <c r="S327" s="72"/>
      <c r="T327" s="72"/>
      <c r="U327" s="72"/>
      <c r="V327" s="72"/>
      <c r="W327" s="72"/>
      <c r="X327" s="72"/>
      <c r="Y327" s="72"/>
      <c r="Z327" s="72"/>
      <c r="AA327" s="79"/>
      <c r="AB327" s="79"/>
      <c r="AC327" s="79"/>
      <c r="AD327" s="79"/>
      <c r="AE327" s="79"/>
    </row>
    <row r="328" spans="1:31" ht="16.5" x14ac:dyDescent="0.35">
      <c r="A328" s="71">
        <v>322</v>
      </c>
      <c r="B328" s="72">
        <v>2041224669</v>
      </c>
      <c r="C328" s="80" t="s">
        <v>1106</v>
      </c>
      <c r="D328" s="81" t="s">
        <v>100</v>
      </c>
      <c r="E328" s="72" t="s">
        <v>148</v>
      </c>
      <c r="F328" s="76">
        <v>2</v>
      </c>
      <c r="G328" s="72" t="s">
        <v>1300</v>
      </c>
      <c r="H328" s="78">
        <v>45436</v>
      </c>
      <c r="I328" s="72" t="s">
        <v>1299</v>
      </c>
      <c r="J328" s="72">
        <v>6.5</v>
      </c>
      <c r="K328" s="72"/>
      <c r="L328" s="72" t="s">
        <v>925</v>
      </c>
      <c r="M328" s="78">
        <v>45813</v>
      </c>
      <c r="N328" s="72" t="s">
        <v>1299</v>
      </c>
      <c r="O328" s="72">
        <v>6.5</v>
      </c>
      <c r="P328" s="72"/>
      <c r="Q328" s="72"/>
      <c r="R328" s="78"/>
      <c r="S328" s="72"/>
      <c r="T328" s="72"/>
      <c r="U328" s="72"/>
      <c r="V328" s="72"/>
      <c r="W328" s="72"/>
      <c r="X328" s="72"/>
      <c r="Y328" s="72"/>
      <c r="Z328" s="72"/>
      <c r="AA328" s="79"/>
      <c r="AB328" s="79"/>
      <c r="AC328" s="79"/>
      <c r="AD328" s="79"/>
      <c r="AE328" s="79"/>
    </row>
    <row r="329" spans="1:31" ht="16.5" x14ac:dyDescent="0.35">
      <c r="A329" s="71">
        <v>323</v>
      </c>
      <c r="B329" s="72">
        <v>2041224811</v>
      </c>
      <c r="C329" s="80" t="s">
        <v>165</v>
      </c>
      <c r="D329" s="81" t="s">
        <v>102</v>
      </c>
      <c r="E329" s="72" t="s">
        <v>148</v>
      </c>
      <c r="F329" s="76">
        <v>4</v>
      </c>
      <c r="G329" s="72" t="s">
        <v>1300</v>
      </c>
      <c r="H329" s="78">
        <v>45749</v>
      </c>
      <c r="I329" s="86" t="s">
        <v>1299</v>
      </c>
      <c r="J329" s="72">
        <v>8.5</v>
      </c>
      <c r="K329" s="72"/>
      <c r="L329" s="72" t="s">
        <v>924</v>
      </c>
      <c r="M329" s="78">
        <v>45787</v>
      </c>
      <c r="N329" s="72" t="s">
        <v>1299</v>
      </c>
      <c r="O329" s="72">
        <v>8.5</v>
      </c>
      <c r="P329" s="72"/>
      <c r="Q329" s="79" t="s">
        <v>928</v>
      </c>
      <c r="R329" s="83">
        <v>45799</v>
      </c>
      <c r="S329" s="79" t="s">
        <v>1299</v>
      </c>
      <c r="T329" s="72">
        <v>9.5</v>
      </c>
      <c r="U329" s="72"/>
      <c r="V329" s="72" t="s">
        <v>925</v>
      </c>
      <c r="W329" s="78">
        <v>45813</v>
      </c>
      <c r="X329" s="72" t="s">
        <v>1299</v>
      </c>
      <c r="Y329" s="72">
        <v>7</v>
      </c>
      <c r="Z329" s="72"/>
      <c r="AA329" s="79"/>
      <c r="AB329" s="79"/>
      <c r="AC329" s="79"/>
      <c r="AD329" s="79"/>
      <c r="AE329" s="79"/>
    </row>
    <row r="330" spans="1:31" ht="16.5" x14ac:dyDescent="0.35">
      <c r="A330" s="71">
        <v>324</v>
      </c>
      <c r="B330" s="72">
        <v>2041224787</v>
      </c>
      <c r="C330" s="80" t="s">
        <v>184</v>
      </c>
      <c r="D330" s="81" t="s">
        <v>102</v>
      </c>
      <c r="E330" s="72" t="s">
        <v>148</v>
      </c>
      <c r="F330" s="76">
        <v>3</v>
      </c>
      <c r="G330" s="72" t="s">
        <v>1300</v>
      </c>
      <c r="H330" s="78">
        <v>45744</v>
      </c>
      <c r="I330" s="72" t="s">
        <v>1299</v>
      </c>
      <c r="J330" s="72">
        <v>8</v>
      </c>
      <c r="K330" s="72"/>
      <c r="L330" s="72" t="s">
        <v>924</v>
      </c>
      <c r="M330" s="78">
        <v>45798</v>
      </c>
      <c r="N330" s="72" t="s">
        <v>1299</v>
      </c>
      <c r="O330" s="72">
        <v>8</v>
      </c>
      <c r="P330" s="72"/>
      <c r="Q330" s="88" t="s">
        <v>1302</v>
      </c>
      <c r="R330" s="78">
        <v>45552</v>
      </c>
      <c r="S330" s="72" t="s">
        <v>1299</v>
      </c>
      <c r="T330" s="72"/>
      <c r="U330" s="72"/>
      <c r="V330" s="72"/>
      <c r="W330" s="72"/>
      <c r="X330" s="72"/>
      <c r="Y330" s="72"/>
      <c r="Z330" s="72"/>
      <c r="AA330" s="79"/>
      <c r="AB330" s="79"/>
      <c r="AC330" s="79"/>
      <c r="AD330" s="79"/>
      <c r="AE330" s="79"/>
    </row>
    <row r="331" spans="1:31" ht="16.5" x14ac:dyDescent="0.35">
      <c r="A331" s="71">
        <v>325</v>
      </c>
      <c r="B331" s="72">
        <v>2041225111</v>
      </c>
      <c r="C331" s="80" t="s">
        <v>1109</v>
      </c>
      <c r="D331" s="81" t="s">
        <v>125</v>
      </c>
      <c r="E331" s="72" t="s">
        <v>148</v>
      </c>
      <c r="F331" s="76">
        <v>2</v>
      </c>
      <c r="G331" s="72" t="s">
        <v>924</v>
      </c>
      <c r="H331" s="78">
        <v>45623</v>
      </c>
      <c r="I331" s="72" t="s">
        <v>1299</v>
      </c>
      <c r="J331" s="72">
        <v>5</v>
      </c>
      <c r="K331" s="72"/>
      <c r="L331" s="72" t="s">
        <v>1300</v>
      </c>
      <c r="M331" s="78">
        <v>45644</v>
      </c>
      <c r="N331" s="72" t="s">
        <v>1299</v>
      </c>
      <c r="O331" s="72">
        <v>10</v>
      </c>
      <c r="P331" s="72"/>
      <c r="Q331" s="72"/>
      <c r="R331" s="78"/>
      <c r="S331" s="72"/>
      <c r="T331" s="72"/>
      <c r="U331" s="72"/>
      <c r="V331" s="72"/>
      <c r="W331" s="72"/>
      <c r="X331" s="72"/>
      <c r="Y331" s="72"/>
      <c r="Z331" s="72"/>
      <c r="AA331" s="79"/>
      <c r="AB331" s="79"/>
      <c r="AC331" s="79"/>
      <c r="AD331" s="79"/>
      <c r="AE331" s="79"/>
    </row>
    <row r="332" spans="1:31" ht="16.5" x14ac:dyDescent="0.35">
      <c r="A332" s="71">
        <v>326</v>
      </c>
      <c r="B332" s="72">
        <v>2041225179</v>
      </c>
      <c r="C332" s="80" t="s">
        <v>186</v>
      </c>
      <c r="D332" s="81" t="s">
        <v>123</v>
      </c>
      <c r="E332" s="72" t="s">
        <v>148</v>
      </c>
      <c r="F332" s="76">
        <v>3</v>
      </c>
      <c r="G332" s="72" t="s">
        <v>924</v>
      </c>
      <c r="H332" s="78">
        <v>45786</v>
      </c>
      <c r="I332" s="72" t="s">
        <v>1299</v>
      </c>
      <c r="J332" s="72">
        <v>6</v>
      </c>
      <c r="K332" s="72"/>
      <c r="L332" s="72" t="s">
        <v>1301</v>
      </c>
      <c r="M332" s="78">
        <v>45783</v>
      </c>
      <c r="N332" s="72" t="s">
        <v>1299</v>
      </c>
      <c r="O332" s="72">
        <v>7.5</v>
      </c>
      <c r="P332" s="72"/>
      <c r="Q332" s="88" t="s">
        <v>1302</v>
      </c>
      <c r="R332" s="78">
        <v>45552</v>
      </c>
      <c r="S332" s="72" t="s">
        <v>1299</v>
      </c>
      <c r="T332" s="72"/>
      <c r="U332" s="72"/>
      <c r="V332" s="72"/>
      <c r="W332" s="72"/>
      <c r="X332" s="72"/>
      <c r="Y332" s="72"/>
      <c r="Z332" s="72"/>
      <c r="AA332" s="79"/>
      <c r="AB332" s="79"/>
      <c r="AC332" s="79"/>
      <c r="AD332" s="79"/>
      <c r="AE332" s="79"/>
    </row>
    <row r="333" spans="1:31" ht="16.5" x14ac:dyDescent="0.35">
      <c r="A333" s="71">
        <v>327</v>
      </c>
      <c r="B333" s="72">
        <v>2041225296</v>
      </c>
      <c r="C333" s="80" t="s">
        <v>1108</v>
      </c>
      <c r="D333" s="81" t="s">
        <v>514</v>
      </c>
      <c r="E333" s="72" t="s">
        <v>148</v>
      </c>
      <c r="F333" s="76">
        <v>3</v>
      </c>
      <c r="G333" s="72" t="s">
        <v>925</v>
      </c>
      <c r="H333" s="78">
        <v>45433</v>
      </c>
      <c r="I333" s="72" t="s">
        <v>1299</v>
      </c>
      <c r="J333" s="72">
        <v>7.5</v>
      </c>
      <c r="K333" s="72"/>
      <c r="L333" s="72" t="s">
        <v>924</v>
      </c>
      <c r="M333" s="78">
        <v>45621</v>
      </c>
      <c r="N333" s="72" t="s">
        <v>1299</v>
      </c>
      <c r="O333" s="72">
        <v>6.5</v>
      </c>
      <c r="P333" s="72"/>
      <c r="Q333" s="72" t="s">
        <v>1300</v>
      </c>
      <c r="R333" s="78">
        <v>45631</v>
      </c>
      <c r="S333" s="72" t="s">
        <v>1299</v>
      </c>
      <c r="T333" s="72">
        <v>8.5</v>
      </c>
      <c r="U333" s="72"/>
      <c r="V333" s="72"/>
      <c r="W333" s="72"/>
      <c r="X333" s="72"/>
      <c r="Y333" s="72"/>
      <c r="Z333" s="72"/>
      <c r="AA333" s="79"/>
      <c r="AB333" s="79"/>
      <c r="AC333" s="79"/>
      <c r="AD333" s="79"/>
      <c r="AE333" s="79"/>
    </row>
    <row r="334" spans="1:31" ht="16.5" x14ac:dyDescent="0.35">
      <c r="A334" s="71">
        <v>328</v>
      </c>
      <c r="B334" s="72">
        <v>2041225301</v>
      </c>
      <c r="C334" s="80" t="s">
        <v>1107</v>
      </c>
      <c r="D334" s="81" t="s">
        <v>514</v>
      </c>
      <c r="E334" s="72" t="s">
        <v>148</v>
      </c>
      <c r="F334" s="76">
        <v>2</v>
      </c>
      <c r="G334" s="72" t="s">
        <v>925</v>
      </c>
      <c r="H334" s="78">
        <v>45398</v>
      </c>
      <c r="I334" s="72" t="s">
        <v>1299</v>
      </c>
      <c r="J334" s="72">
        <v>7.5</v>
      </c>
      <c r="K334" s="72">
        <v>0.5</v>
      </c>
      <c r="L334" s="72" t="s">
        <v>1300</v>
      </c>
      <c r="M334" s="78">
        <v>45422</v>
      </c>
      <c r="N334" s="72" t="s">
        <v>1299</v>
      </c>
      <c r="O334" s="72">
        <v>6</v>
      </c>
      <c r="P334" s="72"/>
      <c r="Q334" s="72"/>
      <c r="R334" s="78"/>
      <c r="S334" s="72"/>
      <c r="T334" s="72"/>
      <c r="U334" s="72"/>
      <c r="V334" s="72"/>
      <c r="W334" s="72"/>
      <c r="X334" s="72"/>
      <c r="Y334" s="72"/>
      <c r="Z334" s="72"/>
      <c r="AA334" s="79"/>
      <c r="AB334" s="79"/>
      <c r="AC334" s="79"/>
      <c r="AD334" s="79"/>
      <c r="AE334" s="79"/>
    </row>
    <row r="335" spans="1:31" ht="16.5" x14ac:dyDescent="0.35">
      <c r="A335" s="71">
        <v>329</v>
      </c>
      <c r="B335" s="72">
        <v>2041225523</v>
      </c>
      <c r="C335" s="80" t="s">
        <v>190</v>
      </c>
      <c r="D335" s="81" t="s">
        <v>168</v>
      </c>
      <c r="E335" s="72" t="s">
        <v>148</v>
      </c>
      <c r="F335" s="76">
        <v>3</v>
      </c>
      <c r="G335" s="72" t="s">
        <v>1300</v>
      </c>
      <c r="H335" s="78">
        <v>45455</v>
      </c>
      <c r="I335" s="72" t="s">
        <v>1299</v>
      </c>
      <c r="J335" s="72">
        <v>7</v>
      </c>
      <c r="K335" s="72"/>
      <c r="L335" s="72" t="s">
        <v>1301</v>
      </c>
      <c r="M335" s="78">
        <v>45630</v>
      </c>
      <c r="N335" s="72" t="s">
        <v>1299</v>
      </c>
      <c r="O335" s="72">
        <v>6</v>
      </c>
      <c r="P335" s="72"/>
      <c r="Q335" s="72" t="s">
        <v>1300</v>
      </c>
      <c r="R335" s="78">
        <v>45791</v>
      </c>
      <c r="S335" s="72" t="s">
        <v>1299</v>
      </c>
      <c r="T335" s="72">
        <v>6.5</v>
      </c>
      <c r="U335" s="72">
        <v>0.5</v>
      </c>
      <c r="V335" s="72"/>
      <c r="W335" s="72"/>
      <c r="X335" s="72"/>
      <c r="Y335" s="72"/>
      <c r="Z335" s="72"/>
      <c r="AA335" s="79"/>
      <c r="AB335" s="79"/>
      <c r="AC335" s="79"/>
      <c r="AD335" s="79"/>
      <c r="AE335" s="79"/>
    </row>
    <row r="336" spans="1:31" ht="16.5" x14ac:dyDescent="0.35">
      <c r="A336" s="71">
        <v>330</v>
      </c>
      <c r="B336" s="72">
        <v>2041225524</v>
      </c>
      <c r="C336" s="80" t="s">
        <v>167</v>
      </c>
      <c r="D336" s="81" t="s">
        <v>168</v>
      </c>
      <c r="E336" s="72" t="s">
        <v>148</v>
      </c>
      <c r="F336" s="76">
        <v>2</v>
      </c>
      <c r="G336" s="72" t="s">
        <v>1301</v>
      </c>
      <c r="H336" s="78">
        <v>45630</v>
      </c>
      <c r="I336" s="72" t="s">
        <v>1299</v>
      </c>
      <c r="J336" s="72">
        <v>4.5</v>
      </c>
      <c r="K336" s="72"/>
      <c r="L336" s="72" t="s">
        <v>1300</v>
      </c>
      <c r="M336" s="78">
        <v>45791</v>
      </c>
      <c r="N336" s="72" t="s">
        <v>1299</v>
      </c>
      <c r="O336" s="72">
        <v>7.5</v>
      </c>
      <c r="P336" s="72"/>
      <c r="Q336" s="72"/>
      <c r="R336" s="78"/>
      <c r="S336" s="72"/>
      <c r="T336" s="72"/>
      <c r="U336" s="72"/>
      <c r="V336" s="72"/>
      <c r="W336" s="72"/>
      <c r="X336" s="72"/>
      <c r="Y336" s="72"/>
      <c r="Z336" s="72"/>
      <c r="AA336" s="79"/>
      <c r="AB336" s="79"/>
      <c r="AC336" s="79"/>
      <c r="AD336" s="79"/>
      <c r="AE336" s="79"/>
    </row>
    <row r="337" spans="1:31" ht="16.5" x14ac:dyDescent="0.35">
      <c r="A337" s="71">
        <v>331</v>
      </c>
      <c r="B337" s="72">
        <v>2041225668</v>
      </c>
      <c r="C337" s="80" t="s">
        <v>1112</v>
      </c>
      <c r="D337" s="81" t="s">
        <v>714</v>
      </c>
      <c r="E337" s="72" t="s">
        <v>148</v>
      </c>
      <c r="F337" s="76">
        <v>4</v>
      </c>
      <c r="G337" s="72" t="s">
        <v>925</v>
      </c>
      <c r="H337" s="78">
        <v>45433</v>
      </c>
      <c r="I337" s="72" t="s">
        <v>1299</v>
      </c>
      <c r="J337" s="72">
        <v>7</v>
      </c>
      <c r="K337" s="72"/>
      <c r="L337" s="72" t="s">
        <v>1300</v>
      </c>
      <c r="M337" s="78">
        <v>45422</v>
      </c>
      <c r="N337" s="72" t="s">
        <v>1299</v>
      </c>
      <c r="O337" s="72">
        <v>5.5</v>
      </c>
      <c r="P337" s="72"/>
      <c r="Q337" s="72" t="s">
        <v>1300</v>
      </c>
      <c r="R337" s="78">
        <v>45631</v>
      </c>
      <c r="S337" s="72" t="s">
        <v>1299</v>
      </c>
      <c r="T337" s="72">
        <v>8</v>
      </c>
      <c r="U337" s="72"/>
      <c r="V337" s="88" t="s">
        <v>1302</v>
      </c>
      <c r="W337" s="78">
        <v>45552</v>
      </c>
      <c r="X337" s="72" t="s">
        <v>1299</v>
      </c>
      <c r="Y337" s="72"/>
      <c r="Z337" s="72"/>
      <c r="AA337" s="79"/>
      <c r="AB337" s="79"/>
      <c r="AC337" s="79"/>
      <c r="AD337" s="79"/>
      <c r="AE337" s="79"/>
    </row>
    <row r="338" spans="1:31" ht="16.5" x14ac:dyDescent="0.35">
      <c r="A338" s="71">
        <v>332</v>
      </c>
      <c r="B338" s="72">
        <v>2041225749</v>
      </c>
      <c r="C338" s="80" t="s">
        <v>44</v>
      </c>
      <c r="D338" s="81" t="s">
        <v>280</v>
      </c>
      <c r="E338" s="72" t="s">
        <v>148</v>
      </c>
      <c r="F338" s="76">
        <v>2</v>
      </c>
      <c r="G338" s="72" t="s">
        <v>1301</v>
      </c>
      <c r="H338" s="78">
        <v>45630</v>
      </c>
      <c r="I338" s="72" t="s">
        <v>1299</v>
      </c>
      <c r="J338" s="72">
        <v>6</v>
      </c>
      <c r="K338" s="72"/>
      <c r="L338" s="72" t="s">
        <v>925</v>
      </c>
      <c r="M338" s="78">
        <v>45636</v>
      </c>
      <c r="N338" s="72" t="s">
        <v>1299</v>
      </c>
      <c r="O338" s="72">
        <v>7</v>
      </c>
      <c r="P338" s="72"/>
      <c r="Q338" s="72"/>
      <c r="R338" s="78"/>
      <c r="S338" s="72"/>
      <c r="T338" s="72"/>
      <c r="U338" s="72"/>
      <c r="V338" s="72"/>
      <c r="W338" s="72"/>
      <c r="X338" s="72"/>
      <c r="Y338" s="72"/>
      <c r="Z338" s="72"/>
      <c r="AA338" s="79"/>
      <c r="AB338" s="79"/>
      <c r="AC338" s="79"/>
      <c r="AD338" s="79"/>
      <c r="AE338" s="79"/>
    </row>
    <row r="339" spans="1:31" ht="16.5" x14ac:dyDescent="0.35">
      <c r="A339" s="71">
        <v>333</v>
      </c>
      <c r="B339" s="72">
        <v>2041225754</v>
      </c>
      <c r="C339" s="80" t="s">
        <v>800</v>
      </c>
      <c r="D339" s="81" t="s">
        <v>280</v>
      </c>
      <c r="E339" s="72" t="s">
        <v>148</v>
      </c>
      <c r="F339" s="76">
        <v>3</v>
      </c>
      <c r="G339" s="72" t="s">
        <v>925</v>
      </c>
      <c r="H339" s="78">
        <v>45398</v>
      </c>
      <c r="I339" s="72" t="s">
        <v>1299</v>
      </c>
      <c r="J339" s="72">
        <v>7</v>
      </c>
      <c r="K339" s="72"/>
      <c r="L339" s="72" t="s">
        <v>1301</v>
      </c>
      <c r="M339" s="78">
        <v>45629</v>
      </c>
      <c r="N339" s="72" t="s">
        <v>1299</v>
      </c>
      <c r="O339" s="72">
        <v>8.5</v>
      </c>
      <c r="P339" s="72"/>
      <c r="Q339" s="88" t="s">
        <v>1302</v>
      </c>
      <c r="R339" s="78">
        <v>45552</v>
      </c>
      <c r="S339" s="72" t="s">
        <v>1299</v>
      </c>
      <c r="T339" s="72"/>
      <c r="U339" s="72"/>
      <c r="V339" s="72"/>
      <c r="W339" s="72"/>
      <c r="X339" s="72"/>
      <c r="Y339" s="72"/>
      <c r="Z339" s="72"/>
      <c r="AA339" s="79"/>
      <c r="AB339" s="79"/>
      <c r="AC339" s="79"/>
      <c r="AD339" s="79"/>
      <c r="AE339" s="79"/>
    </row>
    <row r="340" spans="1:31" ht="16.5" x14ac:dyDescent="0.35">
      <c r="A340" s="71">
        <v>334</v>
      </c>
      <c r="B340" s="72">
        <v>2041225790</v>
      </c>
      <c r="C340" s="80" t="s">
        <v>1114</v>
      </c>
      <c r="D340" s="81" t="s">
        <v>262</v>
      </c>
      <c r="E340" s="72" t="s">
        <v>148</v>
      </c>
      <c r="F340" s="76">
        <v>3</v>
      </c>
      <c r="G340" s="72" t="s">
        <v>924</v>
      </c>
      <c r="H340" s="78">
        <v>45621</v>
      </c>
      <c r="I340" s="72" t="s">
        <v>1299</v>
      </c>
      <c r="J340" s="72">
        <v>8.5</v>
      </c>
      <c r="K340" s="72"/>
      <c r="L340" s="72" t="s">
        <v>1301</v>
      </c>
      <c r="M340" s="78">
        <v>45629</v>
      </c>
      <c r="N340" s="72" t="s">
        <v>1299</v>
      </c>
      <c r="O340" s="72">
        <v>8.5</v>
      </c>
      <c r="P340" s="72">
        <v>0.5</v>
      </c>
      <c r="Q340" s="88" t="s">
        <v>1302</v>
      </c>
      <c r="R340" s="78">
        <v>45552</v>
      </c>
      <c r="S340" s="72" t="s">
        <v>1299</v>
      </c>
      <c r="T340" s="72"/>
      <c r="U340" s="72"/>
      <c r="V340" s="72"/>
      <c r="W340" s="72"/>
      <c r="X340" s="72"/>
      <c r="Y340" s="72"/>
      <c r="Z340" s="72"/>
      <c r="AA340" s="79"/>
      <c r="AB340" s="79"/>
      <c r="AC340" s="79"/>
      <c r="AD340" s="79"/>
      <c r="AE340" s="79"/>
    </row>
    <row r="341" spans="1:31" ht="16.5" x14ac:dyDescent="0.35">
      <c r="A341" s="71">
        <v>335</v>
      </c>
      <c r="B341" s="72">
        <v>2041225813</v>
      </c>
      <c r="C341" s="80" t="s">
        <v>440</v>
      </c>
      <c r="D341" s="81" t="s">
        <v>66</v>
      </c>
      <c r="E341" s="72" t="s">
        <v>148</v>
      </c>
      <c r="F341" s="76">
        <v>2</v>
      </c>
      <c r="G341" s="72" t="s">
        <v>924</v>
      </c>
      <c r="H341" s="78">
        <v>45637</v>
      </c>
      <c r="I341" s="72" t="s">
        <v>1299</v>
      </c>
      <c r="J341" s="72">
        <v>8</v>
      </c>
      <c r="K341" s="72"/>
      <c r="L341" s="72" t="s">
        <v>1300</v>
      </c>
      <c r="M341" s="78">
        <v>45791</v>
      </c>
      <c r="N341" s="72" t="s">
        <v>1299</v>
      </c>
      <c r="O341" s="72">
        <v>7.5</v>
      </c>
      <c r="P341" s="72">
        <v>0.5</v>
      </c>
      <c r="Q341" s="72"/>
      <c r="R341" s="78"/>
      <c r="S341" s="72"/>
      <c r="T341" s="72"/>
      <c r="U341" s="72"/>
      <c r="V341" s="72"/>
      <c r="W341" s="72"/>
      <c r="X341" s="72"/>
      <c r="Y341" s="72"/>
      <c r="Z341" s="72"/>
      <c r="AA341" s="79"/>
      <c r="AB341" s="79"/>
      <c r="AC341" s="79"/>
      <c r="AD341" s="79"/>
      <c r="AE341" s="79"/>
    </row>
    <row r="342" spans="1:31" ht="16.5" x14ac:dyDescent="0.35">
      <c r="A342" s="71">
        <v>336</v>
      </c>
      <c r="B342" s="72">
        <v>2041225975</v>
      </c>
      <c r="C342" s="80" t="s">
        <v>1117</v>
      </c>
      <c r="D342" s="81" t="s">
        <v>56</v>
      </c>
      <c r="E342" s="72" t="s">
        <v>148</v>
      </c>
      <c r="F342" s="76">
        <v>4</v>
      </c>
      <c r="G342" s="72" t="s">
        <v>925</v>
      </c>
      <c r="H342" s="78">
        <v>45440</v>
      </c>
      <c r="I342" s="72" t="s">
        <v>1299</v>
      </c>
      <c r="J342" s="72">
        <v>5</v>
      </c>
      <c r="K342" s="72"/>
      <c r="L342" s="72" t="s">
        <v>1300</v>
      </c>
      <c r="M342" s="78">
        <v>45436</v>
      </c>
      <c r="N342" s="72" t="s">
        <v>1299</v>
      </c>
      <c r="O342" s="72">
        <v>6</v>
      </c>
      <c r="P342" s="72"/>
      <c r="Q342" s="72" t="s">
        <v>924</v>
      </c>
      <c r="R342" s="78">
        <v>45645</v>
      </c>
      <c r="S342" s="72" t="s">
        <v>1299</v>
      </c>
      <c r="T342" s="72">
        <v>6</v>
      </c>
      <c r="U342" s="72"/>
      <c r="V342" s="72" t="s">
        <v>1300</v>
      </c>
      <c r="W342" s="78">
        <v>45644</v>
      </c>
      <c r="X342" s="72" t="s">
        <v>1299</v>
      </c>
      <c r="Y342" s="72">
        <v>8</v>
      </c>
      <c r="Z342" s="72"/>
      <c r="AA342" s="79"/>
      <c r="AB342" s="79"/>
      <c r="AC342" s="79"/>
      <c r="AD342" s="79"/>
      <c r="AE342" s="79"/>
    </row>
    <row r="343" spans="1:31" ht="16.5" x14ac:dyDescent="0.35">
      <c r="A343" s="71">
        <v>337</v>
      </c>
      <c r="B343" s="72">
        <v>2041225983</v>
      </c>
      <c r="C343" s="80" t="s">
        <v>1115</v>
      </c>
      <c r="D343" s="81" t="s">
        <v>56</v>
      </c>
      <c r="E343" s="72" t="s">
        <v>148</v>
      </c>
      <c r="F343" s="76">
        <v>3</v>
      </c>
      <c r="G343" s="72" t="s">
        <v>1300</v>
      </c>
      <c r="H343" s="78">
        <v>45471</v>
      </c>
      <c r="I343" s="72" t="s">
        <v>1299</v>
      </c>
      <c r="J343" s="72">
        <v>5</v>
      </c>
      <c r="K343" s="72"/>
      <c r="L343" s="72" t="s">
        <v>924</v>
      </c>
      <c r="M343" s="78">
        <v>45602</v>
      </c>
      <c r="N343" s="72" t="s">
        <v>1299</v>
      </c>
      <c r="O343" s="72">
        <v>7.5</v>
      </c>
      <c r="P343" s="72">
        <v>0.5</v>
      </c>
      <c r="Q343" s="72" t="s">
        <v>1300</v>
      </c>
      <c r="R343" s="78">
        <v>45644</v>
      </c>
      <c r="S343" s="72" t="s">
        <v>1299</v>
      </c>
      <c r="T343" s="72">
        <v>8</v>
      </c>
      <c r="U343" s="72"/>
      <c r="V343" s="72"/>
      <c r="W343" s="72"/>
      <c r="X343" s="72"/>
      <c r="Y343" s="72"/>
      <c r="Z343" s="72"/>
      <c r="AA343" s="79"/>
      <c r="AB343" s="79"/>
      <c r="AC343" s="79"/>
      <c r="AD343" s="79"/>
      <c r="AE343" s="79"/>
    </row>
    <row r="344" spans="1:31" ht="16.5" x14ac:dyDescent="0.35">
      <c r="A344" s="71">
        <v>338</v>
      </c>
      <c r="B344" s="72">
        <v>2041226001</v>
      </c>
      <c r="C344" s="80" t="s">
        <v>442</v>
      </c>
      <c r="D344" s="81" t="s">
        <v>56</v>
      </c>
      <c r="E344" s="72" t="s">
        <v>148</v>
      </c>
      <c r="F344" s="76">
        <v>1</v>
      </c>
      <c r="G344" s="72" t="s">
        <v>1300</v>
      </c>
      <c r="H344" s="78">
        <v>45742</v>
      </c>
      <c r="I344" s="72" t="s">
        <v>1299</v>
      </c>
      <c r="J344" s="72">
        <v>8.5</v>
      </c>
      <c r="K344" s="72"/>
      <c r="L344" s="72"/>
      <c r="M344" s="78"/>
      <c r="N344" s="72"/>
      <c r="O344" s="72"/>
      <c r="P344" s="72"/>
      <c r="Q344" s="72"/>
      <c r="R344" s="78"/>
      <c r="S344" s="72"/>
      <c r="T344" s="72"/>
      <c r="U344" s="72"/>
      <c r="V344" s="72"/>
      <c r="W344" s="72"/>
      <c r="X344" s="72"/>
      <c r="Y344" s="72"/>
      <c r="Z344" s="72"/>
      <c r="AA344" s="79"/>
      <c r="AB344" s="79"/>
      <c r="AC344" s="79"/>
      <c r="AD344" s="79"/>
      <c r="AE344" s="79"/>
    </row>
    <row r="345" spans="1:31" ht="16.5" x14ac:dyDescent="0.35">
      <c r="A345" s="71">
        <v>339</v>
      </c>
      <c r="B345" s="72">
        <v>2041226076</v>
      </c>
      <c r="C345" s="80" t="s">
        <v>1118</v>
      </c>
      <c r="D345" s="81" t="s">
        <v>24</v>
      </c>
      <c r="E345" s="72" t="s">
        <v>148</v>
      </c>
      <c r="F345" s="76">
        <v>4</v>
      </c>
      <c r="G345" s="72" t="s">
        <v>925</v>
      </c>
      <c r="H345" s="78">
        <v>45440</v>
      </c>
      <c r="I345" s="72" t="s">
        <v>1299</v>
      </c>
      <c r="J345" s="72">
        <v>5.5</v>
      </c>
      <c r="K345" s="72">
        <v>1</v>
      </c>
      <c r="L345" s="72" t="s">
        <v>1300</v>
      </c>
      <c r="M345" s="78">
        <v>45436</v>
      </c>
      <c r="N345" s="72" t="s">
        <v>1299</v>
      </c>
      <c r="O345" s="72">
        <v>5.5</v>
      </c>
      <c r="P345" s="72"/>
      <c r="Q345" s="72" t="s">
        <v>924</v>
      </c>
      <c r="R345" s="78">
        <v>45645</v>
      </c>
      <c r="S345" s="72" t="s">
        <v>1299</v>
      </c>
      <c r="T345" s="72">
        <v>6.5</v>
      </c>
      <c r="U345" s="72">
        <v>0.5</v>
      </c>
      <c r="V345" s="72" t="s">
        <v>1300</v>
      </c>
      <c r="W345" s="78">
        <v>45644</v>
      </c>
      <c r="X345" s="72" t="s">
        <v>1299</v>
      </c>
      <c r="Y345" s="72">
        <v>8</v>
      </c>
      <c r="Z345" s="72"/>
      <c r="AA345" s="79"/>
      <c r="AB345" s="79"/>
      <c r="AC345" s="79"/>
      <c r="AD345" s="79"/>
      <c r="AE345" s="79"/>
    </row>
    <row r="346" spans="1:31" ht="16.5" x14ac:dyDescent="0.35">
      <c r="A346" s="71">
        <v>340</v>
      </c>
      <c r="B346" s="72">
        <v>2041226078</v>
      </c>
      <c r="C346" s="80" t="s">
        <v>1119</v>
      </c>
      <c r="D346" s="81" t="s">
        <v>24</v>
      </c>
      <c r="E346" s="72" t="s">
        <v>148</v>
      </c>
      <c r="F346" s="76">
        <v>2</v>
      </c>
      <c r="G346" s="72" t="s">
        <v>924</v>
      </c>
      <c r="H346" s="78">
        <v>45621</v>
      </c>
      <c r="I346" s="72" t="s">
        <v>1299</v>
      </c>
      <c r="J346" s="72">
        <v>8.5</v>
      </c>
      <c r="K346" s="72"/>
      <c r="L346" s="72" t="s">
        <v>1300</v>
      </c>
      <c r="M346" s="78">
        <v>45631</v>
      </c>
      <c r="N346" s="72" t="s">
        <v>1299</v>
      </c>
      <c r="O346" s="72">
        <v>9.5</v>
      </c>
      <c r="P346" s="72"/>
      <c r="Q346" s="72"/>
      <c r="R346" s="78"/>
      <c r="S346" s="72"/>
      <c r="T346" s="72"/>
      <c r="U346" s="72"/>
      <c r="V346" s="72"/>
      <c r="W346" s="72"/>
      <c r="X346" s="72"/>
      <c r="Y346" s="72"/>
      <c r="Z346" s="72"/>
      <c r="AA346" s="79"/>
      <c r="AB346" s="79"/>
      <c r="AC346" s="79"/>
      <c r="AD346" s="79"/>
      <c r="AE346" s="79"/>
    </row>
    <row r="347" spans="1:31" ht="16.5" x14ac:dyDescent="0.35">
      <c r="A347" s="71">
        <v>341</v>
      </c>
      <c r="B347" s="72">
        <v>2041220013</v>
      </c>
      <c r="C347" s="80" t="s">
        <v>906</v>
      </c>
      <c r="D347" s="81" t="s">
        <v>71</v>
      </c>
      <c r="E347" s="72" t="s">
        <v>444</v>
      </c>
      <c r="F347" s="76">
        <v>2</v>
      </c>
      <c r="G347" s="72" t="s">
        <v>924</v>
      </c>
      <c r="H347" s="78">
        <v>45621</v>
      </c>
      <c r="I347" s="72" t="s">
        <v>1299</v>
      </c>
      <c r="J347" s="72">
        <v>8.5</v>
      </c>
      <c r="K347" s="72"/>
      <c r="L347" s="72" t="s">
        <v>1301</v>
      </c>
      <c r="M347" s="78">
        <v>45630</v>
      </c>
      <c r="N347" s="72" t="s">
        <v>1299</v>
      </c>
      <c r="O347" s="72">
        <v>8.5</v>
      </c>
      <c r="P347" s="72"/>
      <c r="Q347" s="72"/>
      <c r="R347" s="78"/>
      <c r="S347" s="72"/>
      <c r="T347" s="72"/>
      <c r="U347" s="72"/>
      <c r="V347" s="72"/>
      <c r="W347" s="72"/>
      <c r="X347" s="72"/>
      <c r="Y347" s="72"/>
      <c r="Z347" s="72"/>
      <c r="AA347" s="79"/>
      <c r="AB347" s="79"/>
      <c r="AC347" s="79"/>
      <c r="AD347" s="79"/>
      <c r="AE347" s="79"/>
    </row>
    <row r="348" spans="1:31" ht="16.5" x14ac:dyDescent="0.35">
      <c r="A348" s="71">
        <v>342</v>
      </c>
      <c r="B348" s="72">
        <v>2041220119</v>
      </c>
      <c r="C348" s="80" t="s">
        <v>443</v>
      </c>
      <c r="D348" s="81" t="s">
        <v>36</v>
      </c>
      <c r="E348" s="72" t="s">
        <v>444</v>
      </c>
      <c r="F348" s="76">
        <v>2</v>
      </c>
      <c r="G348" s="72" t="s">
        <v>925</v>
      </c>
      <c r="H348" s="78">
        <v>45818</v>
      </c>
      <c r="I348" s="72" t="s">
        <v>1299</v>
      </c>
      <c r="J348" s="72">
        <v>8</v>
      </c>
      <c r="K348" s="72"/>
      <c r="L348" s="72" t="s">
        <v>924</v>
      </c>
      <c r="M348" s="78">
        <v>45776</v>
      </c>
      <c r="N348" s="72" t="s">
        <v>1299</v>
      </c>
      <c r="O348" s="72">
        <v>8.5</v>
      </c>
      <c r="P348" s="72"/>
      <c r="Q348" s="72"/>
      <c r="R348" s="78"/>
      <c r="S348" s="72"/>
      <c r="T348" s="72"/>
      <c r="U348" s="72"/>
      <c r="V348" s="72"/>
      <c r="W348" s="72"/>
      <c r="X348" s="72"/>
      <c r="Y348" s="72"/>
      <c r="Z348" s="72"/>
      <c r="AA348" s="79"/>
      <c r="AB348" s="79"/>
      <c r="AC348" s="79"/>
      <c r="AD348" s="79"/>
      <c r="AE348" s="79"/>
    </row>
    <row r="349" spans="1:31" ht="16.5" x14ac:dyDescent="0.35">
      <c r="A349" s="71">
        <v>343</v>
      </c>
      <c r="B349" s="72">
        <v>2041220252</v>
      </c>
      <c r="C349" s="80" t="s">
        <v>502</v>
      </c>
      <c r="D349" s="81" t="s">
        <v>170</v>
      </c>
      <c r="E349" s="72" t="s">
        <v>444</v>
      </c>
      <c r="F349" s="76">
        <v>0</v>
      </c>
      <c r="G349" s="72"/>
      <c r="H349" s="78"/>
      <c r="I349" s="72"/>
      <c r="J349" s="72"/>
      <c r="K349" s="72"/>
      <c r="L349" s="72"/>
      <c r="M349" s="72"/>
      <c r="N349" s="72"/>
      <c r="O349" s="72"/>
      <c r="P349" s="72"/>
      <c r="Q349" s="72"/>
      <c r="R349" s="78"/>
      <c r="S349" s="72"/>
      <c r="T349" s="72"/>
      <c r="U349" s="72"/>
      <c r="V349" s="72"/>
      <c r="W349" s="72"/>
      <c r="X349" s="72"/>
      <c r="Y349" s="72"/>
      <c r="Z349" s="72"/>
      <c r="AA349" s="79"/>
      <c r="AB349" s="79"/>
      <c r="AC349" s="79"/>
      <c r="AD349" s="79"/>
      <c r="AE349" s="79"/>
    </row>
    <row r="350" spans="1:31" ht="16.5" x14ac:dyDescent="0.35">
      <c r="A350" s="71">
        <v>344</v>
      </c>
      <c r="B350" s="72">
        <v>2041220466</v>
      </c>
      <c r="C350" s="80" t="s">
        <v>527</v>
      </c>
      <c r="D350" s="81" t="s">
        <v>324</v>
      </c>
      <c r="E350" s="72" t="s">
        <v>444</v>
      </c>
      <c r="F350" s="76">
        <v>3</v>
      </c>
      <c r="G350" s="72" t="s">
        <v>1301</v>
      </c>
      <c r="H350" s="78">
        <v>45629</v>
      </c>
      <c r="I350" s="72" t="s">
        <v>1299</v>
      </c>
      <c r="J350" s="72">
        <v>8.5</v>
      </c>
      <c r="K350" s="72"/>
      <c r="L350" s="72" t="s">
        <v>924</v>
      </c>
      <c r="M350" s="78">
        <v>45623</v>
      </c>
      <c r="N350" s="72" t="s">
        <v>1299</v>
      </c>
      <c r="O350" s="72">
        <v>8</v>
      </c>
      <c r="P350" s="72"/>
      <c r="Q350" s="88" t="s">
        <v>1302</v>
      </c>
      <c r="R350" s="78">
        <v>45552</v>
      </c>
      <c r="S350" s="72" t="s">
        <v>1299</v>
      </c>
      <c r="T350" s="72"/>
      <c r="U350" s="72"/>
      <c r="V350" s="72"/>
      <c r="W350" s="72"/>
      <c r="X350" s="72"/>
      <c r="Y350" s="72"/>
      <c r="Z350" s="72"/>
      <c r="AA350" s="79"/>
      <c r="AB350" s="79"/>
      <c r="AC350" s="79"/>
      <c r="AD350" s="79"/>
      <c r="AE350" s="79"/>
    </row>
    <row r="351" spans="1:31" ht="16.5" x14ac:dyDescent="0.35">
      <c r="A351" s="71">
        <v>345</v>
      </c>
      <c r="B351" s="72">
        <v>2041220535</v>
      </c>
      <c r="C351" s="80" t="s">
        <v>1122</v>
      </c>
      <c r="D351" s="81" t="s">
        <v>533</v>
      </c>
      <c r="E351" s="72" t="s">
        <v>444</v>
      </c>
      <c r="F351" s="76">
        <v>2</v>
      </c>
      <c r="G351" s="72" t="s">
        <v>924</v>
      </c>
      <c r="H351" s="78">
        <v>45621</v>
      </c>
      <c r="I351" s="72" t="s">
        <v>1299</v>
      </c>
      <c r="J351" s="72">
        <v>6</v>
      </c>
      <c r="K351" s="72"/>
      <c r="L351" s="88" t="s">
        <v>1302</v>
      </c>
      <c r="M351" s="78">
        <v>45552</v>
      </c>
      <c r="N351" s="72" t="s">
        <v>1299</v>
      </c>
      <c r="O351" s="72"/>
      <c r="P351" s="72"/>
      <c r="Q351" s="72"/>
      <c r="R351" s="78"/>
      <c r="S351" s="72"/>
      <c r="T351" s="72"/>
      <c r="U351" s="72"/>
      <c r="V351" s="72"/>
      <c r="W351" s="72"/>
      <c r="X351" s="72"/>
      <c r="Y351" s="72"/>
      <c r="Z351" s="72"/>
      <c r="AA351" s="79"/>
      <c r="AB351" s="79"/>
      <c r="AC351" s="79"/>
      <c r="AD351" s="79"/>
      <c r="AE351" s="79"/>
    </row>
    <row r="352" spans="1:31" ht="16.5" x14ac:dyDescent="0.35">
      <c r="A352" s="71">
        <v>346</v>
      </c>
      <c r="B352" s="72">
        <v>2041220538</v>
      </c>
      <c r="C352" s="80" t="s">
        <v>95</v>
      </c>
      <c r="D352" s="81" t="s">
        <v>533</v>
      </c>
      <c r="E352" s="72" t="s">
        <v>444</v>
      </c>
      <c r="F352" s="76">
        <v>0</v>
      </c>
      <c r="G352" s="72"/>
      <c r="H352" s="78"/>
      <c r="I352" s="72"/>
      <c r="J352" s="72"/>
      <c r="K352" s="72"/>
      <c r="L352" s="72"/>
      <c r="M352" s="72"/>
      <c r="N352" s="72"/>
      <c r="O352" s="72"/>
      <c r="P352" s="72"/>
      <c r="Q352" s="72"/>
      <c r="R352" s="78"/>
      <c r="S352" s="72"/>
      <c r="T352" s="72"/>
      <c r="U352" s="72"/>
      <c r="V352" s="72"/>
      <c r="W352" s="72"/>
      <c r="X352" s="72"/>
      <c r="Y352" s="72"/>
      <c r="Z352" s="72"/>
      <c r="AA352" s="79"/>
      <c r="AB352" s="79"/>
      <c r="AC352" s="79"/>
      <c r="AD352" s="79"/>
      <c r="AE352" s="79"/>
    </row>
    <row r="353" spans="1:31" ht="16.5" x14ac:dyDescent="0.35">
      <c r="A353" s="71">
        <v>347</v>
      </c>
      <c r="B353" s="72">
        <v>2041220743</v>
      </c>
      <c r="C353" s="80" t="s">
        <v>1123</v>
      </c>
      <c r="D353" s="81" t="s">
        <v>73</v>
      </c>
      <c r="E353" s="72" t="s">
        <v>444</v>
      </c>
      <c r="F353" s="76">
        <v>0</v>
      </c>
      <c r="G353" s="72"/>
      <c r="H353" s="78"/>
      <c r="I353" s="72"/>
      <c r="J353" s="72"/>
      <c r="K353" s="72"/>
      <c r="L353" s="72"/>
      <c r="M353" s="72"/>
      <c r="N353" s="72"/>
      <c r="O353" s="72"/>
      <c r="P353" s="72"/>
      <c r="Q353" s="72"/>
      <c r="R353" s="78"/>
      <c r="S353" s="72"/>
      <c r="T353" s="72"/>
      <c r="U353" s="72"/>
      <c r="V353" s="72"/>
      <c r="W353" s="72"/>
      <c r="X353" s="72"/>
      <c r="Y353" s="72"/>
      <c r="Z353" s="72"/>
      <c r="AA353" s="79"/>
      <c r="AB353" s="79"/>
      <c r="AC353" s="79"/>
      <c r="AD353" s="79"/>
      <c r="AE353" s="79"/>
    </row>
    <row r="354" spans="1:31" ht="16.5" x14ac:dyDescent="0.35">
      <c r="A354" s="71">
        <v>348</v>
      </c>
      <c r="B354" s="72">
        <v>2041220739</v>
      </c>
      <c r="C354" s="80" t="s">
        <v>456</v>
      </c>
      <c r="D354" s="81" t="s">
        <v>73</v>
      </c>
      <c r="E354" s="72" t="s">
        <v>444</v>
      </c>
      <c r="F354" s="76">
        <v>3</v>
      </c>
      <c r="G354" s="72" t="s">
        <v>1300</v>
      </c>
      <c r="H354" s="78">
        <v>45728</v>
      </c>
      <c r="I354" s="72" t="s">
        <v>1299</v>
      </c>
      <c r="J354" s="72">
        <v>8.5</v>
      </c>
      <c r="K354" s="72"/>
      <c r="L354" s="72" t="s">
        <v>925</v>
      </c>
      <c r="M354" s="78">
        <v>45769</v>
      </c>
      <c r="N354" s="72" t="s">
        <v>1299</v>
      </c>
      <c r="O354" s="72">
        <v>9.5</v>
      </c>
      <c r="P354" s="72"/>
      <c r="Q354" s="72" t="s">
        <v>924</v>
      </c>
      <c r="R354" s="78">
        <v>45786</v>
      </c>
      <c r="S354" s="72" t="s">
        <v>1299</v>
      </c>
      <c r="T354" s="72">
        <v>8.5</v>
      </c>
      <c r="U354" s="72"/>
      <c r="V354" s="72"/>
      <c r="W354" s="72"/>
      <c r="X354" s="72"/>
      <c r="Y354" s="72"/>
      <c r="Z354" s="72"/>
      <c r="AA354" s="79"/>
      <c r="AB354" s="79"/>
      <c r="AC354" s="79"/>
      <c r="AD354" s="79"/>
      <c r="AE354" s="79"/>
    </row>
    <row r="355" spans="1:31" ht="16.5" x14ac:dyDescent="0.35">
      <c r="A355" s="71">
        <v>349</v>
      </c>
      <c r="B355" s="72">
        <v>2041220789</v>
      </c>
      <c r="C355" s="80" t="s">
        <v>1125</v>
      </c>
      <c r="D355" s="81" t="s">
        <v>84</v>
      </c>
      <c r="E355" s="72" t="s">
        <v>444</v>
      </c>
      <c r="F355" s="76">
        <v>2</v>
      </c>
      <c r="G355" s="72" t="s">
        <v>924</v>
      </c>
      <c r="H355" s="78">
        <v>45621</v>
      </c>
      <c r="I355" s="72" t="s">
        <v>1299</v>
      </c>
      <c r="J355" s="72">
        <v>6.5</v>
      </c>
      <c r="K355" s="72"/>
      <c r="L355" s="88" t="s">
        <v>1302</v>
      </c>
      <c r="M355" s="78">
        <v>45552</v>
      </c>
      <c r="N355" s="72" t="s">
        <v>1299</v>
      </c>
      <c r="O355" s="72"/>
      <c r="P355" s="72"/>
      <c r="Q355" s="72"/>
      <c r="R355" s="78"/>
      <c r="S355" s="72"/>
      <c r="T355" s="72"/>
      <c r="U355" s="72"/>
      <c r="V355" s="72"/>
      <c r="W355" s="72"/>
      <c r="X355" s="72"/>
      <c r="Y355" s="72"/>
      <c r="Z355" s="72"/>
      <c r="AA355" s="79"/>
      <c r="AB355" s="79"/>
      <c r="AC355" s="79"/>
      <c r="AD355" s="79"/>
      <c r="AE355" s="79"/>
    </row>
    <row r="356" spans="1:31" ht="16.5" x14ac:dyDescent="0.35">
      <c r="A356" s="71">
        <v>350</v>
      </c>
      <c r="B356" s="72">
        <v>2041220953</v>
      </c>
      <c r="C356" s="80" t="s">
        <v>445</v>
      </c>
      <c r="D356" s="81" t="s">
        <v>446</v>
      </c>
      <c r="E356" s="72" t="s">
        <v>444</v>
      </c>
      <c r="F356" s="76">
        <v>2</v>
      </c>
      <c r="G356" s="72" t="s">
        <v>924</v>
      </c>
      <c r="H356" s="78">
        <v>45623</v>
      </c>
      <c r="I356" s="72" t="s">
        <v>1299</v>
      </c>
      <c r="J356" s="72">
        <v>8</v>
      </c>
      <c r="K356" s="72"/>
      <c r="L356" s="79" t="s">
        <v>928</v>
      </c>
      <c r="M356" s="83">
        <v>45799</v>
      </c>
      <c r="N356" s="79" t="s">
        <v>1299</v>
      </c>
      <c r="O356" s="72">
        <v>6.5</v>
      </c>
      <c r="P356" s="72"/>
      <c r="Q356" s="72"/>
      <c r="R356" s="78"/>
      <c r="S356" s="72"/>
      <c r="T356" s="72"/>
      <c r="U356" s="72"/>
      <c r="V356" s="72"/>
      <c r="W356" s="72"/>
      <c r="X356" s="72"/>
      <c r="Y356" s="72"/>
      <c r="Z356" s="72"/>
      <c r="AA356" s="79"/>
      <c r="AB356" s="79"/>
      <c r="AC356" s="79"/>
      <c r="AD356" s="79"/>
      <c r="AE356" s="79"/>
    </row>
    <row r="357" spans="1:31" ht="16.5" x14ac:dyDescent="0.35">
      <c r="A357" s="71">
        <v>351</v>
      </c>
      <c r="B357" s="72">
        <v>2041221067</v>
      </c>
      <c r="C357" s="80" t="s">
        <v>448</v>
      </c>
      <c r="D357" s="81" t="s">
        <v>449</v>
      </c>
      <c r="E357" s="72" t="s">
        <v>444</v>
      </c>
      <c r="F357" s="76">
        <v>1</v>
      </c>
      <c r="G357" s="72" t="s">
        <v>925</v>
      </c>
      <c r="H357" s="78">
        <v>45769</v>
      </c>
      <c r="I357" s="72" t="s">
        <v>1299</v>
      </c>
      <c r="J357" s="72">
        <v>9.5</v>
      </c>
      <c r="K357" s="72"/>
      <c r="L357" s="72"/>
      <c r="M357" s="78"/>
      <c r="N357" s="72"/>
      <c r="O357" s="72"/>
      <c r="P357" s="72"/>
      <c r="Q357" s="72"/>
      <c r="R357" s="78"/>
      <c r="S357" s="72"/>
      <c r="T357" s="72"/>
      <c r="U357" s="72"/>
      <c r="V357" s="72"/>
      <c r="W357" s="72"/>
      <c r="X357" s="72"/>
      <c r="Y357" s="72"/>
      <c r="Z357" s="72"/>
      <c r="AA357" s="79"/>
      <c r="AB357" s="79"/>
      <c r="AC357" s="79"/>
      <c r="AD357" s="79"/>
      <c r="AE357" s="79"/>
    </row>
    <row r="358" spans="1:31" ht="16.5" x14ac:dyDescent="0.35">
      <c r="A358" s="71">
        <v>352</v>
      </c>
      <c r="B358" s="72">
        <v>2041221255</v>
      </c>
      <c r="C358" s="80" t="s">
        <v>288</v>
      </c>
      <c r="D358" s="81" t="s">
        <v>172</v>
      </c>
      <c r="E358" s="72" t="s">
        <v>444</v>
      </c>
      <c r="F358" s="76">
        <v>2</v>
      </c>
      <c r="G358" s="72" t="s">
        <v>925</v>
      </c>
      <c r="H358" s="78">
        <v>45636</v>
      </c>
      <c r="I358" s="72" t="s">
        <v>1299</v>
      </c>
      <c r="J358" s="72">
        <v>9.5</v>
      </c>
      <c r="K358" s="72"/>
      <c r="L358" s="72" t="s">
        <v>924</v>
      </c>
      <c r="M358" s="78">
        <v>45786</v>
      </c>
      <c r="N358" s="72" t="s">
        <v>1299</v>
      </c>
      <c r="O358" s="72">
        <v>8.5</v>
      </c>
      <c r="P358" s="72"/>
      <c r="Q358" s="72"/>
      <c r="R358" s="78"/>
      <c r="S358" s="72"/>
      <c r="T358" s="72"/>
      <c r="U358" s="72"/>
      <c r="V358" s="72"/>
      <c r="W358" s="72"/>
      <c r="X358" s="72"/>
      <c r="Y358" s="72"/>
      <c r="Z358" s="72"/>
      <c r="AA358" s="79"/>
      <c r="AB358" s="79"/>
      <c r="AC358" s="79"/>
      <c r="AD358" s="79"/>
      <c r="AE358" s="79"/>
    </row>
    <row r="359" spans="1:31" ht="16.5" x14ac:dyDescent="0.35">
      <c r="A359" s="71">
        <v>353</v>
      </c>
      <c r="B359" s="72">
        <v>2041221349</v>
      </c>
      <c r="C359" s="80" t="s">
        <v>364</v>
      </c>
      <c r="D359" s="81" t="s">
        <v>105</v>
      </c>
      <c r="E359" s="72" t="s">
        <v>444</v>
      </c>
      <c r="F359" s="76">
        <v>3</v>
      </c>
      <c r="G359" s="72" t="s">
        <v>1300</v>
      </c>
      <c r="H359" s="78">
        <v>45455</v>
      </c>
      <c r="I359" s="72" t="s">
        <v>1299</v>
      </c>
      <c r="J359" s="72">
        <v>8.5</v>
      </c>
      <c r="K359" s="72"/>
      <c r="L359" s="72" t="s">
        <v>924</v>
      </c>
      <c r="M359" s="78">
        <v>45623</v>
      </c>
      <c r="N359" s="72" t="s">
        <v>1299</v>
      </c>
      <c r="O359" s="72">
        <v>7</v>
      </c>
      <c r="P359" s="72"/>
      <c r="Q359" s="72" t="s">
        <v>1301</v>
      </c>
      <c r="R359" s="78">
        <v>45630</v>
      </c>
      <c r="S359" s="72" t="s">
        <v>1299</v>
      </c>
      <c r="T359" s="72">
        <v>8.5</v>
      </c>
      <c r="U359" s="72"/>
      <c r="V359" s="72"/>
      <c r="W359" s="72"/>
      <c r="X359" s="72"/>
      <c r="Y359" s="72"/>
      <c r="Z359" s="72"/>
      <c r="AA359" s="79"/>
      <c r="AB359" s="79"/>
      <c r="AC359" s="79"/>
      <c r="AD359" s="79"/>
      <c r="AE359" s="79"/>
    </row>
    <row r="360" spans="1:31" ht="16.5" x14ac:dyDescent="0.35">
      <c r="A360" s="71">
        <v>354</v>
      </c>
      <c r="B360" s="72">
        <v>2041221373</v>
      </c>
      <c r="C360" s="80" t="s">
        <v>775</v>
      </c>
      <c r="D360" s="81" t="s">
        <v>105</v>
      </c>
      <c r="E360" s="72" t="s">
        <v>444</v>
      </c>
      <c r="F360" s="76">
        <v>1</v>
      </c>
      <c r="G360" s="72" t="s">
        <v>1300</v>
      </c>
      <c r="H360" s="78">
        <v>45455</v>
      </c>
      <c r="I360" s="72" t="s">
        <v>1299</v>
      </c>
      <c r="J360" s="72">
        <v>8.5</v>
      </c>
      <c r="K360" s="72"/>
      <c r="L360" s="72"/>
      <c r="M360" s="78"/>
      <c r="N360" s="72"/>
      <c r="O360" s="72"/>
      <c r="P360" s="72"/>
      <c r="Q360" s="72"/>
      <c r="R360" s="78"/>
      <c r="S360" s="72"/>
      <c r="T360" s="72"/>
      <c r="U360" s="72"/>
      <c r="V360" s="72"/>
      <c r="W360" s="72"/>
      <c r="X360" s="72"/>
      <c r="Y360" s="72"/>
      <c r="Z360" s="72"/>
      <c r="AA360" s="79"/>
      <c r="AB360" s="79"/>
      <c r="AC360" s="79"/>
      <c r="AD360" s="79"/>
      <c r="AE360" s="79"/>
    </row>
    <row r="361" spans="1:31" ht="16.5" x14ac:dyDescent="0.35">
      <c r="A361" s="71">
        <v>355</v>
      </c>
      <c r="B361" s="72">
        <v>2041221449</v>
      </c>
      <c r="C361" s="80" t="s">
        <v>44</v>
      </c>
      <c r="D361" s="81" t="s">
        <v>463</v>
      </c>
      <c r="E361" s="72" t="s">
        <v>444</v>
      </c>
      <c r="F361" s="76">
        <v>2</v>
      </c>
      <c r="G361" s="72" t="s">
        <v>1300</v>
      </c>
      <c r="H361" s="78">
        <v>45721</v>
      </c>
      <c r="I361" s="72" t="s">
        <v>1299</v>
      </c>
      <c r="J361" s="72">
        <v>8.5</v>
      </c>
      <c r="K361" s="72"/>
      <c r="L361" s="72" t="s">
        <v>924</v>
      </c>
      <c r="M361" s="78">
        <v>45776</v>
      </c>
      <c r="N361" s="72" t="s">
        <v>1299</v>
      </c>
      <c r="O361" s="72">
        <v>5</v>
      </c>
      <c r="P361" s="72"/>
      <c r="Q361" s="72"/>
      <c r="R361" s="78"/>
      <c r="S361" s="72"/>
      <c r="T361" s="72"/>
      <c r="U361" s="72"/>
      <c r="V361" s="72"/>
      <c r="W361" s="72"/>
      <c r="X361" s="72"/>
      <c r="Y361" s="72"/>
      <c r="Z361" s="72"/>
      <c r="AA361" s="79"/>
      <c r="AB361" s="79"/>
      <c r="AC361" s="79"/>
      <c r="AD361" s="79"/>
      <c r="AE361" s="79"/>
    </row>
    <row r="362" spans="1:31" ht="16.5" x14ac:dyDescent="0.35">
      <c r="A362" s="71">
        <v>356</v>
      </c>
      <c r="B362" s="72">
        <v>2041221509</v>
      </c>
      <c r="C362" s="80" t="s">
        <v>1128</v>
      </c>
      <c r="D362" s="81" t="s">
        <v>81</v>
      </c>
      <c r="E362" s="72" t="s">
        <v>444</v>
      </c>
      <c r="F362" s="76">
        <v>2</v>
      </c>
      <c r="G362" s="72" t="s">
        <v>924</v>
      </c>
      <c r="H362" s="78">
        <v>45623</v>
      </c>
      <c r="I362" s="72" t="s">
        <v>1299</v>
      </c>
      <c r="J362" s="72">
        <v>7.5</v>
      </c>
      <c r="K362" s="72"/>
      <c r="L362" s="72" t="s">
        <v>1301</v>
      </c>
      <c r="M362" s="78">
        <v>45630</v>
      </c>
      <c r="N362" s="72" t="s">
        <v>1299</v>
      </c>
      <c r="O362" s="72">
        <v>7.5</v>
      </c>
      <c r="P362" s="72"/>
      <c r="Q362" s="72"/>
      <c r="R362" s="78"/>
      <c r="S362" s="72"/>
      <c r="T362" s="72"/>
      <c r="U362" s="72"/>
      <c r="V362" s="72"/>
      <c r="W362" s="72"/>
      <c r="X362" s="72"/>
      <c r="Y362" s="72"/>
      <c r="Z362" s="72"/>
      <c r="AA362" s="79"/>
      <c r="AB362" s="79"/>
      <c r="AC362" s="79"/>
      <c r="AD362" s="79"/>
      <c r="AE362" s="79"/>
    </row>
    <row r="363" spans="1:31" ht="16.5" x14ac:dyDescent="0.35">
      <c r="A363" s="71">
        <v>357</v>
      </c>
      <c r="B363" s="72">
        <v>2041222216</v>
      </c>
      <c r="C363" s="80" t="s">
        <v>1129</v>
      </c>
      <c r="D363" s="81" t="s">
        <v>311</v>
      </c>
      <c r="E363" s="72" t="s">
        <v>444</v>
      </c>
      <c r="F363" s="76">
        <v>3</v>
      </c>
      <c r="G363" s="72" t="s">
        <v>924</v>
      </c>
      <c r="H363" s="78">
        <v>45623</v>
      </c>
      <c r="I363" s="72" t="s">
        <v>1299</v>
      </c>
      <c r="J363" s="72">
        <v>8.5</v>
      </c>
      <c r="K363" s="72"/>
      <c r="L363" s="72" t="s">
        <v>1301</v>
      </c>
      <c r="M363" s="78">
        <v>45629</v>
      </c>
      <c r="N363" s="72" t="s">
        <v>1299</v>
      </c>
      <c r="O363" s="72">
        <v>9.5</v>
      </c>
      <c r="P363" s="72"/>
      <c r="Q363" s="72" t="s">
        <v>1300</v>
      </c>
      <c r="R363" s="78">
        <v>45631</v>
      </c>
      <c r="S363" s="72" t="s">
        <v>1299</v>
      </c>
      <c r="T363" s="72">
        <v>8.5</v>
      </c>
      <c r="U363" s="72"/>
      <c r="V363" s="72"/>
      <c r="W363" s="72"/>
      <c r="X363" s="72"/>
      <c r="Y363" s="72"/>
      <c r="Z363" s="72"/>
      <c r="AA363" s="79"/>
      <c r="AB363" s="79"/>
      <c r="AC363" s="79"/>
      <c r="AD363" s="79"/>
      <c r="AE363" s="79"/>
    </row>
    <row r="364" spans="1:31" ht="16.5" x14ac:dyDescent="0.35">
      <c r="A364" s="71">
        <v>358</v>
      </c>
      <c r="B364" s="72">
        <v>2041222224</v>
      </c>
      <c r="C364" s="80" t="s">
        <v>119</v>
      </c>
      <c r="D364" s="81" t="s">
        <v>465</v>
      </c>
      <c r="E364" s="72" t="s">
        <v>444</v>
      </c>
      <c r="F364" s="76">
        <v>2</v>
      </c>
      <c r="G364" s="72" t="s">
        <v>925</v>
      </c>
      <c r="H364" s="78">
        <v>45769</v>
      </c>
      <c r="I364" s="72" t="s">
        <v>1299</v>
      </c>
      <c r="J364" s="72">
        <v>9.5</v>
      </c>
      <c r="K364" s="72"/>
      <c r="L364" s="72" t="s">
        <v>924</v>
      </c>
      <c r="M364" s="78">
        <v>45786</v>
      </c>
      <c r="N364" s="72" t="s">
        <v>1299</v>
      </c>
      <c r="O364" s="72">
        <v>8.5</v>
      </c>
      <c r="P364" s="72"/>
      <c r="Q364" s="72"/>
      <c r="R364" s="78"/>
      <c r="S364" s="72"/>
      <c r="T364" s="72"/>
      <c r="U364" s="72"/>
      <c r="V364" s="72"/>
      <c r="W364" s="72"/>
      <c r="X364" s="72"/>
      <c r="Y364" s="72"/>
      <c r="Z364" s="72"/>
      <c r="AA364" s="79"/>
      <c r="AB364" s="79"/>
      <c r="AC364" s="79"/>
      <c r="AD364" s="79"/>
      <c r="AE364" s="79"/>
    </row>
    <row r="365" spans="1:31" ht="16.5" x14ac:dyDescent="0.35">
      <c r="A365" s="71">
        <v>359</v>
      </c>
      <c r="B365" s="72">
        <v>2041222237</v>
      </c>
      <c r="C365" s="80" t="s">
        <v>1130</v>
      </c>
      <c r="D365" s="81" t="s">
        <v>1131</v>
      </c>
      <c r="E365" s="72" t="s">
        <v>444</v>
      </c>
      <c r="F365" s="76">
        <v>2</v>
      </c>
      <c r="G365" s="72" t="s">
        <v>924</v>
      </c>
      <c r="H365" s="78">
        <v>45621</v>
      </c>
      <c r="I365" s="72" t="s">
        <v>1299</v>
      </c>
      <c r="J365" s="72">
        <v>7.5</v>
      </c>
      <c r="K365" s="72"/>
      <c r="L365" s="88" t="s">
        <v>1302</v>
      </c>
      <c r="M365" s="78">
        <v>45552</v>
      </c>
      <c r="N365" s="72" t="s">
        <v>1299</v>
      </c>
      <c r="O365" s="72"/>
      <c r="P365" s="72"/>
      <c r="Q365" s="72"/>
      <c r="R365" s="78"/>
      <c r="S365" s="72"/>
      <c r="T365" s="72"/>
      <c r="U365" s="72"/>
      <c r="V365" s="72"/>
      <c r="W365" s="72"/>
      <c r="X365" s="72"/>
      <c r="Y365" s="72"/>
      <c r="Z365" s="72"/>
      <c r="AA365" s="79"/>
      <c r="AB365" s="79"/>
      <c r="AC365" s="79"/>
      <c r="AD365" s="79"/>
      <c r="AE365" s="79"/>
    </row>
    <row r="366" spans="1:31" ht="16.5" x14ac:dyDescent="0.35">
      <c r="A366" s="71">
        <v>360</v>
      </c>
      <c r="B366" s="72">
        <v>2041222339</v>
      </c>
      <c r="C366" s="80" t="s">
        <v>1132</v>
      </c>
      <c r="D366" s="81" t="s">
        <v>29</v>
      </c>
      <c r="E366" s="72" t="s">
        <v>444</v>
      </c>
      <c r="F366" s="76">
        <v>3</v>
      </c>
      <c r="G366" s="72" t="s">
        <v>924</v>
      </c>
      <c r="H366" s="78">
        <v>45623</v>
      </c>
      <c r="I366" s="72" t="s">
        <v>1299</v>
      </c>
      <c r="J366" s="72">
        <v>7</v>
      </c>
      <c r="K366" s="72"/>
      <c r="L366" s="72" t="s">
        <v>1301</v>
      </c>
      <c r="M366" s="78">
        <v>45629</v>
      </c>
      <c r="N366" s="72" t="s">
        <v>1299</v>
      </c>
      <c r="O366" s="72">
        <v>9</v>
      </c>
      <c r="P366" s="72"/>
      <c r="Q366" s="72" t="s">
        <v>1300</v>
      </c>
      <c r="R366" s="78">
        <v>45631</v>
      </c>
      <c r="S366" s="72" t="s">
        <v>1299</v>
      </c>
      <c r="T366" s="72">
        <v>8.5</v>
      </c>
      <c r="U366" s="72"/>
      <c r="V366" s="72"/>
      <c r="W366" s="72"/>
      <c r="X366" s="72"/>
      <c r="Y366" s="72"/>
      <c r="Z366" s="72"/>
      <c r="AA366" s="79"/>
      <c r="AB366" s="79"/>
      <c r="AC366" s="79"/>
      <c r="AD366" s="79"/>
      <c r="AE366" s="79"/>
    </row>
    <row r="367" spans="1:31" ht="16.5" x14ac:dyDescent="0.35">
      <c r="A367" s="71">
        <v>361</v>
      </c>
      <c r="B367" s="72">
        <v>2041222296</v>
      </c>
      <c r="C367" s="80" t="s">
        <v>1133</v>
      </c>
      <c r="D367" s="81" t="s">
        <v>29</v>
      </c>
      <c r="E367" s="72" t="s">
        <v>444</v>
      </c>
      <c r="F367" s="76">
        <v>3</v>
      </c>
      <c r="G367" s="72" t="s">
        <v>924</v>
      </c>
      <c r="H367" s="78">
        <v>45621</v>
      </c>
      <c r="I367" s="72" t="s">
        <v>1299</v>
      </c>
      <c r="J367" s="72">
        <v>8</v>
      </c>
      <c r="K367" s="72"/>
      <c r="L367" s="72" t="s">
        <v>1301</v>
      </c>
      <c r="M367" s="78">
        <v>45629</v>
      </c>
      <c r="N367" s="72" t="s">
        <v>1299</v>
      </c>
      <c r="O367" s="72">
        <v>9.5</v>
      </c>
      <c r="P367" s="72"/>
      <c r="Q367" s="72" t="s">
        <v>1300</v>
      </c>
      <c r="R367" s="78">
        <v>45631</v>
      </c>
      <c r="S367" s="72" t="s">
        <v>1299</v>
      </c>
      <c r="T367" s="72">
        <v>8.5</v>
      </c>
      <c r="U367" s="72"/>
      <c r="V367" s="72"/>
      <c r="W367" s="72"/>
      <c r="X367" s="72"/>
      <c r="Y367" s="72"/>
      <c r="Z367" s="72"/>
      <c r="AA367" s="79"/>
      <c r="AB367" s="79"/>
      <c r="AC367" s="79"/>
      <c r="AD367" s="79"/>
      <c r="AE367" s="79"/>
    </row>
    <row r="368" spans="1:31" ht="16.5" x14ac:dyDescent="0.35">
      <c r="A368" s="71">
        <v>362</v>
      </c>
      <c r="B368" s="72">
        <v>2041222332</v>
      </c>
      <c r="C368" s="80" t="s">
        <v>270</v>
      </c>
      <c r="D368" s="81" t="s">
        <v>29</v>
      </c>
      <c r="E368" s="72" t="s">
        <v>444</v>
      </c>
      <c r="F368" s="76">
        <v>3</v>
      </c>
      <c r="G368" s="72" t="s">
        <v>924</v>
      </c>
      <c r="H368" s="78">
        <v>45621</v>
      </c>
      <c r="I368" s="72" t="s">
        <v>1299</v>
      </c>
      <c r="J368" s="72">
        <v>7</v>
      </c>
      <c r="K368" s="72"/>
      <c r="L368" s="72" t="s">
        <v>1301</v>
      </c>
      <c r="M368" s="78">
        <v>45629</v>
      </c>
      <c r="N368" s="72" t="s">
        <v>1299</v>
      </c>
      <c r="O368" s="72">
        <v>6</v>
      </c>
      <c r="P368" s="72"/>
      <c r="Q368" s="88" t="s">
        <v>1302</v>
      </c>
      <c r="R368" s="78">
        <v>45552</v>
      </c>
      <c r="S368" s="72" t="s">
        <v>1299</v>
      </c>
      <c r="T368" s="72"/>
      <c r="U368" s="72"/>
      <c r="V368" s="72"/>
      <c r="W368" s="72"/>
      <c r="X368" s="72"/>
      <c r="Y368" s="72"/>
      <c r="Z368" s="72"/>
      <c r="AA368" s="79"/>
      <c r="AB368" s="79"/>
      <c r="AC368" s="79"/>
      <c r="AD368" s="79"/>
      <c r="AE368" s="79"/>
    </row>
    <row r="369" spans="1:31" ht="16.5" x14ac:dyDescent="0.35">
      <c r="A369" s="71">
        <v>363</v>
      </c>
      <c r="B369" s="72">
        <v>2041222486</v>
      </c>
      <c r="C369" s="80" t="s">
        <v>1136</v>
      </c>
      <c r="D369" s="81" t="s">
        <v>1137</v>
      </c>
      <c r="E369" s="72" t="s">
        <v>444</v>
      </c>
      <c r="F369" s="76">
        <v>2</v>
      </c>
      <c r="G369" s="72" t="s">
        <v>924</v>
      </c>
      <c r="H369" s="78">
        <v>45623</v>
      </c>
      <c r="I369" s="72" t="s">
        <v>1299</v>
      </c>
      <c r="J369" s="72">
        <v>6</v>
      </c>
      <c r="K369" s="72">
        <v>0.5</v>
      </c>
      <c r="L369" s="72" t="s">
        <v>1301</v>
      </c>
      <c r="M369" s="78">
        <v>45630</v>
      </c>
      <c r="N369" s="72" t="s">
        <v>1299</v>
      </c>
      <c r="O369" s="72">
        <v>7</v>
      </c>
      <c r="P369" s="72"/>
      <c r="Q369" s="72"/>
      <c r="R369" s="78"/>
      <c r="S369" s="72"/>
      <c r="T369" s="72"/>
      <c r="U369" s="72"/>
      <c r="V369" s="72"/>
      <c r="W369" s="72"/>
      <c r="X369" s="72"/>
      <c r="Y369" s="72"/>
      <c r="Z369" s="72"/>
      <c r="AA369" s="79"/>
      <c r="AB369" s="79"/>
      <c r="AC369" s="79"/>
      <c r="AD369" s="79"/>
      <c r="AE369" s="79"/>
    </row>
    <row r="370" spans="1:31" ht="16.5" x14ac:dyDescent="0.35">
      <c r="A370" s="71">
        <v>364</v>
      </c>
      <c r="B370" s="72">
        <v>2041222728</v>
      </c>
      <c r="C370" s="80" t="s">
        <v>1138</v>
      </c>
      <c r="D370" s="81" t="s">
        <v>905</v>
      </c>
      <c r="E370" s="72" t="s">
        <v>444</v>
      </c>
      <c r="F370" s="76">
        <v>2</v>
      </c>
      <c r="G370" s="72" t="s">
        <v>924</v>
      </c>
      <c r="H370" s="78">
        <v>45817</v>
      </c>
      <c r="I370" s="72" t="s">
        <v>1299</v>
      </c>
      <c r="J370" s="72">
        <v>8.5</v>
      </c>
      <c r="K370" s="72"/>
      <c r="L370" s="72" t="s">
        <v>925</v>
      </c>
      <c r="M370" s="78">
        <v>45818</v>
      </c>
      <c r="N370" s="72" t="s">
        <v>1299</v>
      </c>
      <c r="O370" s="72">
        <v>8</v>
      </c>
      <c r="P370" s="72"/>
      <c r="Q370" s="72"/>
      <c r="R370" s="78"/>
      <c r="S370" s="72"/>
      <c r="T370" s="72"/>
      <c r="U370" s="72"/>
      <c r="V370" s="72"/>
      <c r="W370" s="72"/>
      <c r="X370" s="72"/>
      <c r="Y370" s="72"/>
      <c r="Z370" s="72"/>
      <c r="AA370" s="79"/>
      <c r="AB370" s="79"/>
      <c r="AC370" s="79"/>
      <c r="AD370" s="79"/>
      <c r="AE370" s="79"/>
    </row>
    <row r="371" spans="1:31" ht="16.5" x14ac:dyDescent="0.35">
      <c r="A371" s="71">
        <v>365</v>
      </c>
      <c r="B371" s="72">
        <v>2041222736</v>
      </c>
      <c r="C371" s="80" t="s">
        <v>219</v>
      </c>
      <c r="D371" s="81" t="s">
        <v>905</v>
      </c>
      <c r="E371" s="72" t="s">
        <v>444</v>
      </c>
      <c r="F371" s="76">
        <v>3</v>
      </c>
      <c r="G371" s="72" t="s">
        <v>924</v>
      </c>
      <c r="H371" s="78">
        <v>45602</v>
      </c>
      <c r="I371" s="72" t="s">
        <v>1299</v>
      </c>
      <c r="J371" s="72">
        <v>8</v>
      </c>
      <c r="K371" s="72"/>
      <c r="L371" s="72" t="s">
        <v>1301</v>
      </c>
      <c r="M371" s="78">
        <v>45629</v>
      </c>
      <c r="N371" s="72" t="s">
        <v>1299</v>
      </c>
      <c r="O371" s="72">
        <v>9.5</v>
      </c>
      <c r="P371" s="72"/>
      <c r="Q371" s="88" t="s">
        <v>1302</v>
      </c>
      <c r="R371" s="78">
        <v>45552</v>
      </c>
      <c r="S371" s="72" t="s">
        <v>1299</v>
      </c>
      <c r="T371" s="72"/>
      <c r="U371" s="72"/>
      <c r="V371" s="72"/>
      <c r="W371" s="72"/>
      <c r="X371" s="72"/>
      <c r="Y371" s="72"/>
      <c r="Z371" s="72"/>
      <c r="AA371" s="79"/>
      <c r="AB371" s="79"/>
      <c r="AC371" s="79"/>
      <c r="AD371" s="79"/>
      <c r="AE371" s="79"/>
    </row>
    <row r="372" spans="1:31" ht="16.5" x14ac:dyDescent="0.35">
      <c r="A372" s="71">
        <v>366</v>
      </c>
      <c r="B372" s="72">
        <v>2041226246</v>
      </c>
      <c r="C372" s="80" t="s">
        <v>1139</v>
      </c>
      <c r="D372" s="81" t="s">
        <v>152</v>
      </c>
      <c r="E372" s="72" t="s">
        <v>444</v>
      </c>
      <c r="F372" s="76">
        <v>2</v>
      </c>
      <c r="G372" s="72" t="s">
        <v>924</v>
      </c>
      <c r="H372" s="78">
        <v>45623</v>
      </c>
      <c r="I372" s="72" t="s">
        <v>1299</v>
      </c>
      <c r="J372" s="72">
        <v>7</v>
      </c>
      <c r="K372" s="72"/>
      <c r="L372" s="72" t="s">
        <v>925</v>
      </c>
      <c r="M372" s="78">
        <v>45356</v>
      </c>
      <c r="N372" s="72" t="s">
        <v>1299</v>
      </c>
      <c r="O372" s="72">
        <v>5.5</v>
      </c>
      <c r="P372" s="72"/>
      <c r="Q372" s="72"/>
      <c r="R372" s="78"/>
      <c r="S372" s="72"/>
      <c r="T372" s="72"/>
      <c r="U372" s="72"/>
      <c r="V372" s="72"/>
      <c r="W372" s="72"/>
      <c r="X372" s="72"/>
      <c r="Y372" s="72"/>
      <c r="Z372" s="72"/>
      <c r="AA372" s="79"/>
      <c r="AB372" s="79"/>
      <c r="AC372" s="79"/>
      <c r="AD372" s="79"/>
      <c r="AE372" s="79"/>
    </row>
    <row r="373" spans="1:31" ht="16.5" x14ac:dyDescent="0.35">
      <c r="A373" s="71">
        <v>367</v>
      </c>
      <c r="B373" s="72">
        <v>2041222773</v>
      </c>
      <c r="C373" s="80" t="s">
        <v>1140</v>
      </c>
      <c r="D373" s="81" t="s">
        <v>152</v>
      </c>
      <c r="E373" s="72" t="s">
        <v>444</v>
      </c>
      <c r="F373" s="76">
        <v>0</v>
      </c>
      <c r="G373" s="72"/>
      <c r="H373" s="78"/>
      <c r="I373" s="72"/>
      <c r="J373" s="72"/>
      <c r="K373" s="72"/>
      <c r="L373" s="72"/>
      <c r="M373" s="78"/>
      <c r="N373" s="72"/>
      <c r="O373" s="72"/>
      <c r="P373" s="72"/>
      <c r="Q373" s="72"/>
      <c r="R373" s="78"/>
      <c r="S373" s="72"/>
      <c r="T373" s="72"/>
      <c r="U373" s="72"/>
      <c r="V373" s="72"/>
      <c r="W373" s="72"/>
      <c r="X373" s="72"/>
      <c r="Y373" s="72"/>
      <c r="Z373" s="72"/>
      <c r="AA373" s="79"/>
      <c r="AB373" s="79"/>
      <c r="AC373" s="79"/>
      <c r="AD373" s="79"/>
      <c r="AE373" s="79"/>
    </row>
    <row r="374" spans="1:31" ht="16.5" x14ac:dyDescent="0.35">
      <c r="A374" s="71">
        <v>368</v>
      </c>
      <c r="B374" s="72">
        <v>2041222960</v>
      </c>
      <c r="C374" s="80" t="s">
        <v>519</v>
      </c>
      <c r="D374" s="81" t="s">
        <v>92</v>
      </c>
      <c r="E374" s="72" t="s">
        <v>444</v>
      </c>
      <c r="F374" s="76">
        <v>2</v>
      </c>
      <c r="G374" s="72" t="s">
        <v>925</v>
      </c>
      <c r="H374" s="78">
        <v>45559</v>
      </c>
      <c r="I374" s="72" t="s">
        <v>1299</v>
      </c>
      <c r="J374" s="72">
        <v>9</v>
      </c>
      <c r="K374" s="72"/>
      <c r="L374" s="88" t="s">
        <v>1302</v>
      </c>
      <c r="M374" s="78">
        <v>45552</v>
      </c>
      <c r="N374" s="72" t="s">
        <v>1299</v>
      </c>
      <c r="O374" s="72"/>
      <c r="P374" s="72"/>
      <c r="Q374" s="72"/>
      <c r="R374" s="78"/>
      <c r="S374" s="72"/>
      <c r="T374" s="72"/>
      <c r="U374" s="72"/>
      <c r="V374" s="72"/>
      <c r="W374" s="72"/>
      <c r="X374" s="72"/>
      <c r="Y374" s="72"/>
      <c r="Z374" s="72"/>
      <c r="AA374" s="79"/>
      <c r="AB374" s="79"/>
      <c r="AC374" s="79"/>
      <c r="AD374" s="79"/>
      <c r="AE374" s="79"/>
    </row>
    <row r="375" spans="1:31" ht="16.5" x14ac:dyDescent="0.35">
      <c r="A375" s="71">
        <v>369</v>
      </c>
      <c r="B375" s="72">
        <v>2041222950</v>
      </c>
      <c r="C375" s="80" t="s">
        <v>1141</v>
      </c>
      <c r="D375" s="81" t="s">
        <v>92</v>
      </c>
      <c r="E375" s="72" t="s">
        <v>444</v>
      </c>
      <c r="F375" s="76">
        <v>2</v>
      </c>
      <c r="G375" s="72" t="s">
        <v>924</v>
      </c>
      <c r="H375" s="78">
        <v>45623</v>
      </c>
      <c r="I375" s="72" t="s">
        <v>1299</v>
      </c>
      <c r="J375" s="72">
        <v>8</v>
      </c>
      <c r="K375" s="72"/>
      <c r="L375" s="72" t="s">
        <v>1301</v>
      </c>
      <c r="M375" s="78">
        <v>45629</v>
      </c>
      <c r="N375" s="72" t="s">
        <v>1299</v>
      </c>
      <c r="O375" s="72">
        <v>9.5</v>
      </c>
      <c r="P375" s="72"/>
      <c r="Q375" s="72"/>
      <c r="R375" s="78"/>
      <c r="S375" s="72"/>
      <c r="T375" s="72"/>
      <c r="U375" s="72"/>
      <c r="V375" s="72"/>
      <c r="W375" s="72"/>
      <c r="X375" s="72"/>
      <c r="Y375" s="72"/>
      <c r="Z375" s="72"/>
      <c r="AA375" s="79"/>
      <c r="AB375" s="79"/>
      <c r="AC375" s="79"/>
      <c r="AD375" s="79"/>
      <c r="AE375" s="79"/>
    </row>
    <row r="376" spans="1:31" ht="16.5" x14ac:dyDescent="0.35">
      <c r="A376" s="71">
        <v>370</v>
      </c>
      <c r="B376" s="72">
        <v>2041223085</v>
      </c>
      <c r="C376" s="80" t="s">
        <v>519</v>
      </c>
      <c r="D376" s="81" t="s">
        <v>51</v>
      </c>
      <c r="E376" s="72" t="s">
        <v>444</v>
      </c>
      <c r="F376" s="76">
        <v>3</v>
      </c>
      <c r="G376" s="72" t="s">
        <v>925</v>
      </c>
      <c r="H376" s="78">
        <v>45559</v>
      </c>
      <c r="I376" s="72" t="s">
        <v>1299</v>
      </c>
      <c r="J376" s="72">
        <v>7</v>
      </c>
      <c r="K376" s="72"/>
      <c r="L376" s="72" t="s">
        <v>924</v>
      </c>
      <c r="M376" s="78">
        <v>45621</v>
      </c>
      <c r="N376" s="72" t="s">
        <v>1299</v>
      </c>
      <c r="O376" s="72">
        <v>7.5</v>
      </c>
      <c r="P376" s="72"/>
      <c r="Q376" s="88" t="s">
        <v>1302</v>
      </c>
      <c r="R376" s="78">
        <v>45552</v>
      </c>
      <c r="S376" s="72" t="s">
        <v>1299</v>
      </c>
      <c r="T376" s="72"/>
      <c r="U376" s="72"/>
      <c r="V376" s="72"/>
      <c r="W376" s="72"/>
      <c r="X376" s="72"/>
      <c r="Y376" s="72"/>
      <c r="Z376" s="72"/>
      <c r="AA376" s="79"/>
      <c r="AB376" s="79"/>
      <c r="AC376" s="79"/>
      <c r="AD376" s="79"/>
      <c r="AE376" s="79"/>
    </row>
    <row r="377" spans="1:31" ht="16.5" x14ac:dyDescent="0.35">
      <c r="A377" s="71">
        <v>371</v>
      </c>
      <c r="B377" s="72">
        <v>2041223306</v>
      </c>
      <c r="C377" s="80" t="s">
        <v>457</v>
      </c>
      <c r="D377" s="81" t="s">
        <v>76</v>
      </c>
      <c r="E377" s="72" t="s">
        <v>444</v>
      </c>
      <c r="F377" s="76">
        <v>3</v>
      </c>
      <c r="G377" s="72" t="s">
        <v>1300</v>
      </c>
      <c r="H377" s="78">
        <v>45728</v>
      </c>
      <c r="I377" s="72" t="s">
        <v>1299</v>
      </c>
      <c r="J377" s="72">
        <v>7.5</v>
      </c>
      <c r="K377" s="72"/>
      <c r="L377" s="72" t="s">
        <v>924</v>
      </c>
      <c r="M377" s="78">
        <v>45786</v>
      </c>
      <c r="N377" s="72" t="s">
        <v>1299</v>
      </c>
      <c r="O377" s="72">
        <v>8</v>
      </c>
      <c r="P377" s="72">
        <v>0.5</v>
      </c>
      <c r="Q377" s="72" t="s">
        <v>925</v>
      </c>
      <c r="R377" s="78">
        <v>45813</v>
      </c>
      <c r="S377" s="72" t="s">
        <v>1299</v>
      </c>
      <c r="T377" s="72">
        <v>7.5</v>
      </c>
      <c r="U377" s="72"/>
      <c r="V377" s="72"/>
      <c r="W377" s="72"/>
      <c r="X377" s="72"/>
      <c r="Y377" s="72"/>
      <c r="Z377" s="72"/>
      <c r="AA377" s="79"/>
      <c r="AB377" s="79"/>
      <c r="AC377" s="79"/>
      <c r="AD377" s="79"/>
      <c r="AE377" s="79"/>
    </row>
    <row r="378" spans="1:31" ht="16.5" x14ac:dyDescent="0.35">
      <c r="A378" s="71">
        <v>372</v>
      </c>
      <c r="B378" s="72">
        <v>2041223387</v>
      </c>
      <c r="C378" s="80" t="s">
        <v>44</v>
      </c>
      <c r="D378" s="81" t="s">
        <v>76</v>
      </c>
      <c r="E378" s="72" t="s">
        <v>444</v>
      </c>
      <c r="F378" s="76">
        <v>0</v>
      </c>
      <c r="G378" s="72"/>
      <c r="H378" s="78"/>
      <c r="I378" s="72"/>
      <c r="J378" s="72"/>
      <c r="K378" s="72"/>
      <c r="L378" s="72"/>
      <c r="M378" s="72"/>
      <c r="N378" s="72"/>
      <c r="O378" s="72"/>
      <c r="P378" s="72"/>
      <c r="Q378" s="72"/>
      <c r="R378" s="78"/>
      <c r="S378" s="72"/>
      <c r="T378" s="72"/>
      <c r="U378" s="72"/>
      <c r="V378" s="72"/>
      <c r="W378" s="72"/>
      <c r="X378" s="72"/>
      <c r="Y378" s="72"/>
      <c r="Z378" s="72"/>
      <c r="AA378" s="79"/>
      <c r="AB378" s="79"/>
      <c r="AC378" s="79"/>
      <c r="AD378" s="79"/>
      <c r="AE378" s="79"/>
    </row>
    <row r="379" spans="1:31" ht="16.5" x14ac:dyDescent="0.35">
      <c r="A379" s="71">
        <v>373</v>
      </c>
      <c r="B379" s="72">
        <v>2041223504</v>
      </c>
      <c r="C379" s="80" t="s">
        <v>450</v>
      </c>
      <c r="D379" s="81" t="s">
        <v>318</v>
      </c>
      <c r="E379" s="72" t="s">
        <v>444</v>
      </c>
      <c r="F379" s="76">
        <v>2</v>
      </c>
      <c r="G379" s="72" t="s">
        <v>925</v>
      </c>
      <c r="H379" s="78">
        <v>45559</v>
      </c>
      <c r="I379" s="72" t="s">
        <v>1299</v>
      </c>
      <c r="J379" s="72">
        <v>8.5</v>
      </c>
      <c r="K379" s="72"/>
      <c r="L379" s="79" t="s">
        <v>928</v>
      </c>
      <c r="M379" s="83">
        <v>45799</v>
      </c>
      <c r="N379" s="79" t="s">
        <v>1299</v>
      </c>
      <c r="O379" s="72">
        <v>5.5</v>
      </c>
      <c r="P379" s="72"/>
      <c r="Q379" s="72"/>
      <c r="R379" s="78"/>
      <c r="S379" s="72"/>
      <c r="T379" s="72"/>
      <c r="U379" s="72"/>
      <c r="V379" s="72"/>
      <c r="W379" s="72"/>
      <c r="X379" s="72"/>
      <c r="Y379" s="72"/>
      <c r="Z379" s="72"/>
      <c r="AA379" s="79"/>
      <c r="AB379" s="79"/>
      <c r="AC379" s="79"/>
      <c r="AD379" s="79"/>
      <c r="AE379" s="79"/>
    </row>
    <row r="380" spans="1:31" ht="16.5" x14ac:dyDescent="0.35">
      <c r="A380" s="71">
        <v>374</v>
      </c>
      <c r="B380" s="72">
        <v>2041226242</v>
      </c>
      <c r="C380" s="80" t="s">
        <v>1142</v>
      </c>
      <c r="D380" s="81" t="s">
        <v>249</v>
      </c>
      <c r="E380" s="72" t="s">
        <v>444</v>
      </c>
      <c r="F380" s="76">
        <v>2</v>
      </c>
      <c r="G380" s="72" t="s">
        <v>924</v>
      </c>
      <c r="H380" s="78">
        <v>45621</v>
      </c>
      <c r="I380" s="72" t="s">
        <v>1299</v>
      </c>
      <c r="J380" s="72">
        <v>7</v>
      </c>
      <c r="K380" s="72"/>
      <c r="L380" s="72" t="s">
        <v>1301</v>
      </c>
      <c r="M380" s="78">
        <v>45629</v>
      </c>
      <c r="N380" s="72" t="s">
        <v>1299</v>
      </c>
      <c r="O380" s="72">
        <v>9.5</v>
      </c>
      <c r="P380" s="72"/>
      <c r="Q380" s="72"/>
      <c r="R380" s="78"/>
      <c r="S380" s="72"/>
      <c r="T380" s="72"/>
      <c r="U380" s="72"/>
      <c r="V380" s="72"/>
      <c r="W380" s="72"/>
      <c r="X380" s="72"/>
      <c r="Y380" s="72"/>
      <c r="Z380" s="72"/>
      <c r="AA380" s="79"/>
      <c r="AB380" s="79"/>
      <c r="AC380" s="79"/>
      <c r="AD380" s="79"/>
      <c r="AE380" s="79"/>
    </row>
    <row r="381" spans="1:31" ht="16.5" x14ac:dyDescent="0.35">
      <c r="A381" s="71">
        <v>375</v>
      </c>
      <c r="B381" s="72">
        <v>2041223579</v>
      </c>
      <c r="C381" s="80" t="s">
        <v>673</v>
      </c>
      <c r="D381" s="81" t="s">
        <v>1144</v>
      </c>
      <c r="E381" s="72" t="s">
        <v>444</v>
      </c>
      <c r="F381" s="76">
        <v>2</v>
      </c>
      <c r="G381" s="72" t="s">
        <v>924</v>
      </c>
      <c r="H381" s="78">
        <v>45621</v>
      </c>
      <c r="I381" s="72" t="s">
        <v>1299</v>
      </c>
      <c r="J381" s="72">
        <v>6.5</v>
      </c>
      <c r="K381" s="72"/>
      <c r="L381" s="88" t="s">
        <v>1302</v>
      </c>
      <c r="M381" s="78">
        <v>45552</v>
      </c>
      <c r="N381" s="72" t="s">
        <v>1299</v>
      </c>
      <c r="O381" s="72"/>
      <c r="P381" s="72"/>
      <c r="Q381" s="72"/>
      <c r="R381" s="78"/>
      <c r="S381" s="72"/>
      <c r="T381" s="72"/>
      <c r="U381" s="72"/>
      <c r="V381" s="72"/>
      <c r="W381" s="72"/>
      <c r="X381" s="72"/>
      <c r="Y381" s="72"/>
      <c r="Z381" s="72"/>
      <c r="AA381" s="79"/>
      <c r="AB381" s="79"/>
      <c r="AC381" s="79"/>
      <c r="AD381" s="79"/>
      <c r="AE381" s="79"/>
    </row>
    <row r="382" spans="1:31" ht="16.5" x14ac:dyDescent="0.35">
      <c r="A382" s="71">
        <v>376</v>
      </c>
      <c r="B382" s="72">
        <v>2041223838</v>
      </c>
      <c r="C382" s="80" t="s">
        <v>1145</v>
      </c>
      <c r="D382" s="81" t="s">
        <v>31</v>
      </c>
      <c r="E382" s="72" t="s">
        <v>444</v>
      </c>
      <c r="F382" s="76">
        <v>2</v>
      </c>
      <c r="G382" s="72" t="s">
        <v>924</v>
      </c>
      <c r="H382" s="78">
        <v>45621</v>
      </c>
      <c r="I382" s="72" t="s">
        <v>1299</v>
      </c>
      <c r="J382" s="72">
        <v>7</v>
      </c>
      <c r="K382" s="72"/>
      <c r="L382" s="72" t="s">
        <v>1301</v>
      </c>
      <c r="M382" s="78">
        <v>45629</v>
      </c>
      <c r="N382" s="72" t="s">
        <v>1299</v>
      </c>
      <c r="O382" s="72">
        <v>9</v>
      </c>
      <c r="P382" s="72"/>
      <c r="Q382" s="72"/>
      <c r="R382" s="78"/>
      <c r="S382" s="72"/>
      <c r="T382" s="72"/>
      <c r="U382" s="72"/>
      <c r="V382" s="72"/>
      <c r="W382" s="72"/>
      <c r="X382" s="72"/>
      <c r="Y382" s="72"/>
      <c r="Z382" s="72"/>
      <c r="AA382" s="79"/>
      <c r="AB382" s="79"/>
      <c r="AC382" s="79"/>
      <c r="AD382" s="79"/>
      <c r="AE382" s="79"/>
    </row>
    <row r="383" spans="1:31" ht="16.5" x14ac:dyDescent="0.35">
      <c r="A383" s="71">
        <v>377</v>
      </c>
      <c r="B383" s="72">
        <v>2041223973</v>
      </c>
      <c r="C383" s="80" t="s">
        <v>1146</v>
      </c>
      <c r="D383" s="81" t="s">
        <v>506</v>
      </c>
      <c r="E383" s="72" t="s">
        <v>444</v>
      </c>
      <c r="F383" s="76">
        <v>2</v>
      </c>
      <c r="G383" s="72" t="s">
        <v>924</v>
      </c>
      <c r="H383" s="78">
        <v>45623</v>
      </c>
      <c r="I383" s="72" t="s">
        <v>1299</v>
      </c>
      <c r="J383" s="72">
        <v>7</v>
      </c>
      <c r="K383" s="72"/>
      <c r="L383" s="88" t="s">
        <v>1302</v>
      </c>
      <c r="M383" s="78">
        <v>45552</v>
      </c>
      <c r="N383" s="72" t="s">
        <v>1299</v>
      </c>
      <c r="O383" s="72"/>
      <c r="P383" s="72"/>
      <c r="Q383" s="72"/>
      <c r="R383" s="78"/>
      <c r="S383" s="72"/>
      <c r="T383" s="72"/>
      <c r="U383" s="72"/>
      <c r="V383" s="72"/>
      <c r="W383" s="72"/>
      <c r="X383" s="72"/>
      <c r="Y383" s="72"/>
      <c r="Z383" s="72"/>
      <c r="AA383" s="79"/>
      <c r="AB383" s="79"/>
      <c r="AC383" s="79"/>
      <c r="AD383" s="79"/>
      <c r="AE383" s="79"/>
    </row>
    <row r="384" spans="1:31" ht="16.5" x14ac:dyDescent="0.35">
      <c r="A384" s="71">
        <v>378</v>
      </c>
      <c r="B384" s="72">
        <v>2041224024</v>
      </c>
      <c r="C384" s="80" t="s">
        <v>459</v>
      </c>
      <c r="D384" s="81" t="s">
        <v>181</v>
      </c>
      <c r="E384" s="72" t="s">
        <v>444</v>
      </c>
      <c r="F384" s="76">
        <v>3</v>
      </c>
      <c r="G384" s="72" t="s">
        <v>1300</v>
      </c>
      <c r="H384" s="78">
        <v>45728</v>
      </c>
      <c r="I384" s="72" t="s">
        <v>1299</v>
      </c>
      <c r="J384" s="72">
        <v>8</v>
      </c>
      <c r="K384" s="72"/>
      <c r="L384" s="72" t="s">
        <v>924</v>
      </c>
      <c r="M384" s="78">
        <v>45786</v>
      </c>
      <c r="N384" s="72" t="s">
        <v>1299</v>
      </c>
      <c r="O384" s="72">
        <v>8.5</v>
      </c>
      <c r="P384" s="72"/>
      <c r="Q384" s="72" t="s">
        <v>925</v>
      </c>
      <c r="R384" s="78">
        <v>45813</v>
      </c>
      <c r="S384" s="72" t="s">
        <v>1299</v>
      </c>
      <c r="T384" s="72">
        <v>7.5</v>
      </c>
      <c r="U384" s="72"/>
      <c r="V384" s="72"/>
      <c r="W384" s="72"/>
      <c r="X384" s="72"/>
      <c r="Y384" s="72"/>
      <c r="Z384" s="72"/>
      <c r="AA384" s="79"/>
      <c r="AB384" s="79"/>
      <c r="AC384" s="79"/>
      <c r="AD384" s="79"/>
      <c r="AE384" s="79"/>
    </row>
    <row r="385" spans="1:31" ht="16.5" x14ac:dyDescent="0.35">
      <c r="A385" s="71">
        <v>379</v>
      </c>
      <c r="B385" s="72">
        <v>2041224116</v>
      </c>
      <c r="C385" s="80" t="s">
        <v>1147</v>
      </c>
      <c r="D385" s="81" t="s">
        <v>65</v>
      </c>
      <c r="E385" s="72" t="s">
        <v>444</v>
      </c>
      <c r="F385" s="76">
        <v>2</v>
      </c>
      <c r="G385" s="72" t="s">
        <v>924</v>
      </c>
      <c r="H385" s="78">
        <v>45621</v>
      </c>
      <c r="I385" s="72" t="s">
        <v>1299</v>
      </c>
      <c r="J385" s="72">
        <v>7</v>
      </c>
      <c r="K385" s="72"/>
      <c r="L385" s="72" t="s">
        <v>1301</v>
      </c>
      <c r="M385" s="78">
        <v>45629</v>
      </c>
      <c r="N385" s="72" t="s">
        <v>1299</v>
      </c>
      <c r="O385" s="72">
        <v>8.5</v>
      </c>
      <c r="P385" s="72"/>
      <c r="Q385" s="72"/>
      <c r="R385" s="78"/>
      <c r="S385" s="72"/>
      <c r="T385" s="72"/>
      <c r="U385" s="72"/>
      <c r="V385" s="72"/>
      <c r="W385" s="72"/>
      <c r="X385" s="72"/>
      <c r="Y385" s="72"/>
      <c r="Z385" s="72"/>
      <c r="AA385" s="79"/>
      <c r="AB385" s="79"/>
      <c r="AC385" s="79"/>
      <c r="AD385" s="79"/>
      <c r="AE385" s="79"/>
    </row>
    <row r="386" spans="1:31" ht="16.5" x14ac:dyDescent="0.35">
      <c r="A386" s="71">
        <v>380</v>
      </c>
      <c r="B386" s="72">
        <v>2041224139</v>
      </c>
      <c r="C386" s="80" t="s">
        <v>293</v>
      </c>
      <c r="D386" s="81" t="s">
        <v>422</v>
      </c>
      <c r="E386" s="72" t="s">
        <v>444</v>
      </c>
      <c r="F386" s="76">
        <v>2</v>
      </c>
      <c r="G386" s="72" t="s">
        <v>924</v>
      </c>
      <c r="H386" s="78">
        <v>45623</v>
      </c>
      <c r="I386" s="72" t="s">
        <v>1299</v>
      </c>
      <c r="J386" s="72">
        <v>5</v>
      </c>
      <c r="K386" s="72"/>
      <c r="L386" s="88" t="s">
        <v>1302</v>
      </c>
      <c r="M386" s="78">
        <v>45552</v>
      </c>
      <c r="N386" s="72" t="s">
        <v>1299</v>
      </c>
      <c r="O386" s="72"/>
      <c r="P386" s="72"/>
      <c r="Q386" s="72"/>
      <c r="R386" s="78"/>
      <c r="S386" s="72"/>
      <c r="T386" s="72"/>
      <c r="U386" s="72"/>
      <c r="V386" s="72"/>
      <c r="W386" s="72"/>
      <c r="X386" s="72"/>
      <c r="Y386" s="72"/>
      <c r="Z386" s="72"/>
      <c r="AA386" s="79"/>
      <c r="AB386" s="79"/>
      <c r="AC386" s="79"/>
      <c r="AD386" s="79"/>
      <c r="AE386" s="79"/>
    </row>
    <row r="387" spans="1:31" ht="16.5" x14ac:dyDescent="0.35">
      <c r="A387" s="71">
        <v>381</v>
      </c>
      <c r="B387" s="72">
        <v>2041224146</v>
      </c>
      <c r="C387" s="80" t="s">
        <v>1148</v>
      </c>
      <c r="D387" s="81" t="s">
        <v>422</v>
      </c>
      <c r="E387" s="72" t="s">
        <v>444</v>
      </c>
      <c r="F387" s="76">
        <v>2</v>
      </c>
      <c r="G387" s="72" t="s">
        <v>924</v>
      </c>
      <c r="H387" s="78">
        <v>45621</v>
      </c>
      <c r="I387" s="72" t="s">
        <v>1299</v>
      </c>
      <c r="J387" s="72">
        <v>7</v>
      </c>
      <c r="K387" s="72"/>
      <c r="L387" s="88" t="s">
        <v>1302</v>
      </c>
      <c r="M387" s="78">
        <v>45552</v>
      </c>
      <c r="N387" s="72" t="s">
        <v>1299</v>
      </c>
      <c r="O387" s="72"/>
      <c r="P387" s="72"/>
      <c r="Q387" s="72"/>
      <c r="R387" s="78"/>
      <c r="S387" s="72"/>
      <c r="T387" s="72"/>
      <c r="U387" s="72"/>
      <c r="V387" s="72"/>
      <c r="W387" s="72"/>
      <c r="X387" s="72"/>
      <c r="Y387" s="72"/>
      <c r="Z387" s="72"/>
      <c r="AA387" s="79"/>
      <c r="AB387" s="79"/>
      <c r="AC387" s="79"/>
      <c r="AD387" s="79"/>
      <c r="AE387" s="79"/>
    </row>
    <row r="388" spans="1:31" ht="16.5" x14ac:dyDescent="0.35">
      <c r="A388" s="71">
        <v>382</v>
      </c>
      <c r="B388" s="72">
        <v>2041224481</v>
      </c>
      <c r="C388" s="80" t="s">
        <v>1160</v>
      </c>
      <c r="D388" s="81" t="s">
        <v>335</v>
      </c>
      <c r="E388" s="72" t="s">
        <v>444</v>
      </c>
      <c r="F388" s="76">
        <v>2</v>
      </c>
      <c r="G388" s="72" t="s">
        <v>924</v>
      </c>
      <c r="H388" s="78">
        <v>45602</v>
      </c>
      <c r="I388" s="72" t="s">
        <v>1299</v>
      </c>
      <c r="J388" s="72">
        <v>8</v>
      </c>
      <c r="K388" s="72"/>
      <c r="L388" s="72" t="s">
        <v>1301</v>
      </c>
      <c r="M388" s="78">
        <v>45629</v>
      </c>
      <c r="N388" s="72" t="s">
        <v>1299</v>
      </c>
      <c r="O388" s="72">
        <v>9.5</v>
      </c>
      <c r="P388" s="72"/>
      <c r="Q388" s="72"/>
      <c r="R388" s="78"/>
      <c r="S388" s="72"/>
      <c r="T388" s="72"/>
      <c r="U388" s="72"/>
      <c r="V388" s="72"/>
      <c r="W388" s="72"/>
      <c r="X388" s="72"/>
      <c r="Y388" s="72"/>
      <c r="Z388" s="72"/>
      <c r="AA388" s="79"/>
      <c r="AB388" s="79"/>
      <c r="AC388" s="79"/>
      <c r="AD388" s="79"/>
      <c r="AE388" s="79"/>
    </row>
    <row r="389" spans="1:31" ht="16.5" x14ac:dyDescent="0.35">
      <c r="A389" s="71">
        <v>383</v>
      </c>
      <c r="B389" s="72">
        <v>2041224700</v>
      </c>
      <c r="C389" s="80" t="s">
        <v>87</v>
      </c>
      <c r="D389" s="81" t="s">
        <v>101</v>
      </c>
      <c r="E389" s="72" t="s">
        <v>444</v>
      </c>
      <c r="F389" s="76">
        <v>2</v>
      </c>
      <c r="G389" s="72" t="s">
        <v>1301</v>
      </c>
      <c r="H389" s="78">
        <v>45629</v>
      </c>
      <c r="I389" s="72" t="s">
        <v>1299</v>
      </c>
      <c r="J389" s="72">
        <v>9</v>
      </c>
      <c r="K389" s="72"/>
      <c r="L389" s="88" t="s">
        <v>1302</v>
      </c>
      <c r="M389" s="78">
        <v>45552</v>
      </c>
      <c r="N389" s="72" t="s">
        <v>1299</v>
      </c>
      <c r="O389" s="72"/>
      <c r="P389" s="72"/>
      <c r="Q389" s="72"/>
      <c r="R389" s="78"/>
      <c r="S389" s="72"/>
      <c r="T389" s="72"/>
      <c r="U389" s="72"/>
      <c r="V389" s="72"/>
      <c r="W389" s="72"/>
      <c r="X389" s="72"/>
      <c r="Y389" s="72"/>
      <c r="Z389" s="72"/>
      <c r="AA389" s="79"/>
      <c r="AB389" s="79"/>
      <c r="AC389" s="79"/>
      <c r="AD389" s="79"/>
      <c r="AE389" s="79"/>
    </row>
    <row r="390" spans="1:31" ht="16.5" x14ac:dyDescent="0.35">
      <c r="A390" s="71">
        <v>384</v>
      </c>
      <c r="B390" s="72">
        <v>2041224856</v>
      </c>
      <c r="C390" s="80" t="s">
        <v>801</v>
      </c>
      <c r="D390" s="81" t="s">
        <v>114</v>
      </c>
      <c r="E390" s="72" t="s">
        <v>444</v>
      </c>
      <c r="F390" s="76">
        <v>0</v>
      </c>
      <c r="G390" s="72"/>
      <c r="H390" s="78"/>
      <c r="I390" s="72"/>
      <c r="J390" s="72"/>
      <c r="K390" s="72"/>
      <c r="L390" s="72"/>
      <c r="M390" s="78"/>
      <c r="N390" s="72"/>
      <c r="O390" s="72"/>
      <c r="P390" s="72"/>
      <c r="Q390" s="72"/>
      <c r="R390" s="78"/>
      <c r="S390" s="72"/>
      <c r="T390" s="72"/>
      <c r="U390" s="72"/>
      <c r="V390" s="72"/>
      <c r="W390" s="72"/>
      <c r="X390" s="72"/>
      <c r="Y390" s="72"/>
      <c r="Z390" s="72"/>
      <c r="AA390" s="79"/>
      <c r="AB390" s="79"/>
      <c r="AC390" s="79"/>
      <c r="AD390" s="79"/>
      <c r="AE390" s="79"/>
    </row>
    <row r="391" spans="1:31" ht="16.5" x14ac:dyDescent="0.35">
      <c r="A391" s="71">
        <v>385</v>
      </c>
      <c r="B391" s="72">
        <v>2041225020</v>
      </c>
      <c r="C391" s="80" t="s">
        <v>1150</v>
      </c>
      <c r="D391" s="81" t="s">
        <v>730</v>
      </c>
      <c r="E391" s="72" t="s">
        <v>444</v>
      </c>
      <c r="F391" s="76">
        <v>3</v>
      </c>
      <c r="G391" s="72" t="s">
        <v>924</v>
      </c>
      <c r="H391" s="78">
        <v>45602</v>
      </c>
      <c r="I391" s="72" t="s">
        <v>1299</v>
      </c>
      <c r="J391" s="72">
        <v>6</v>
      </c>
      <c r="K391" s="72"/>
      <c r="L391" s="72" t="s">
        <v>1301</v>
      </c>
      <c r="M391" s="78">
        <v>45629</v>
      </c>
      <c r="N391" s="72" t="s">
        <v>1299</v>
      </c>
      <c r="O391" s="72">
        <v>9</v>
      </c>
      <c r="P391" s="72"/>
      <c r="Q391" s="88" t="s">
        <v>1302</v>
      </c>
      <c r="R391" s="78">
        <v>45552</v>
      </c>
      <c r="S391" s="72" t="s">
        <v>1299</v>
      </c>
      <c r="T391" s="72"/>
      <c r="U391" s="72"/>
      <c r="V391" s="72"/>
      <c r="W391" s="72"/>
      <c r="X391" s="72"/>
      <c r="Y391" s="72"/>
      <c r="Z391" s="72"/>
      <c r="AA391" s="79"/>
      <c r="AB391" s="79"/>
      <c r="AC391" s="79"/>
      <c r="AD391" s="79"/>
      <c r="AE391" s="79"/>
    </row>
    <row r="392" spans="1:31" ht="16.5" x14ac:dyDescent="0.35">
      <c r="A392" s="71">
        <v>386</v>
      </c>
      <c r="B392" s="72">
        <v>2041225029</v>
      </c>
      <c r="C392" s="80" t="s">
        <v>1152</v>
      </c>
      <c r="D392" s="81" t="s">
        <v>333</v>
      </c>
      <c r="E392" s="72" t="s">
        <v>444</v>
      </c>
      <c r="F392" s="76">
        <v>2</v>
      </c>
      <c r="G392" s="72" t="s">
        <v>924</v>
      </c>
      <c r="H392" s="78">
        <v>45621</v>
      </c>
      <c r="I392" s="72" t="s">
        <v>1299</v>
      </c>
      <c r="J392" s="72">
        <v>7.5</v>
      </c>
      <c r="K392" s="72"/>
      <c r="L392" s="88" t="s">
        <v>1302</v>
      </c>
      <c r="M392" s="78">
        <v>45552</v>
      </c>
      <c r="N392" s="72" t="s">
        <v>1299</v>
      </c>
      <c r="O392" s="72"/>
      <c r="P392" s="72"/>
      <c r="Q392" s="72"/>
      <c r="R392" s="78"/>
      <c r="S392" s="72"/>
      <c r="T392" s="72"/>
      <c r="U392" s="72"/>
      <c r="V392" s="72"/>
      <c r="W392" s="72"/>
      <c r="X392" s="72"/>
      <c r="Y392" s="72"/>
      <c r="Z392" s="72"/>
      <c r="AA392" s="79"/>
      <c r="AB392" s="79"/>
      <c r="AC392" s="79"/>
      <c r="AD392" s="79"/>
      <c r="AE392" s="79"/>
    </row>
    <row r="393" spans="1:31" ht="16.5" x14ac:dyDescent="0.35">
      <c r="A393" s="71">
        <v>387</v>
      </c>
      <c r="B393" s="72">
        <v>2041225084</v>
      </c>
      <c r="C393" s="80" t="s">
        <v>1153</v>
      </c>
      <c r="D393" s="81" t="s">
        <v>516</v>
      </c>
      <c r="E393" s="72" t="s">
        <v>444</v>
      </c>
      <c r="F393" s="76">
        <v>2</v>
      </c>
      <c r="G393" s="72" t="s">
        <v>925</v>
      </c>
      <c r="H393" s="78">
        <v>45589</v>
      </c>
      <c r="I393" s="72" t="s">
        <v>1299</v>
      </c>
      <c r="J393" s="72">
        <v>8</v>
      </c>
      <c r="K393" s="72"/>
      <c r="L393" s="72" t="s">
        <v>924</v>
      </c>
      <c r="M393" s="78">
        <v>45621</v>
      </c>
      <c r="N393" s="72" t="s">
        <v>1299</v>
      </c>
      <c r="O393" s="72">
        <v>6.5</v>
      </c>
      <c r="P393" s="72"/>
      <c r="Q393" s="72"/>
      <c r="R393" s="78"/>
      <c r="S393" s="72"/>
      <c r="T393" s="72"/>
      <c r="U393" s="72"/>
      <c r="V393" s="72"/>
      <c r="W393" s="72"/>
      <c r="X393" s="72"/>
      <c r="Y393" s="72"/>
      <c r="Z393" s="72"/>
      <c r="AA393" s="79"/>
      <c r="AB393" s="79"/>
      <c r="AC393" s="79"/>
      <c r="AD393" s="79"/>
      <c r="AE393" s="79"/>
    </row>
    <row r="394" spans="1:31" ht="16.5" x14ac:dyDescent="0.35">
      <c r="A394" s="71">
        <v>388</v>
      </c>
      <c r="B394" s="72">
        <v>2041225117</v>
      </c>
      <c r="C394" s="80" t="s">
        <v>184</v>
      </c>
      <c r="D394" s="81" t="s">
        <v>515</v>
      </c>
      <c r="E394" s="72" t="s">
        <v>444</v>
      </c>
      <c r="F394" s="76">
        <v>3</v>
      </c>
      <c r="G394" s="72" t="s">
        <v>925</v>
      </c>
      <c r="H394" s="78">
        <v>45559</v>
      </c>
      <c r="I394" s="72" t="s">
        <v>1299</v>
      </c>
      <c r="J394" s="72">
        <v>8.5</v>
      </c>
      <c r="K394" s="72"/>
      <c r="L394" s="72" t="s">
        <v>924</v>
      </c>
      <c r="M394" s="78">
        <v>45621</v>
      </c>
      <c r="N394" s="72" t="s">
        <v>1299</v>
      </c>
      <c r="O394" s="72">
        <v>6.5</v>
      </c>
      <c r="P394" s="72"/>
      <c r="Q394" s="88" t="s">
        <v>1302</v>
      </c>
      <c r="R394" s="78">
        <v>45552</v>
      </c>
      <c r="S394" s="72" t="s">
        <v>1299</v>
      </c>
      <c r="T394" s="72"/>
      <c r="U394" s="72"/>
      <c r="V394" s="72"/>
      <c r="W394" s="72"/>
      <c r="X394" s="72"/>
      <c r="Y394" s="72"/>
      <c r="Z394" s="72"/>
      <c r="AA394" s="79"/>
      <c r="AB394" s="79"/>
      <c r="AC394" s="79"/>
      <c r="AD394" s="79"/>
      <c r="AE394" s="79"/>
    </row>
    <row r="395" spans="1:31" ht="16.5" x14ac:dyDescent="0.35">
      <c r="A395" s="71">
        <v>389</v>
      </c>
      <c r="B395" s="72">
        <v>2041225392</v>
      </c>
      <c r="C395" s="80" t="s">
        <v>1156</v>
      </c>
      <c r="D395" s="81" t="s">
        <v>258</v>
      </c>
      <c r="E395" s="72" t="s">
        <v>444</v>
      </c>
      <c r="F395" s="76">
        <v>2</v>
      </c>
      <c r="G395" s="72" t="s">
        <v>924</v>
      </c>
      <c r="H395" s="78">
        <v>45621</v>
      </c>
      <c r="I395" s="72" t="s">
        <v>1299</v>
      </c>
      <c r="J395" s="72">
        <v>8</v>
      </c>
      <c r="K395" s="72"/>
      <c r="L395" s="88" t="s">
        <v>1302</v>
      </c>
      <c r="M395" s="78">
        <v>45552</v>
      </c>
      <c r="N395" s="72" t="s">
        <v>1299</v>
      </c>
      <c r="O395" s="72"/>
      <c r="P395" s="72"/>
      <c r="Q395" s="72"/>
      <c r="R395" s="78"/>
      <c r="S395" s="72"/>
      <c r="T395" s="72"/>
      <c r="U395" s="72"/>
      <c r="V395" s="72"/>
      <c r="W395" s="72"/>
      <c r="X395" s="72"/>
      <c r="Y395" s="72"/>
      <c r="Z395" s="72"/>
      <c r="AA395" s="79"/>
      <c r="AB395" s="79"/>
      <c r="AC395" s="79"/>
      <c r="AD395" s="79"/>
      <c r="AE395" s="79"/>
    </row>
    <row r="396" spans="1:31" ht="16.5" x14ac:dyDescent="0.35">
      <c r="A396" s="71">
        <v>390</v>
      </c>
      <c r="B396" s="72">
        <v>2041226245</v>
      </c>
      <c r="C396" s="80" t="s">
        <v>386</v>
      </c>
      <c r="D396" s="81" t="s">
        <v>327</v>
      </c>
      <c r="E396" s="72" t="s">
        <v>444</v>
      </c>
      <c r="F396" s="76">
        <v>2</v>
      </c>
      <c r="G396" s="72" t="s">
        <v>924</v>
      </c>
      <c r="H396" s="78">
        <v>45621</v>
      </c>
      <c r="I396" s="72" t="s">
        <v>1299</v>
      </c>
      <c r="J396" s="72">
        <v>8.5</v>
      </c>
      <c r="K396" s="72"/>
      <c r="L396" s="88" t="s">
        <v>1302</v>
      </c>
      <c r="M396" s="78">
        <v>45552</v>
      </c>
      <c r="N396" s="72" t="s">
        <v>1299</v>
      </c>
      <c r="O396" s="72"/>
      <c r="P396" s="72"/>
      <c r="Q396" s="72"/>
      <c r="R396" s="78"/>
      <c r="S396" s="72"/>
      <c r="T396" s="72"/>
      <c r="U396" s="72"/>
      <c r="V396" s="72"/>
      <c r="W396" s="72"/>
      <c r="X396" s="72"/>
      <c r="Y396" s="72"/>
      <c r="Z396" s="72"/>
      <c r="AA396" s="79"/>
      <c r="AB396" s="79"/>
      <c r="AC396" s="79"/>
      <c r="AD396" s="79"/>
      <c r="AE396" s="79"/>
    </row>
    <row r="397" spans="1:31" ht="16.5" x14ac:dyDescent="0.35">
      <c r="A397" s="71">
        <v>391</v>
      </c>
      <c r="B397" s="72">
        <v>2041225428</v>
      </c>
      <c r="C397" s="80" t="s">
        <v>1154</v>
      </c>
      <c r="D397" s="81" t="s">
        <v>138</v>
      </c>
      <c r="E397" s="72" t="s">
        <v>444</v>
      </c>
      <c r="F397" s="76">
        <v>2</v>
      </c>
      <c r="G397" s="72" t="s">
        <v>924</v>
      </c>
      <c r="H397" s="78">
        <v>45621</v>
      </c>
      <c r="I397" s="72" t="s">
        <v>1299</v>
      </c>
      <c r="J397" s="72">
        <v>8.5</v>
      </c>
      <c r="K397" s="72"/>
      <c r="L397" s="88" t="s">
        <v>1302</v>
      </c>
      <c r="M397" s="78">
        <v>45552</v>
      </c>
      <c r="N397" s="72" t="s">
        <v>1299</v>
      </c>
      <c r="O397" s="72"/>
      <c r="P397" s="72"/>
      <c r="Q397" s="72"/>
      <c r="R397" s="78"/>
      <c r="S397" s="72"/>
      <c r="T397" s="72"/>
      <c r="U397" s="72"/>
      <c r="V397" s="72"/>
      <c r="W397" s="72"/>
      <c r="X397" s="72"/>
      <c r="Y397" s="72"/>
      <c r="Z397" s="72"/>
      <c r="AA397" s="79"/>
      <c r="AB397" s="79"/>
      <c r="AC397" s="79"/>
      <c r="AD397" s="79"/>
      <c r="AE397" s="79"/>
    </row>
    <row r="398" spans="1:31" ht="16.5" x14ac:dyDescent="0.35">
      <c r="A398" s="71">
        <v>392</v>
      </c>
      <c r="B398" s="72">
        <v>2041225487</v>
      </c>
      <c r="C398" s="80" t="s">
        <v>571</v>
      </c>
      <c r="D398" s="81" t="s">
        <v>168</v>
      </c>
      <c r="E398" s="72" t="s">
        <v>444</v>
      </c>
      <c r="F398" s="76">
        <v>2</v>
      </c>
      <c r="G398" s="72" t="s">
        <v>924</v>
      </c>
      <c r="H398" s="78">
        <v>45621</v>
      </c>
      <c r="I398" s="72" t="s">
        <v>1299</v>
      </c>
      <c r="J398" s="72">
        <v>6.5</v>
      </c>
      <c r="K398" s="72"/>
      <c r="L398" s="72" t="s">
        <v>1301</v>
      </c>
      <c r="M398" s="78">
        <v>45630</v>
      </c>
      <c r="N398" s="72" t="s">
        <v>1299</v>
      </c>
      <c r="O398" s="72">
        <v>5.5</v>
      </c>
      <c r="P398" s="72"/>
      <c r="Q398" s="72"/>
      <c r="R398" s="78"/>
      <c r="S398" s="72"/>
      <c r="T398" s="72"/>
      <c r="U398" s="72"/>
      <c r="V398" s="72"/>
      <c r="W398" s="72"/>
      <c r="X398" s="72"/>
      <c r="Y398" s="72"/>
      <c r="Z398" s="79"/>
      <c r="AA398" s="79"/>
      <c r="AB398" s="79"/>
      <c r="AC398" s="79"/>
      <c r="AD398" s="79"/>
      <c r="AE398" s="79"/>
    </row>
    <row r="399" spans="1:31" ht="16.5" x14ac:dyDescent="0.35">
      <c r="A399" s="71">
        <v>393</v>
      </c>
      <c r="B399" s="72">
        <v>2041225504</v>
      </c>
      <c r="C399" s="80" t="s">
        <v>171</v>
      </c>
      <c r="D399" s="81" t="s">
        <v>168</v>
      </c>
      <c r="E399" s="72" t="s">
        <v>444</v>
      </c>
      <c r="F399" s="76">
        <v>2</v>
      </c>
      <c r="G399" s="72" t="s">
        <v>924</v>
      </c>
      <c r="H399" s="78">
        <v>45602</v>
      </c>
      <c r="I399" s="72" t="s">
        <v>1299</v>
      </c>
      <c r="J399" s="72">
        <v>8</v>
      </c>
      <c r="K399" s="72"/>
      <c r="L399" s="72" t="s">
        <v>1301</v>
      </c>
      <c r="M399" s="78">
        <v>45629</v>
      </c>
      <c r="N399" s="72" t="s">
        <v>1299</v>
      </c>
      <c r="O399" s="72">
        <v>9.5</v>
      </c>
      <c r="P399" s="72"/>
      <c r="Q399" s="72"/>
      <c r="R399" s="78"/>
      <c r="S399" s="72"/>
      <c r="T399" s="72"/>
      <c r="U399" s="72"/>
      <c r="V399" s="72"/>
      <c r="W399" s="72"/>
      <c r="X399" s="72"/>
      <c r="Y399" s="72"/>
      <c r="Z399" s="79"/>
      <c r="AA399" s="79"/>
      <c r="AB399" s="79"/>
      <c r="AC399" s="79"/>
      <c r="AD399" s="79"/>
      <c r="AE399" s="79"/>
    </row>
    <row r="400" spans="1:31" ht="16.5" x14ac:dyDescent="0.35">
      <c r="A400" s="71">
        <v>394</v>
      </c>
      <c r="B400" s="72">
        <v>2041225517</v>
      </c>
      <c r="C400" s="80" t="s">
        <v>1155</v>
      </c>
      <c r="D400" s="81" t="s">
        <v>168</v>
      </c>
      <c r="E400" s="72" t="s">
        <v>444</v>
      </c>
      <c r="F400" s="76">
        <v>0</v>
      </c>
      <c r="G400" s="72"/>
      <c r="H400" s="78"/>
      <c r="I400" s="72"/>
      <c r="J400" s="72"/>
      <c r="K400" s="72"/>
      <c r="L400" s="72"/>
      <c r="M400" s="78"/>
      <c r="N400" s="72"/>
      <c r="O400" s="72"/>
      <c r="P400" s="72"/>
      <c r="Q400" s="72"/>
      <c r="R400" s="78"/>
      <c r="S400" s="72"/>
      <c r="T400" s="72"/>
      <c r="U400" s="72"/>
      <c r="V400" s="72"/>
      <c r="W400" s="72"/>
      <c r="X400" s="72"/>
      <c r="Y400" s="72"/>
      <c r="Z400" s="72"/>
      <c r="AA400" s="79"/>
      <c r="AB400" s="79"/>
      <c r="AC400" s="79"/>
      <c r="AD400" s="79"/>
      <c r="AE400" s="79"/>
    </row>
    <row r="401" spans="1:31" ht="16.5" x14ac:dyDescent="0.35">
      <c r="A401" s="71">
        <v>395</v>
      </c>
      <c r="B401" s="72">
        <v>2041225550</v>
      </c>
      <c r="C401" s="80" t="s">
        <v>1157</v>
      </c>
      <c r="D401" s="81" t="s">
        <v>1158</v>
      </c>
      <c r="E401" s="72" t="s">
        <v>444</v>
      </c>
      <c r="F401" s="76">
        <v>2</v>
      </c>
      <c r="G401" s="72" t="s">
        <v>924</v>
      </c>
      <c r="H401" s="78">
        <v>45621</v>
      </c>
      <c r="I401" s="72" t="s">
        <v>1299</v>
      </c>
      <c r="J401" s="72">
        <v>7.5</v>
      </c>
      <c r="K401" s="72"/>
      <c r="L401" s="88" t="s">
        <v>1302</v>
      </c>
      <c r="M401" s="78">
        <v>45552</v>
      </c>
      <c r="N401" s="72" t="s">
        <v>1299</v>
      </c>
      <c r="O401" s="72"/>
      <c r="P401" s="72"/>
      <c r="Q401" s="72"/>
      <c r="R401" s="78"/>
      <c r="S401" s="72"/>
      <c r="T401" s="72"/>
      <c r="U401" s="72"/>
      <c r="V401" s="72"/>
      <c r="W401" s="72"/>
      <c r="X401" s="72"/>
      <c r="Y401" s="72"/>
      <c r="Z401" s="72"/>
      <c r="AA401" s="79"/>
      <c r="AB401" s="79"/>
      <c r="AC401" s="79"/>
      <c r="AD401" s="79"/>
      <c r="AE401" s="79"/>
    </row>
    <row r="402" spans="1:31" ht="16.5" x14ac:dyDescent="0.35">
      <c r="A402" s="71">
        <v>396</v>
      </c>
      <c r="B402" s="72">
        <v>2041225589</v>
      </c>
      <c r="C402" s="80" t="s">
        <v>460</v>
      </c>
      <c r="D402" s="81" t="s">
        <v>115</v>
      </c>
      <c r="E402" s="72" t="s">
        <v>444</v>
      </c>
      <c r="F402" s="76">
        <v>2</v>
      </c>
      <c r="G402" s="72" t="s">
        <v>1300</v>
      </c>
      <c r="H402" s="78">
        <v>45728</v>
      </c>
      <c r="I402" s="72" t="s">
        <v>1299</v>
      </c>
      <c r="J402" s="72">
        <v>8</v>
      </c>
      <c r="K402" s="72"/>
      <c r="L402" s="72" t="s">
        <v>925</v>
      </c>
      <c r="M402" s="78">
        <v>45769</v>
      </c>
      <c r="N402" s="72" t="s">
        <v>1299</v>
      </c>
      <c r="O402" s="72">
        <v>9.5</v>
      </c>
      <c r="P402" s="72"/>
      <c r="Q402" s="72"/>
      <c r="R402" s="78"/>
      <c r="S402" s="72"/>
      <c r="T402" s="72"/>
      <c r="U402" s="72"/>
      <c r="V402" s="72"/>
      <c r="W402" s="72"/>
      <c r="X402" s="72"/>
      <c r="Y402" s="72"/>
      <c r="Z402" s="72"/>
      <c r="AA402" s="79"/>
      <c r="AB402" s="79"/>
      <c r="AC402" s="79"/>
      <c r="AD402" s="79"/>
      <c r="AE402" s="79"/>
    </row>
    <row r="403" spans="1:31" ht="16.5" x14ac:dyDescent="0.35">
      <c r="A403" s="71">
        <v>397</v>
      </c>
      <c r="B403" s="72">
        <v>2041225663</v>
      </c>
      <c r="C403" s="80" t="s">
        <v>293</v>
      </c>
      <c r="D403" s="81" t="s">
        <v>714</v>
      </c>
      <c r="E403" s="72" t="s">
        <v>444</v>
      </c>
      <c r="F403" s="76">
        <v>2</v>
      </c>
      <c r="G403" s="72" t="s">
        <v>924</v>
      </c>
      <c r="H403" s="78">
        <v>45621</v>
      </c>
      <c r="I403" s="72" t="s">
        <v>1299</v>
      </c>
      <c r="J403" s="72">
        <v>7</v>
      </c>
      <c r="K403" s="72"/>
      <c r="L403" s="72" t="s">
        <v>1301</v>
      </c>
      <c r="M403" s="78">
        <v>45629</v>
      </c>
      <c r="N403" s="72" t="s">
        <v>1299</v>
      </c>
      <c r="O403" s="72">
        <v>9</v>
      </c>
      <c r="P403" s="72"/>
      <c r="Q403" s="72"/>
      <c r="R403" s="78"/>
      <c r="S403" s="72"/>
      <c r="T403" s="72"/>
      <c r="U403" s="72"/>
      <c r="V403" s="72"/>
      <c r="W403" s="72"/>
      <c r="X403" s="72"/>
      <c r="Y403" s="72"/>
      <c r="Z403" s="72"/>
      <c r="AA403" s="79"/>
      <c r="AB403" s="79"/>
      <c r="AC403" s="79"/>
      <c r="AD403" s="79"/>
      <c r="AE403" s="79"/>
    </row>
    <row r="404" spans="1:31" ht="16.5" x14ac:dyDescent="0.35">
      <c r="A404" s="71">
        <v>398</v>
      </c>
      <c r="B404" s="72">
        <v>2041225735</v>
      </c>
      <c r="C404" s="80" t="s">
        <v>452</v>
      </c>
      <c r="D404" s="81" t="s">
        <v>280</v>
      </c>
      <c r="E404" s="72" t="s">
        <v>444</v>
      </c>
      <c r="F404" s="76">
        <v>2</v>
      </c>
      <c r="G404" s="72" t="s">
        <v>1300</v>
      </c>
      <c r="H404" s="78">
        <v>45749</v>
      </c>
      <c r="I404" s="86" t="s">
        <v>1299</v>
      </c>
      <c r="J404" s="72">
        <v>9.5</v>
      </c>
      <c r="K404" s="72"/>
      <c r="L404" s="72" t="s">
        <v>924</v>
      </c>
      <c r="M404" s="78">
        <v>45787</v>
      </c>
      <c r="N404" s="72" t="s">
        <v>1299</v>
      </c>
      <c r="O404" s="72">
        <v>8.5</v>
      </c>
      <c r="P404" s="72"/>
      <c r="Q404" s="72"/>
      <c r="R404" s="78"/>
      <c r="S404" s="72"/>
      <c r="T404" s="72"/>
      <c r="U404" s="72"/>
      <c r="V404" s="72"/>
      <c r="W404" s="72"/>
      <c r="X404" s="72"/>
      <c r="Y404" s="72"/>
      <c r="Z404" s="72"/>
      <c r="AA404" s="79"/>
      <c r="AB404" s="79"/>
      <c r="AC404" s="79"/>
      <c r="AD404" s="79"/>
      <c r="AE404" s="79"/>
    </row>
    <row r="405" spans="1:31" ht="16.5" x14ac:dyDescent="0.35">
      <c r="A405" s="71">
        <v>399</v>
      </c>
      <c r="B405" s="72">
        <v>2041226032</v>
      </c>
      <c r="C405" s="80" t="s">
        <v>1161</v>
      </c>
      <c r="D405" s="81" t="s">
        <v>56</v>
      </c>
      <c r="E405" s="72" t="s">
        <v>444</v>
      </c>
      <c r="F405" s="76">
        <v>3</v>
      </c>
      <c r="G405" s="72" t="s">
        <v>925</v>
      </c>
      <c r="H405" s="78">
        <v>45559</v>
      </c>
      <c r="I405" s="72" t="s">
        <v>1299</v>
      </c>
      <c r="J405" s="72">
        <v>8</v>
      </c>
      <c r="K405" s="72"/>
      <c r="L405" s="72" t="s">
        <v>924</v>
      </c>
      <c r="M405" s="78">
        <v>45621</v>
      </c>
      <c r="N405" s="72" t="s">
        <v>1299</v>
      </c>
      <c r="O405" s="72">
        <v>7.5</v>
      </c>
      <c r="P405" s="72"/>
      <c r="Q405" s="88" t="s">
        <v>1302</v>
      </c>
      <c r="R405" s="78">
        <v>45552</v>
      </c>
      <c r="S405" s="72" t="s">
        <v>1299</v>
      </c>
      <c r="T405" s="72"/>
      <c r="U405" s="72"/>
      <c r="V405" s="72"/>
      <c r="W405" s="72"/>
      <c r="X405" s="72"/>
      <c r="Y405" s="72"/>
      <c r="Z405" s="72"/>
      <c r="AA405" s="79"/>
      <c r="AB405" s="79"/>
      <c r="AC405" s="79"/>
      <c r="AD405" s="79"/>
      <c r="AE405" s="79"/>
    </row>
    <row r="406" spans="1:31" ht="16.5" x14ac:dyDescent="0.35">
      <c r="A406" s="71">
        <v>400</v>
      </c>
      <c r="B406" s="72">
        <v>2041226012</v>
      </c>
      <c r="C406" s="80" t="s">
        <v>462</v>
      </c>
      <c r="D406" s="81" t="s">
        <v>56</v>
      </c>
      <c r="E406" s="72" t="s">
        <v>444</v>
      </c>
      <c r="F406" s="76">
        <v>2</v>
      </c>
      <c r="G406" s="72" t="s">
        <v>1300</v>
      </c>
      <c r="H406" s="78">
        <v>45728</v>
      </c>
      <c r="I406" s="72" t="s">
        <v>1299</v>
      </c>
      <c r="J406" s="72">
        <v>8.5</v>
      </c>
      <c r="K406" s="72"/>
      <c r="L406" s="72" t="s">
        <v>925</v>
      </c>
      <c r="M406" s="78">
        <v>45769</v>
      </c>
      <c r="N406" s="72" t="s">
        <v>1299</v>
      </c>
      <c r="O406" s="72">
        <v>9</v>
      </c>
      <c r="P406" s="72"/>
      <c r="Q406" s="72"/>
      <c r="R406" s="78"/>
      <c r="S406" s="72"/>
      <c r="T406" s="72"/>
      <c r="U406" s="72"/>
      <c r="V406" s="72"/>
      <c r="W406" s="72"/>
      <c r="X406" s="72"/>
      <c r="Y406" s="72"/>
      <c r="Z406" s="72"/>
      <c r="AA406" s="79"/>
      <c r="AB406" s="79"/>
      <c r="AC406" s="79"/>
      <c r="AD406" s="79"/>
      <c r="AE406" s="79"/>
    </row>
    <row r="407" spans="1:31" ht="16.5" x14ac:dyDescent="0.35">
      <c r="A407" s="71">
        <v>401</v>
      </c>
      <c r="B407" s="72">
        <v>2005220726</v>
      </c>
      <c r="C407" s="80" t="s">
        <v>443</v>
      </c>
      <c r="D407" s="81" t="s">
        <v>73</v>
      </c>
      <c r="E407" s="72" t="s">
        <v>834</v>
      </c>
      <c r="F407" s="76">
        <v>0</v>
      </c>
      <c r="G407" s="72"/>
      <c r="H407" s="78"/>
      <c r="I407" s="72"/>
      <c r="J407" s="72"/>
      <c r="K407" s="72"/>
      <c r="L407" s="72"/>
      <c r="M407" s="72"/>
      <c r="N407" s="72"/>
      <c r="O407" s="72"/>
      <c r="P407" s="72"/>
      <c r="Q407" s="72"/>
      <c r="R407" s="78"/>
      <c r="S407" s="72"/>
      <c r="T407" s="72"/>
      <c r="U407" s="72"/>
      <c r="V407" s="72"/>
      <c r="W407" s="72"/>
      <c r="X407" s="72"/>
      <c r="Y407" s="72"/>
      <c r="Z407" s="72"/>
      <c r="AA407" s="79"/>
      <c r="AB407" s="79"/>
      <c r="AC407" s="79"/>
      <c r="AD407" s="79"/>
      <c r="AE407" s="79"/>
    </row>
    <row r="408" spans="1:31" ht="16.5" x14ac:dyDescent="0.35">
      <c r="A408" s="71">
        <v>402</v>
      </c>
      <c r="B408" s="72">
        <v>2005221169</v>
      </c>
      <c r="C408" s="80" t="s">
        <v>836</v>
      </c>
      <c r="D408" s="81" t="s">
        <v>536</v>
      </c>
      <c r="E408" s="72" t="s">
        <v>834</v>
      </c>
      <c r="F408" s="76">
        <v>2</v>
      </c>
      <c r="G408" s="72" t="s">
        <v>1300</v>
      </c>
      <c r="H408" s="78">
        <v>45728</v>
      </c>
      <c r="I408" s="72" t="s">
        <v>1299</v>
      </c>
      <c r="J408" s="72">
        <v>8</v>
      </c>
      <c r="K408" s="72"/>
      <c r="L408" s="72" t="s">
        <v>924</v>
      </c>
      <c r="M408" s="78">
        <v>45776</v>
      </c>
      <c r="N408" s="72" t="s">
        <v>1299</v>
      </c>
      <c r="O408" s="72">
        <v>8.5</v>
      </c>
      <c r="P408" s="72"/>
      <c r="Q408" s="72"/>
      <c r="R408" s="78"/>
      <c r="S408" s="72"/>
      <c r="T408" s="72"/>
      <c r="U408" s="72"/>
      <c r="V408" s="72"/>
      <c r="W408" s="72"/>
      <c r="X408" s="72"/>
      <c r="Y408" s="72"/>
      <c r="Z408" s="72"/>
      <c r="AA408" s="79"/>
      <c r="AB408" s="79"/>
      <c r="AC408" s="79"/>
      <c r="AD408" s="79"/>
      <c r="AE408" s="79"/>
    </row>
    <row r="409" spans="1:31" ht="16.5" x14ac:dyDescent="0.35">
      <c r="A409" s="71">
        <v>403</v>
      </c>
      <c r="B409" s="72">
        <v>2005221228</v>
      </c>
      <c r="C409" s="80" t="s">
        <v>833</v>
      </c>
      <c r="D409" s="81" t="s">
        <v>373</v>
      </c>
      <c r="E409" s="72" t="s">
        <v>834</v>
      </c>
      <c r="F409" s="76">
        <v>5</v>
      </c>
      <c r="G409" s="72" t="s">
        <v>925</v>
      </c>
      <c r="H409" s="78">
        <v>45370</v>
      </c>
      <c r="I409" s="72" t="s">
        <v>1299</v>
      </c>
      <c r="J409" s="72">
        <v>3.5</v>
      </c>
      <c r="K409" s="72"/>
      <c r="L409" s="72" t="s">
        <v>1304</v>
      </c>
      <c r="M409" s="78">
        <v>45628</v>
      </c>
      <c r="N409" s="72" t="s">
        <v>1299</v>
      </c>
      <c r="O409" s="72">
        <v>8.5</v>
      </c>
      <c r="P409" s="72">
        <v>1</v>
      </c>
      <c r="Q409" s="72" t="s">
        <v>1300</v>
      </c>
      <c r="R409" s="78">
        <v>45791</v>
      </c>
      <c r="S409" s="72" t="s">
        <v>1299</v>
      </c>
      <c r="T409" s="72">
        <v>8.5</v>
      </c>
      <c r="U409" s="72">
        <v>1</v>
      </c>
      <c r="V409" s="72" t="s">
        <v>928</v>
      </c>
      <c r="W409" s="78">
        <v>45800</v>
      </c>
      <c r="X409" s="72" t="s">
        <v>1299</v>
      </c>
      <c r="Y409" s="72">
        <v>9</v>
      </c>
      <c r="Z409" s="72"/>
      <c r="AA409" s="72" t="s">
        <v>924</v>
      </c>
      <c r="AB409" s="78">
        <v>45817</v>
      </c>
      <c r="AC409" s="72" t="s">
        <v>1299</v>
      </c>
      <c r="AD409" s="79">
        <v>9</v>
      </c>
      <c r="AE409" s="79"/>
    </row>
    <row r="410" spans="1:31" ht="16.5" x14ac:dyDescent="0.35">
      <c r="A410" s="71">
        <v>404</v>
      </c>
      <c r="B410" s="72">
        <v>2005221458</v>
      </c>
      <c r="C410" s="80" t="s">
        <v>801</v>
      </c>
      <c r="D410" s="81" t="s">
        <v>90</v>
      </c>
      <c r="E410" s="72" t="s">
        <v>834</v>
      </c>
      <c r="F410" s="76">
        <v>2</v>
      </c>
      <c r="G410" s="72" t="s">
        <v>1304</v>
      </c>
      <c r="H410" s="78">
        <v>45628</v>
      </c>
      <c r="I410" s="72" t="s">
        <v>1299</v>
      </c>
      <c r="J410" s="72">
        <v>9</v>
      </c>
      <c r="K410" s="72">
        <v>1</v>
      </c>
      <c r="L410" s="72" t="s">
        <v>1300</v>
      </c>
      <c r="M410" s="78">
        <v>45784</v>
      </c>
      <c r="N410" s="72" t="s">
        <v>1299</v>
      </c>
      <c r="O410" s="72">
        <v>9.5</v>
      </c>
      <c r="P410" s="72">
        <v>0.5</v>
      </c>
      <c r="Q410" s="72"/>
      <c r="R410" s="78"/>
      <c r="S410" s="72"/>
      <c r="T410" s="72"/>
      <c r="U410" s="72"/>
      <c r="V410" s="72"/>
      <c r="W410" s="72"/>
      <c r="X410" s="72"/>
      <c r="Y410" s="72"/>
      <c r="Z410" s="72"/>
      <c r="AA410" s="79"/>
      <c r="AB410" s="79"/>
      <c r="AC410" s="79"/>
      <c r="AD410" s="79"/>
      <c r="AE410" s="79"/>
    </row>
    <row r="411" spans="1:31" ht="16.5" x14ac:dyDescent="0.35">
      <c r="A411" s="71">
        <v>405</v>
      </c>
      <c r="B411" s="72">
        <v>2005221592</v>
      </c>
      <c r="C411" s="80" t="s">
        <v>494</v>
      </c>
      <c r="D411" s="81" t="s">
        <v>120</v>
      </c>
      <c r="E411" s="72" t="s">
        <v>834</v>
      </c>
      <c r="F411" s="76">
        <v>4</v>
      </c>
      <c r="G411" s="72" t="s">
        <v>1300</v>
      </c>
      <c r="H411" s="78">
        <v>45721</v>
      </c>
      <c r="I411" s="72" t="s">
        <v>1299</v>
      </c>
      <c r="J411" s="72">
        <v>6</v>
      </c>
      <c r="K411" s="72"/>
      <c r="L411" s="72" t="s">
        <v>1301</v>
      </c>
      <c r="M411" s="78">
        <v>45783</v>
      </c>
      <c r="N411" s="72" t="s">
        <v>1299</v>
      </c>
      <c r="O411" s="72">
        <v>8.5</v>
      </c>
      <c r="P411" s="72"/>
      <c r="Q411" s="72" t="s">
        <v>1300</v>
      </c>
      <c r="R411" s="78">
        <v>45791</v>
      </c>
      <c r="S411" s="72" t="s">
        <v>1299</v>
      </c>
      <c r="T411" s="72">
        <v>8</v>
      </c>
      <c r="U411" s="72"/>
      <c r="V411" s="79" t="s">
        <v>928</v>
      </c>
      <c r="W411" s="83">
        <v>45799</v>
      </c>
      <c r="X411" s="79" t="s">
        <v>1299</v>
      </c>
      <c r="Y411" s="72">
        <v>8.5</v>
      </c>
      <c r="Z411" s="72"/>
      <c r="AA411" s="79"/>
      <c r="AB411" s="79"/>
      <c r="AC411" s="79"/>
      <c r="AD411" s="79"/>
      <c r="AE411" s="79"/>
    </row>
    <row r="412" spans="1:31" ht="16.5" x14ac:dyDescent="0.35">
      <c r="A412" s="71">
        <v>406</v>
      </c>
      <c r="B412" s="72">
        <v>2005221641</v>
      </c>
      <c r="C412" s="80" t="s">
        <v>628</v>
      </c>
      <c r="D412" s="81" t="s">
        <v>120</v>
      </c>
      <c r="E412" s="72" t="s">
        <v>834</v>
      </c>
      <c r="F412" s="76">
        <v>3</v>
      </c>
      <c r="G412" s="72" t="s">
        <v>1300</v>
      </c>
      <c r="H412" s="78">
        <v>45744</v>
      </c>
      <c r="I412" s="72" t="s">
        <v>1299</v>
      </c>
      <c r="J412" s="72">
        <v>7.5</v>
      </c>
      <c r="K412" s="72"/>
      <c r="L412" s="72" t="s">
        <v>924</v>
      </c>
      <c r="M412" s="78">
        <v>45787</v>
      </c>
      <c r="N412" s="72" t="s">
        <v>1299</v>
      </c>
      <c r="O412" s="72">
        <v>8.5</v>
      </c>
      <c r="P412" s="72">
        <v>0.5</v>
      </c>
      <c r="Q412" s="72" t="s">
        <v>1300</v>
      </c>
      <c r="R412" s="78">
        <v>45448</v>
      </c>
      <c r="S412" s="72" t="s">
        <v>1299</v>
      </c>
      <c r="T412" s="72">
        <v>5</v>
      </c>
      <c r="U412" s="72"/>
      <c r="V412" s="72"/>
      <c r="W412" s="72"/>
      <c r="X412" s="72"/>
      <c r="Y412" s="72"/>
      <c r="Z412" s="72"/>
      <c r="AA412" s="79"/>
      <c r="AB412" s="79"/>
      <c r="AC412" s="79"/>
      <c r="AD412" s="79"/>
      <c r="AE412" s="79"/>
    </row>
    <row r="413" spans="1:31" ht="16.5" x14ac:dyDescent="0.35">
      <c r="A413" s="71">
        <v>407</v>
      </c>
      <c r="B413" s="72">
        <v>2005222214</v>
      </c>
      <c r="C413" s="80" t="s">
        <v>840</v>
      </c>
      <c r="D413" s="81" t="s">
        <v>311</v>
      </c>
      <c r="E413" s="72" t="s">
        <v>834</v>
      </c>
      <c r="F413" s="76">
        <v>3</v>
      </c>
      <c r="G413" s="72" t="s">
        <v>925</v>
      </c>
      <c r="H413" s="78">
        <v>45370</v>
      </c>
      <c r="I413" s="72" t="s">
        <v>1299</v>
      </c>
      <c r="J413" s="72">
        <v>6.5</v>
      </c>
      <c r="K413" s="72"/>
      <c r="L413" s="72" t="s">
        <v>1300</v>
      </c>
      <c r="M413" s="78">
        <v>45784</v>
      </c>
      <c r="N413" s="72" t="s">
        <v>1299</v>
      </c>
      <c r="O413" s="72">
        <v>7.5</v>
      </c>
      <c r="P413" s="72"/>
      <c r="Q413" s="72" t="s">
        <v>1301</v>
      </c>
      <c r="R413" s="78">
        <v>45783</v>
      </c>
      <c r="S413" s="72" t="s">
        <v>1299</v>
      </c>
      <c r="T413" s="72">
        <v>6.5</v>
      </c>
      <c r="U413" s="72"/>
      <c r="V413" s="72"/>
      <c r="W413" s="72"/>
      <c r="X413" s="72"/>
      <c r="Y413" s="72"/>
      <c r="Z413" s="72"/>
      <c r="AA413" s="79"/>
      <c r="AB413" s="79"/>
      <c r="AC413" s="79"/>
      <c r="AD413" s="79"/>
      <c r="AE413" s="79"/>
    </row>
    <row r="414" spans="1:31" ht="16.5" x14ac:dyDescent="0.35">
      <c r="A414" s="71">
        <v>408</v>
      </c>
      <c r="B414" s="72">
        <v>2005222336</v>
      </c>
      <c r="C414" s="80" t="s">
        <v>841</v>
      </c>
      <c r="D414" s="81" t="s">
        <v>29</v>
      </c>
      <c r="E414" s="72" t="s">
        <v>834</v>
      </c>
      <c r="F414" s="76">
        <v>2</v>
      </c>
      <c r="G414" s="72" t="s">
        <v>1304</v>
      </c>
      <c r="H414" s="78">
        <v>45628</v>
      </c>
      <c r="I414" s="72" t="s">
        <v>1299</v>
      </c>
      <c r="J414" s="72">
        <v>7.5</v>
      </c>
      <c r="K414" s="72"/>
      <c r="L414" s="72" t="s">
        <v>924</v>
      </c>
      <c r="M414" s="78">
        <v>45776</v>
      </c>
      <c r="N414" s="72" t="s">
        <v>1299</v>
      </c>
      <c r="O414" s="72">
        <v>9</v>
      </c>
      <c r="P414" s="72"/>
      <c r="Q414" s="72"/>
      <c r="R414" s="78"/>
      <c r="S414" s="72"/>
      <c r="T414" s="72"/>
      <c r="U414" s="72"/>
      <c r="V414" s="72"/>
      <c r="W414" s="72"/>
      <c r="X414" s="72"/>
      <c r="Y414" s="72"/>
      <c r="Z414" s="72"/>
      <c r="AA414" s="79"/>
      <c r="AB414" s="79"/>
      <c r="AC414" s="79"/>
      <c r="AD414" s="79"/>
      <c r="AE414" s="79"/>
    </row>
    <row r="415" spans="1:31" ht="16.5" x14ac:dyDescent="0.35">
      <c r="A415" s="71">
        <v>409</v>
      </c>
      <c r="B415" s="72">
        <v>2005222365</v>
      </c>
      <c r="C415" s="80" t="s">
        <v>862</v>
      </c>
      <c r="D415" s="81" t="s">
        <v>29</v>
      </c>
      <c r="E415" s="72" t="s">
        <v>834</v>
      </c>
      <c r="F415" s="76">
        <v>2</v>
      </c>
      <c r="G415" s="72" t="s">
        <v>1298</v>
      </c>
      <c r="H415" s="78">
        <v>45632</v>
      </c>
      <c r="I415" s="72" t="s">
        <v>1299</v>
      </c>
      <c r="J415" s="72">
        <v>8.5</v>
      </c>
      <c r="K415" s="72"/>
      <c r="L415" s="72" t="s">
        <v>924</v>
      </c>
      <c r="M415" s="78">
        <v>45645</v>
      </c>
      <c r="N415" s="72" t="s">
        <v>1299</v>
      </c>
      <c r="O415" s="72">
        <v>6.5</v>
      </c>
      <c r="P415" s="72"/>
      <c r="Q415" s="72"/>
      <c r="R415" s="78"/>
      <c r="S415" s="72"/>
      <c r="T415" s="72"/>
      <c r="U415" s="72"/>
      <c r="V415" s="72"/>
      <c r="W415" s="72"/>
      <c r="X415" s="72"/>
      <c r="Y415" s="72"/>
      <c r="Z415" s="72"/>
      <c r="AA415" s="79"/>
      <c r="AB415" s="79"/>
      <c r="AC415" s="79"/>
      <c r="AD415" s="79"/>
      <c r="AE415" s="79"/>
    </row>
    <row r="416" spans="1:31" ht="16.5" x14ac:dyDescent="0.35">
      <c r="A416" s="71">
        <v>410</v>
      </c>
      <c r="B416" s="72">
        <v>2005222572</v>
      </c>
      <c r="C416" s="80" t="s">
        <v>842</v>
      </c>
      <c r="D416" s="81" t="s">
        <v>237</v>
      </c>
      <c r="E416" s="72" t="s">
        <v>834</v>
      </c>
      <c r="F416" s="76">
        <v>2</v>
      </c>
      <c r="G416" s="72" t="s">
        <v>1300</v>
      </c>
      <c r="H416" s="78">
        <v>45728</v>
      </c>
      <c r="I416" s="72" t="s">
        <v>1299</v>
      </c>
      <c r="J416" s="72">
        <v>9.5</v>
      </c>
      <c r="K416" s="72"/>
      <c r="L416" s="72" t="s">
        <v>924</v>
      </c>
      <c r="M416" s="78">
        <v>45776</v>
      </c>
      <c r="N416" s="72" t="s">
        <v>1299</v>
      </c>
      <c r="O416" s="79">
        <v>8.5</v>
      </c>
      <c r="P416" s="72"/>
      <c r="Q416" s="72"/>
      <c r="R416" s="78"/>
      <c r="S416" s="72"/>
      <c r="T416" s="72"/>
      <c r="U416" s="72"/>
      <c r="V416" s="72"/>
      <c r="W416" s="72"/>
      <c r="X416" s="72"/>
      <c r="Y416" s="72"/>
      <c r="Z416" s="72"/>
      <c r="AA416" s="79"/>
      <c r="AB416" s="79"/>
      <c r="AC416" s="79"/>
      <c r="AD416" s="79"/>
      <c r="AE416" s="79"/>
    </row>
    <row r="417" spans="1:31" ht="16.5" x14ac:dyDescent="0.35">
      <c r="A417" s="71">
        <v>411</v>
      </c>
      <c r="B417" s="72">
        <v>2005222828</v>
      </c>
      <c r="C417" s="80" t="s">
        <v>843</v>
      </c>
      <c r="D417" s="81" t="s">
        <v>362</v>
      </c>
      <c r="E417" s="72" t="s">
        <v>834</v>
      </c>
      <c r="F417" s="76">
        <v>2</v>
      </c>
      <c r="G417" s="72" t="s">
        <v>1304</v>
      </c>
      <c r="H417" s="78">
        <v>45628</v>
      </c>
      <c r="I417" s="72" t="s">
        <v>1299</v>
      </c>
      <c r="J417" s="72">
        <v>8.5</v>
      </c>
      <c r="K417" s="72"/>
      <c r="L417" s="72" t="s">
        <v>924</v>
      </c>
      <c r="M417" s="78">
        <v>45776</v>
      </c>
      <c r="N417" s="72" t="s">
        <v>1299</v>
      </c>
      <c r="O417" s="72">
        <v>9.5</v>
      </c>
      <c r="P417" s="72"/>
      <c r="Q417" s="72"/>
      <c r="R417" s="78"/>
      <c r="S417" s="72"/>
      <c r="T417" s="72"/>
      <c r="U417" s="72"/>
      <c r="V417" s="72"/>
      <c r="W417" s="72"/>
      <c r="X417" s="72"/>
      <c r="Y417" s="72"/>
      <c r="Z417" s="72"/>
      <c r="AA417" s="79"/>
      <c r="AB417" s="79"/>
      <c r="AC417" s="79"/>
      <c r="AD417" s="79"/>
      <c r="AE417" s="79"/>
    </row>
    <row r="418" spans="1:31" ht="16.5" x14ac:dyDescent="0.35">
      <c r="A418" s="71">
        <v>412</v>
      </c>
      <c r="B418" s="72">
        <v>2005222869</v>
      </c>
      <c r="C418" s="80" t="s">
        <v>844</v>
      </c>
      <c r="D418" s="81" t="s">
        <v>92</v>
      </c>
      <c r="E418" s="72" t="s">
        <v>834</v>
      </c>
      <c r="F418" s="76">
        <v>3</v>
      </c>
      <c r="G418" s="72" t="s">
        <v>924</v>
      </c>
      <c r="H418" s="78">
        <v>45637</v>
      </c>
      <c r="I418" s="72" t="s">
        <v>1299</v>
      </c>
      <c r="J418" s="72">
        <v>7.5</v>
      </c>
      <c r="K418" s="72"/>
      <c r="L418" s="72" t="s">
        <v>1300</v>
      </c>
      <c r="M418" s="78">
        <v>45728</v>
      </c>
      <c r="N418" s="72" t="s">
        <v>1299</v>
      </c>
      <c r="O418" s="72">
        <v>9.5</v>
      </c>
      <c r="P418" s="72"/>
      <c r="Q418" s="72" t="s">
        <v>928</v>
      </c>
      <c r="R418" s="78">
        <v>45800</v>
      </c>
      <c r="S418" s="72" t="s">
        <v>1299</v>
      </c>
      <c r="T418" s="72">
        <v>9</v>
      </c>
      <c r="U418" s="72"/>
      <c r="V418" s="72"/>
      <c r="W418" s="72"/>
      <c r="X418" s="72"/>
      <c r="Y418" s="72"/>
      <c r="Z418" s="72"/>
      <c r="AA418" s="79"/>
      <c r="AB418" s="79"/>
      <c r="AC418" s="79"/>
      <c r="AD418" s="79"/>
      <c r="AE418" s="79"/>
    </row>
    <row r="419" spans="1:31" ht="16.5" x14ac:dyDescent="0.35">
      <c r="A419" s="71">
        <v>413</v>
      </c>
      <c r="B419" s="72">
        <v>2005223102</v>
      </c>
      <c r="C419" s="80" t="s">
        <v>846</v>
      </c>
      <c r="D419" s="81" t="s">
        <v>51</v>
      </c>
      <c r="E419" s="72" t="s">
        <v>834</v>
      </c>
      <c r="F419" s="76">
        <v>4</v>
      </c>
      <c r="G419" s="72" t="s">
        <v>924</v>
      </c>
      <c r="H419" s="78">
        <v>45645</v>
      </c>
      <c r="I419" s="72" t="s">
        <v>1299</v>
      </c>
      <c r="J419" s="72">
        <v>7.5</v>
      </c>
      <c r="K419" s="72"/>
      <c r="L419" s="72" t="s">
        <v>1300</v>
      </c>
      <c r="M419" s="78">
        <v>45756</v>
      </c>
      <c r="N419" s="72" t="s">
        <v>1299</v>
      </c>
      <c r="O419" s="72">
        <v>8</v>
      </c>
      <c r="P419" s="72"/>
      <c r="Q419" s="72" t="s">
        <v>925</v>
      </c>
      <c r="R419" s="78">
        <v>45769</v>
      </c>
      <c r="S419" s="72" t="s">
        <v>1299</v>
      </c>
      <c r="T419" s="72">
        <v>8.5</v>
      </c>
      <c r="U419" s="72"/>
      <c r="V419" s="72" t="s">
        <v>928</v>
      </c>
      <c r="W419" s="78">
        <v>45800</v>
      </c>
      <c r="X419" s="72" t="s">
        <v>1299</v>
      </c>
      <c r="Y419" s="72">
        <v>9</v>
      </c>
      <c r="Z419" s="72"/>
      <c r="AA419" s="79"/>
      <c r="AB419" s="79"/>
      <c r="AC419" s="79"/>
      <c r="AD419" s="79"/>
      <c r="AE419" s="79"/>
    </row>
    <row r="420" spans="1:31" ht="16.5" x14ac:dyDescent="0.35">
      <c r="A420" s="71">
        <v>414</v>
      </c>
      <c r="B420" s="72">
        <v>2005223140</v>
      </c>
      <c r="C420" s="80" t="s">
        <v>293</v>
      </c>
      <c r="D420" s="81" t="s">
        <v>205</v>
      </c>
      <c r="E420" s="72" t="s">
        <v>834</v>
      </c>
      <c r="F420" s="76">
        <v>3</v>
      </c>
      <c r="G420" s="72" t="s">
        <v>925</v>
      </c>
      <c r="H420" s="78">
        <v>45370</v>
      </c>
      <c r="I420" s="72" t="s">
        <v>1299</v>
      </c>
      <c r="J420" s="72">
        <v>2.5</v>
      </c>
      <c r="K420" s="72"/>
      <c r="L420" s="72" t="s">
        <v>1300</v>
      </c>
      <c r="M420" s="78">
        <v>45742</v>
      </c>
      <c r="N420" s="72" t="s">
        <v>1299</v>
      </c>
      <c r="O420" s="72">
        <v>8</v>
      </c>
      <c r="P420" s="72"/>
      <c r="Q420" s="72" t="s">
        <v>1301</v>
      </c>
      <c r="R420" s="78">
        <v>45785</v>
      </c>
      <c r="S420" s="72" t="s">
        <v>1299</v>
      </c>
      <c r="T420" s="79">
        <v>6.5</v>
      </c>
      <c r="U420" s="72"/>
      <c r="V420" s="72"/>
      <c r="W420" s="72"/>
      <c r="X420" s="72"/>
      <c r="Y420" s="72"/>
      <c r="Z420" s="72"/>
      <c r="AA420" s="79"/>
      <c r="AB420" s="79"/>
      <c r="AC420" s="79"/>
      <c r="AD420" s="79"/>
      <c r="AE420" s="79"/>
    </row>
    <row r="421" spans="1:31" ht="16.5" x14ac:dyDescent="0.35">
      <c r="A421" s="71">
        <v>415</v>
      </c>
      <c r="B421" s="72">
        <v>2005223208</v>
      </c>
      <c r="C421" s="80" t="s">
        <v>848</v>
      </c>
      <c r="D421" s="81" t="s">
        <v>849</v>
      </c>
      <c r="E421" s="72" t="s">
        <v>834</v>
      </c>
      <c r="F421" s="76">
        <v>2</v>
      </c>
      <c r="G421" s="72" t="s">
        <v>1300</v>
      </c>
      <c r="H421" s="78">
        <v>45721</v>
      </c>
      <c r="I421" s="72" t="s">
        <v>1299</v>
      </c>
      <c r="J421" s="72">
        <v>7.5</v>
      </c>
      <c r="K421" s="72"/>
      <c r="L421" s="72" t="s">
        <v>924</v>
      </c>
      <c r="M421" s="78">
        <v>45776</v>
      </c>
      <c r="N421" s="72" t="s">
        <v>1299</v>
      </c>
      <c r="O421" s="72">
        <v>6.5</v>
      </c>
      <c r="P421" s="72"/>
      <c r="Q421" s="72"/>
      <c r="R421" s="78"/>
      <c r="S421" s="72"/>
      <c r="T421" s="72"/>
      <c r="U421" s="72"/>
      <c r="V421" s="72"/>
      <c r="W421" s="72"/>
      <c r="X421" s="72"/>
      <c r="Y421" s="72"/>
      <c r="Z421" s="72"/>
      <c r="AA421" s="79"/>
      <c r="AB421" s="79"/>
      <c r="AC421" s="79"/>
      <c r="AD421" s="79"/>
      <c r="AE421" s="79"/>
    </row>
    <row r="422" spans="1:31" ht="16.5" x14ac:dyDescent="0.35">
      <c r="A422" s="71">
        <v>416</v>
      </c>
      <c r="B422" s="72">
        <v>2005223384</v>
      </c>
      <c r="C422" s="80" t="s">
        <v>850</v>
      </c>
      <c r="D422" s="81" t="s">
        <v>76</v>
      </c>
      <c r="E422" s="72" t="s">
        <v>834</v>
      </c>
      <c r="F422" s="76">
        <v>2</v>
      </c>
      <c r="G422" s="72" t="s">
        <v>924</v>
      </c>
      <c r="H422" s="78">
        <v>45645</v>
      </c>
      <c r="I422" s="72" t="s">
        <v>1299</v>
      </c>
      <c r="J422" s="72">
        <v>8.5</v>
      </c>
      <c r="K422" s="72"/>
      <c r="L422" s="72" t="s">
        <v>1300</v>
      </c>
      <c r="M422" s="78">
        <v>45756</v>
      </c>
      <c r="N422" s="72" t="s">
        <v>1299</v>
      </c>
      <c r="O422" s="72">
        <v>8.5</v>
      </c>
      <c r="P422" s="72"/>
      <c r="Q422" s="72"/>
      <c r="R422" s="78"/>
      <c r="S422" s="72"/>
      <c r="T422" s="72"/>
      <c r="U422" s="72"/>
      <c r="V422" s="72"/>
      <c r="W422" s="72"/>
      <c r="X422" s="72"/>
      <c r="Y422" s="72"/>
      <c r="Z422" s="72"/>
      <c r="AA422" s="79"/>
      <c r="AB422" s="79"/>
      <c r="AC422" s="79"/>
      <c r="AD422" s="79"/>
      <c r="AE422" s="79"/>
    </row>
    <row r="423" spans="1:31" ht="16.5" x14ac:dyDescent="0.35">
      <c r="A423" s="71">
        <v>417</v>
      </c>
      <c r="B423" s="72">
        <v>2005223612</v>
      </c>
      <c r="C423" s="80" t="s">
        <v>113</v>
      </c>
      <c r="D423" s="81" t="s">
        <v>303</v>
      </c>
      <c r="E423" s="72" t="s">
        <v>834</v>
      </c>
      <c r="F423" s="76">
        <v>2</v>
      </c>
      <c r="G423" s="72" t="s">
        <v>1300</v>
      </c>
      <c r="H423" s="78">
        <v>45721</v>
      </c>
      <c r="I423" s="72" t="s">
        <v>1299</v>
      </c>
      <c r="J423" s="72">
        <v>6</v>
      </c>
      <c r="K423" s="72"/>
      <c r="L423" s="72" t="s">
        <v>924</v>
      </c>
      <c r="M423" s="78">
        <v>45787</v>
      </c>
      <c r="N423" s="72" t="s">
        <v>1299</v>
      </c>
      <c r="O423" s="72">
        <v>8.5</v>
      </c>
      <c r="P423" s="72">
        <v>0.5</v>
      </c>
      <c r="Q423" s="72"/>
      <c r="R423" s="78"/>
      <c r="S423" s="72"/>
      <c r="T423" s="72"/>
      <c r="U423" s="72"/>
      <c r="V423" s="72"/>
      <c r="W423" s="72"/>
      <c r="X423" s="72"/>
      <c r="Y423" s="72"/>
      <c r="Z423" s="72"/>
      <c r="AA423" s="79"/>
      <c r="AB423" s="79"/>
      <c r="AC423" s="79"/>
      <c r="AD423" s="79"/>
      <c r="AE423" s="79"/>
    </row>
    <row r="424" spans="1:31" ht="16.5" x14ac:dyDescent="0.35">
      <c r="A424" s="71">
        <v>418</v>
      </c>
      <c r="B424" s="72">
        <v>2005223850</v>
      </c>
      <c r="C424" s="80" t="s">
        <v>851</v>
      </c>
      <c r="D424" s="81" t="s">
        <v>31</v>
      </c>
      <c r="E424" s="72" t="s">
        <v>834</v>
      </c>
      <c r="F424" s="76">
        <v>3</v>
      </c>
      <c r="G424" s="72" t="s">
        <v>1300</v>
      </c>
      <c r="H424" s="78">
        <v>45791</v>
      </c>
      <c r="I424" s="72" t="s">
        <v>1299</v>
      </c>
      <c r="J424" s="72">
        <v>10</v>
      </c>
      <c r="K424" s="72"/>
      <c r="L424" s="72" t="s">
        <v>925</v>
      </c>
      <c r="M424" s="78">
        <v>45797</v>
      </c>
      <c r="N424" s="72" t="s">
        <v>1299</v>
      </c>
      <c r="O424" s="72">
        <v>10</v>
      </c>
      <c r="P424" s="72"/>
      <c r="Q424" s="72" t="s">
        <v>924</v>
      </c>
      <c r="R424" s="78">
        <v>45776</v>
      </c>
      <c r="S424" s="72" t="s">
        <v>1299</v>
      </c>
      <c r="T424" s="72">
        <v>9</v>
      </c>
      <c r="U424" s="72">
        <v>1</v>
      </c>
      <c r="V424" s="72"/>
      <c r="W424" s="72"/>
      <c r="X424" s="72"/>
      <c r="Y424" s="72"/>
      <c r="Z424" s="72"/>
      <c r="AA424" s="79"/>
      <c r="AB424" s="79"/>
      <c r="AC424" s="79"/>
      <c r="AD424" s="79"/>
      <c r="AE424" s="79"/>
    </row>
    <row r="425" spans="1:31" ht="16.5" x14ac:dyDescent="0.35">
      <c r="A425" s="71">
        <v>419</v>
      </c>
      <c r="B425" s="72">
        <v>2005224328</v>
      </c>
      <c r="C425" s="80" t="s">
        <v>852</v>
      </c>
      <c r="D425" s="81" t="s">
        <v>853</v>
      </c>
      <c r="E425" s="72" t="s">
        <v>834</v>
      </c>
      <c r="F425" s="76">
        <v>2</v>
      </c>
      <c r="G425" s="72" t="s">
        <v>1300</v>
      </c>
      <c r="H425" s="78">
        <v>45721</v>
      </c>
      <c r="I425" s="72" t="s">
        <v>1299</v>
      </c>
      <c r="J425" s="72">
        <v>7.5</v>
      </c>
      <c r="K425" s="72"/>
      <c r="L425" s="72" t="s">
        <v>925</v>
      </c>
      <c r="M425" s="78">
        <v>45797</v>
      </c>
      <c r="N425" s="72" t="s">
        <v>1299</v>
      </c>
      <c r="O425" s="72">
        <v>8</v>
      </c>
      <c r="P425" s="72"/>
      <c r="Q425" s="72"/>
      <c r="R425" s="78"/>
      <c r="S425" s="72"/>
      <c r="T425" s="72"/>
      <c r="U425" s="72"/>
      <c r="V425" s="72"/>
      <c r="W425" s="72"/>
      <c r="X425" s="72"/>
      <c r="Y425" s="72"/>
      <c r="Z425" s="72"/>
      <c r="AA425" s="79"/>
      <c r="AB425" s="79"/>
      <c r="AC425" s="79"/>
      <c r="AD425" s="79"/>
      <c r="AE425" s="79"/>
    </row>
    <row r="426" spans="1:31" ht="16.5" x14ac:dyDescent="0.35">
      <c r="A426" s="71">
        <v>420</v>
      </c>
      <c r="B426" s="72">
        <v>2041224411</v>
      </c>
      <c r="C426" s="80" t="s">
        <v>859</v>
      </c>
      <c r="D426" s="81" t="s">
        <v>561</v>
      </c>
      <c r="E426" s="72" t="s">
        <v>834</v>
      </c>
      <c r="F426" s="76">
        <v>2</v>
      </c>
      <c r="G426" s="72" t="s">
        <v>924</v>
      </c>
      <c r="H426" s="78">
        <v>45629</v>
      </c>
      <c r="I426" s="72" t="s">
        <v>1299</v>
      </c>
      <c r="J426" s="72">
        <v>7</v>
      </c>
      <c r="K426" s="72"/>
      <c r="L426" s="72" t="s">
        <v>1300</v>
      </c>
      <c r="M426" s="78">
        <v>45742</v>
      </c>
      <c r="N426" s="72" t="s">
        <v>1299</v>
      </c>
      <c r="O426" s="72">
        <v>7.5</v>
      </c>
      <c r="P426" s="72"/>
      <c r="Q426" s="72"/>
      <c r="R426" s="78"/>
      <c r="S426" s="72"/>
      <c r="T426" s="72"/>
      <c r="U426" s="72"/>
      <c r="V426" s="72"/>
      <c r="W426" s="72"/>
      <c r="X426" s="72"/>
      <c r="Y426" s="72"/>
      <c r="Z426" s="72"/>
      <c r="AA426" s="79"/>
      <c r="AB426" s="79"/>
      <c r="AC426" s="79"/>
      <c r="AD426" s="79"/>
      <c r="AE426" s="79"/>
    </row>
    <row r="427" spans="1:31" ht="16.5" x14ac:dyDescent="0.35">
      <c r="A427" s="71">
        <v>421</v>
      </c>
      <c r="B427" s="72">
        <v>2005224590</v>
      </c>
      <c r="C427" s="80" t="s">
        <v>860</v>
      </c>
      <c r="D427" s="81" t="s">
        <v>306</v>
      </c>
      <c r="E427" s="72" t="s">
        <v>834</v>
      </c>
      <c r="F427" s="76">
        <v>3</v>
      </c>
      <c r="G427" s="72" t="s">
        <v>1300</v>
      </c>
      <c r="H427" s="78">
        <v>45448</v>
      </c>
      <c r="I427" s="72" t="s">
        <v>1299</v>
      </c>
      <c r="J427" s="72">
        <v>7.5</v>
      </c>
      <c r="K427" s="72"/>
      <c r="L427" s="72" t="s">
        <v>1301</v>
      </c>
      <c r="M427" s="78">
        <v>45783</v>
      </c>
      <c r="N427" s="72" t="s">
        <v>1299</v>
      </c>
      <c r="O427" s="72">
        <v>9</v>
      </c>
      <c r="P427" s="72"/>
      <c r="Q427" s="72" t="s">
        <v>924</v>
      </c>
      <c r="R427" s="78">
        <v>45776</v>
      </c>
      <c r="S427" s="72" t="s">
        <v>1299</v>
      </c>
      <c r="T427" s="72">
        <v>9</v>
      </c>
      <c r="U427" s="72"/>
      <c r="V427" s="72"/>
      <c r="W427" s="72"/>
      <c r="X427" s="72"/>
      <c r="Y427" s="72"/>
      <c r="Z427" s="72"/>
      <c r="AA427" s="79"/>
      <c r="AB427" s="79"/>
      <c r="AC427" s="79"/>
      <c r="AD427" s="79"/>
      <c r="AE427" s="79"/>
    </row>
    <row r="428" spans="1:31" ht="16.5" x14ac:dyDescent="0.35">
      <c r="A428" s="71">
        <v>422</v>
      </c>
      <c r="B428" s="72">
        <v>2005224769</v>
      </c>
      <c r="C428" s="80" t="s">
        <v>854</v>
      </c>
      <c r="D428" s="81" t="s">
        <v>102</v>
      </c>
      <c r="E428" s="72" t="s">
        <v>834</v>
      </c>
      <c r="F428" s="76">
        <v>3</v>
      </c>
      <c r="G428" s="72" t="s">
        <v>1304</v>
      </c>
      <c r="H428" s="78">
        <v>45628</v>
      </c>
      <c r="I428" s="72" t="s">
        <v>1299</v>
      </c>
      <c r="J428" s="72">
        <v>8</v>
      </c>
      <c r="K428" s="72">
        <v>0.5</v>
      </c>
      <c r="L428" s="72" t="s">
        <v>924</v>
      </c>
      <c r="M428" s="78">
        <v>45803</v>
      </c>
      <c r="N428" s="72" t="s">
        <v>1299</v>
      </c>
      <c r="O428" s="72">
        <v>7.5</v>
      </c>
      <c r="P428" s="72"/>
      <c r="Q428" s="72" t="s">
        <v>925</v>
      </c>
      <c r="R428" s="78">
        <v>45813</v>
      </c>
      <c r="S428" s="72" t="s">
        <v>1299</v>
      </c>
      <c r="T428" s="72">
        <v>8</v>
      </c>
      <c r="U428" s="72"/>
      <c r="V428" s="72"/>
      <c r="W428" s="72"/>
      <c r="X428" s="72"/>
      <c r="Y428" s="72"/>
      <c r="Z428" s="72"/>
      <c r="AA428" s="79"/>
      <c r="AB428" s="79"/>
      <c r="AC428" s="79"/>
      <c r="AD428" s="79"/>
      <c r="AE428" s="79"/>
    </row>
    <row r="429" spans="1:31" ht="16.5" x14ac:dyDescent="0.35">
      <c r="A429" s="71">
        <v>423</v>
      </c>
      <c r="B429" s="72">
        <v>2005224768</v>
      </c>
      <c r="C429" s="80" t="s">
        <v>490</v>
      </c>
      <c r="D429" s="81" t="s">
        <v>102</v>
      </c>
      <c r="E429" s="72" t="s">
        <v>834</v>
      </c>
      <c r="F429" s="76">
        <v>2</v>
      </c>
      <c r="G429" s="72" t="s">
        <v>924</v>
      </c>
      <c r="H429" s="78">
        <v>45629</v>
      </c>
      <c r="I429" s="72" t="s">
        <v>1299</v>
      </c>
      <c r="J429" s="72">
        <v>8.5</v>
      </c>
      <c r="K429" s="72"/>
      <c r="L429" s="72" t="s">
        <v>1300</v>
      </c>
      <c r="M429" s="78">
        <v>45742</v>
      </c>
      <c r="N429" s="72" t="s">
        <v>1299</v>
      </c>
      <c r="O429" s="72">
        <v>9.5</v>
      </c>
      <c r="P429" s="72"/>
      <c r="Q429" s="72"/>
      <c r="R429" s="78"/>
      <c r="S429" s="72"/>
      <c r="T429" s="72"/>
      <c r="U429" s="72"/>
      <c r="V429" s="72"/>
      <c r="W429" s="72"/>
      <c r="X429" s="72"/>
      <c r="Y429" s="72"/>
      <c r="Z429" s="72"/>
      <c r="AA429" s="79"/>
      <c r="AB429" s="79"/>
      <c r="AC429" s="79"/>
      <c r="AD429" s="79"/>
      <c r="AE429" s="79"/>
    </row>
    <row r="430" spans="1:31" ht="16.5" x14ac:dyDescent="0.35">
      <c r="A430" s="71">
        <v>424</v>
      </c>
      <c r="B430" s="72">
        <v>2005225076</v>
      </c>
      <c r="C430" s="80" t="s">
        <v>857</v>
      </c>
      <c r="D430" s="81" t="s">
        <v>516</v>
      </c>
      <c r="E430" s="72" t="s">
        <v>834</v>
      </c>
      <c r="F430" s="76">
        <v>2</v>
      </c>
      <c r="G430" s="72" t="s">
        <v>924</v>
      </c>
      <c r="H430" s="78">
        <v>45645</v>
      </c>
      <c r="I430" s="72" t="s">
        <v>1299</v>
      </c>
      <c r="J430" s="72">
        <v>8</v>
      </c>
      <c r="K430" s="72"/>
      <c r="L430" s="72" t="s">
        <v>1300</v>
      </c>
      <c r="M430" s="78">
        <v>45784</v>
      </c>
      <c r="N430" s="72" t="s">
        <v>1299</v>
      </c>
      <c r="O430" s="72">
        <v>7.5</v>
      </c>
      <c r="P430" s="72"/>
      <c r="Q430" s="72"/>
      <c r="R430" s="78"/>
      <c r="S430" s="72"/>
      <c r="T430" s="72"/>
      <c r="U430" s="72"/>
      <c r="V430" s="72"/>
      <c r="W430" s="72"/>
      <c r="X430" s="72"/>
      <c r="Y430" s="72"/>
      <c r="Z430" s="72"/>
      <c r="AA430" s="79"/>
      <c r="AB430" s="79"/>
      <c r="AC430" s="79"/>
      <c r="AD430" s="79"/>
      <c r="AE430" s="79"/>
    </row>
    <row r="431" spans="1:31" ht="16.5" x14ac:dyDescent="0.35">
      <c r="A431" s="71">
        <v>425</v>
      </c>
      <c r="B431" s="72">
        <v>2005225166</v>
      </c>
      <c r="C431" s="80" t="s">
        <v>856</v>
      </c>
      <c r="D431" s="81" t="s">
        <v>123</v>
      </c>
      <c r="E431" s="72" t="s">
        <v>834</v>
      </c>
      <c r="F431" s="76">
        <v>2</v>
      </c>
      <c r="G431" s="72" t="s">
        <v>1310</v>
      </c>
      <c r="H431" s="78">
        <v>45602</v>
      </c>
      <c r="I431" s="72" t="s">
        <v>1299</v>
      </c>
      <c r="J431" s="72">
        <v>7</v>
      </c>
      <c r="K431" s="72"/>
      <c r="L431" s="72" t="s">
        <v>1304</v>
      </c>
      <c r="M431" s="78">
        <v>45628</v>
      </c>
      <c r="N431" s="72" t="s">
        <v>1299</v>
      </c>
      <c r="O431" s="72">
        <v>8</v>
      </c>
      <c r="P431" s="72">
        <v>0.5</v>
      </c>
      <c r="Q431" s="72"/>
      <c r="R431" s="78"/>
      <c r="S431" s="72"/>
      <c r="T431" s="72"/>
      <c r="U431" s="72"/>
      <c r="V431" s="72"/>
      <c r="W431" s="72"/>
      <c r="X431" s="72"/>
      <c r="Y431" s="72"/>
      <c r="Z431" s="72"/>
      <c r="AA431" s="79"/>
      <c r="AB431" s="79"/>
      <c r="AC431" s="79"/>
      <c r="AD431" s="79"/>
      <c r="AE431" s="79"/>
    </row>
    <row r="432" spans="1:31" ht="16.5" x14ac:dyDescent="0.35">
      <c r="A432" s="71">
        <v>426</v>
      </c>
      <c r="B432" s="72">
        <v>2005225243</v>
      </c>
      <c r="C432" s="80" t="s">
        <v>855</v>
      </c>
      <c r="D432" s="81" t="s">
        <v>123</v>
      </c>
      <c r="E432" s="72" t="s">
        <v>834</v>
      </c>
      <c r="F432" s="76">
        <v>2</v>
      </c>
      <c r="G432" s="72" t="s">
        <v>1304</v>
      </c>
      <c r="H432" s="78">
        <v>45628</v>
      </c>
      <c r="I432" s="72" t="s">
        <v>1299</v>
      </c>
      <c r="J432" s="72">
        <v>8</v>
      </c>
      <c r="K432" s="72">
        <v>1</v>
      </c>
      <c r="L432" s="72" t="s">
        <v>1301</v>
      </c>
      <c r="M432" s="78">
        <v>45630</v>
      </c>
      <c r="N432" s="72" t="s">
        <v>1299</v>
      </c>
      <c r="O432" s="72">
        <v>9.5</v>
      </c>
      <c r="P432" s="72"/>
      <c r="Q432" s="72"/>
      <c r="R432" s="78"/>
      <c r="S432" s="72"/>
      <c r="T432" s="72"/>
      <c r="U432" s="72"/>
      <c r="V432" s="72"/>
      <c r="W432" s="72"/>
      <c r="X432" s="72"/>
      <c r="Y432" s="72"/>
      <c r="Z432" s="72"/>
      <c r="AA432" s="79"/>
      <c r="AB432" s="79"/>
      <c r="AC432" s="79"/>
      <c r="AD432" s="79"/>
      <c r="AE432" s="79"/>
    </row>
    <row r="433" spans="1:31" ht="16.5" x14ac:dyDescent="0.35">
      <c r="A433" s="71">
        <v>427</v>
      </c>
      <c r="B433" s="72">
        <v>2041225752</v>
      </c>
      <c r="C433" s="80" t="s">
        <v>814</v>
      </c>
      <c r="D433" s="81" t="s">
        <v>280</v>
      </c>
      <c r="E433" s="72" t="s">
        <v>834</v>
      </c>
      <c r="F433" s="76">
        <v>3</v>
      </c>
      <c r="G433" s="72" t="s">
        <v>925</v>
      </c>
      <c r="H433" s="78">
        <v>45370</v>
      </c>
      <c r="I433" s="72" t="s">
        <v>1299</v>
      </c>
      <c r="J433" s="72">
        <v>4</v>
      </c>
      <c r="K433" s="72"/>
      <c r="L433" s="72" t="s">
        <v>1304</v>
      </c>
      <c r="M433" s="78">
        <v>45628</v>
      </c>
      <c r="N433" s="72" t="s">
        <v>1299</v>
      </c>
      <c r="O433" s="72">
        <v>8.5</v>
      </c>
      <c r="P433" s="72"/>
      <c r="Q433" s="72" t="s">
        <v>1300</v>
      </c>
      <c r="R433" s="78">
        <v>45728</v>
      </c>
      <c r="S433" s="72" t="s">
        <v>1299</v>
      </c>
      <c r="T433" s="72">
        <v>8.5</v>
      </c>
      <c r="U433" s="72"/>
      <c r="V433" s="72"/>
      <c r="W433" s="72"/>
      <c r="X433" s="72"/>
      <c r="Y433" s="72"/>
      <c r="Z433" s="72"/>
      <c r="AA433" s="79"/>
      <c r="AB433" s="79"/>
      <c r="AC433" s="79"/>
      <c r="AD433" s="79"/>
      <c r="AE433" s="79"/>
    </row>
    <row r="434" spans="1:31" ht="16.5" x14ac:dyDescent="0.35">
      <c r="A434" s="71">
        <v>428</v>
      </c>
      <c r="B434" s="72">
        <v>2005225728</v>
      </c>
      <c r="C434" s="80" t="s">
        <v>438</v>
      </c>
      <c r="D434" s="81" t="s">
        <v>280</v>
      </c>
      <c r="E434" s="72" t="s">
        <v>834</v>
      </c>
      <c r="F434" s="76">
        <v>2</v>
      </c>
      <c r="G434" s="72" t="s">
        <v>924</v>
      </c>
      <c r="H434" s="78">
        <v>45645</v>
      </c>
      <c r="I434" s="72" t="s">
        <v>1299</v>
      </c>
      <c r="J434" s="72">
        <v>8</v>
      </c>
      <c r="K434" s="72"/>
      <c r="L434" s="72" t="s">
        <v>1300</v>
      </c>
      <c r="M434" s="78">
        <v>45744</v>
      </c>
      <c r="N434" s="72" t="s">
        <v>1299</v>
      </c>
      <c r="O434" s="72">
        <v>8.5</v>
      </c>
      <c r="P434" s="72"/>
      <c r="Q434" s="72"/>
      <c r="R434" s="78"/>
      <c r="S434" s="72"/>
      <c r="T434" s="72"/>
      <c r="U434" s="72"/>
      <c r="V434" s="72"/>
      <c r="W434" s="72"/>
      <c r="X434" s="72"/>
      <c r="Y434" s="72"/>
      <c r="Z434" s="72"/>
      <c r="AA434" s="79"/>
      <c r="AB434" s="79"/>
      <c r="AC434" s="79"/>
      <c r="AD434" s="79"/>
      <c r="AE434" s="79"/>
    </row>
    <row r="435" spans="1:31" ht="16.5" x14ac:dyDescent="0.35">
      <c r="A435" s="71">
        <v>429</v>
      </c>
      <c r="B435" s="72">
        <v>2005220038</v>
      </c>
      <c r="C435" s="80" t="s">
        <v>863</v>
      </c>
      <c r="D435" s="81" t="s">
        <v>71</v>
      </c>
      <c r="E435" s="72" t="s">
        <v>546</v>
      </c>
      <c r="F435" s="76">
        <v>2</v>
      </c>
      <c r="G435" s="72" t="s">
        <v>1300</v>
      </c>
      <c r="H435" s="78">
        <v>45737</v>
      </c>
      <c r="I435" s="72" t="s">
        <v>1299</v>
      </c>
      <c r="J435" s="72">
        <v>7</v>
      </c>
      <c r="K435" s="72"/>
      <c r="L435" s="72" t="s">
        <v>924</v>
      </c>
      <c r="M435" s="78">
        <v>45776</v>
      </c>
      <c r="N435" s="72" t="s">
        <v>1299</v>
      </c>
      <c r="O435" s="72">
        <v>9</v>
      </c>
      <c r="P435" s="72"/>
      <c r="Q435" s="72"/>
      <c r="R435" s="78"/>
      <c r="S435" s="72"/>
      <c r="T435" s="72"/>
      <c r="U435" s="72"/>
      <c r="V435" s="72"/>
      <c r="W435" s="72"/>
      <c r="X435" s="72"/>
      <c r="Y435" s="72"/>
      <c r="Z435" s="72"/>
      <c r="AA435" s="79"/>
      <c r="AB435" s="79"/>
      <c r="AC435" s="79"/>
      <c r="AD435" s="79"/>
      <c r="AE435" s="79"/>
    </row>
    <row r="436" spans="1:31" ht="16.5" x14ac:dyDescent="0.35">
      <c r="A436" s="71">
        <v>430</v>
      </c>
      <c r="B436" s="72">
        <v>2005220092</v>
      </c>
      <c r="C436" s="80" t="s">
        <v>893</v>
      </c>
      <c r="D436" s="81" t="s">
        <v>36</v>
      </c>
      <c r="E436" s="72" t="s">
        <v>546</v>
      </c>
      <c r="F436" s="76">
        <v>2</v>
      </c>
      <c r="G436" s="72" t="s">
        <v>925</v>
      </c>
      <c r="H436" s="78">
        <v>45440</v>
      </c>
      <c r="I436" s="72" t="s">
        <v>1299</v>
      </c>
      <c r="J436" s="72">
        <v>8</v>
      </c>
      <c r="K436" s="72"/>
      <c r="L436" s="72" t="s">
        <v>1300</v>
      </c>
      <c r="M436" s="78">
        <v>45644</v>
      </c>
      <c r="N436" s="72" t="s">
        <v>1299</v>
      </c>
      <c r="O436" s="72">
        <v>10</v>
      </c>
      <c r="P436" s="72"/>
      <c r="Q436" s="72"/>
      <c r="R436" s="78"/>
      <c r="S436" s="72"/>
      <c r="T436" s="72"/>
      <c r="U436" s="72"/>
      <c r="V436" s="72"/>
      <c r="W436" s="72"/>
      <c r="X436" s="72"/>
      <c r="Y436" s="72"/>
      <c r="Z436" s="72"/>
      <c r="AA436" s="79"/>
      <c r="AB436" s="79"/>
      <c r="AC436" s="79"/>
      <c r="AD436" s="79"/>
      <c r="AE436" s="79"/>
    </row>
    <row r="437" spans="1:31" ht="16.5" x14ac:dyDescent="0.35">
      <c r="A437" s="71">
        <v>431</v>
      </c>
      <c r="B437" s="72">
        <v>2005220091</v>
      </c>
      <c r="C437" s="80" t="s">
        <v>895</v>
      </c>
      <c r="D437" s="81" t="s">
        <v>36</v>
      </c>
      <c r="E437" s="72" t="s">
        <v>546</v>
      </c>
      <c r="F437" s="76">
        <v>4</v>
      </c>
      <c r="G437" s="72" t="s">
        <v>1300</v>
      </c>
      <c r="H437" s="78">
        <v>45455</v>
      </c>
      <c r="I437" s="72" t="s">
        <v>1299</v>
      </c>
      <c r="J437" s="72">
        <v>6</v>
      </c>
      <c r="K437" s="72"/>
      <c r="L437" s="72" t="s">
        <v>1300</v>
      </c>
      <c r="M437" s="78">
        <v>45791</v>
      </c>
      <c r="N437" s="72" t="s">
        <v>1299</v>
      </c>
      <c r="O437" s="72">
        <v>9</v>
      </c>
      <c r="P437" s="72"/>
      <c r="Q437" s="79" t="s">
        <v>928</v>
      </c>
      <c r="R437" s="83">
        <v>45799</v>
      </c>
      <c r="S437" s="79" t="s">
        <v>1299</v>
      </c>
      <c r="T437" s="72">
        <v>9.5</v>
      </c>
      <c r="U437" s="72"/>
      <c r="V437" s="72" t="s">
        <v>924</v>
      </c>
      <c r="W437" s="78">
        <v>45803</v>
      </c>
      <c r="X437" s="72" t="s">
        <v>1299</v>
      </c>
      <c r="Y437" s="72">
        <v>8</v>
      </c>
      <c r="Z437" s="72"/>
      <c r="AA437" s="79"/>
      <c r="AB437" s="79"/>
      <c r="AC437" s="79"/>
      <c r="AD437" s="79"/>
      <c r="AE437" s="79"/>
    </row>
    <row r="438" spans="1:31" ht="16.5" x14ac:dyDescent="0.35">
      <c r="A438" s="71">
        <v>432</v>
      </c>
      <c r="B438" s="72">
        <v>2044220311</v>
      </c>
      <c r="C438" s="80" t="s">
        <v>896</v>
      </c>
      <c r="D438" s="81" t="s">
        <v>268</v>
      </c>
      <c r="E438" s="72" t="s">
        <v>546</v>
      </c>
      <c r="F438" s="76">
        <v>3</v>
      </c>
      <c r="G438" s="72" t="s">
        <v>1298</v>
      </c>
      <c r="H438" s="78">
        <v>45632</v>
      </c>
      <c r="I438" s="72" t="s">
        <v>1299</v>
      </c>
      <c r="J438" s="72">
        <v>8.5</v>
      </c>
      <c r="K438" s="72">
        <v>0.5</v>
      </c>
      <c r="L438" s="72" t="s">
        <v>1300</v>
      </c>
      <c r="M438" s="78">
        <v>45737</v>
      </c>
      <c r="N438" s="72" t="s">
        <v>1299</v>
      </c>
      <c r="O438" s="72">
        <v>8.5</v>
      </c>
      <c r="P438" s="72"/>
      <c r="Q438" s="72" t="s">
        <v>2042</v>
      </c>
      <c r="R438" s="78">
        <v>45672</v>
      </c>
      <c r="S438" s="72" t="s">
        <v>1299</v>
      </c>
      <c r="T438" s="72">
        <v>8.5</v>
      </c>
      <c r="U438" s="72"/>
      <c r="V438" s="72"/>
      <c r="W438" s="72"/>
      <c r="X438" s="72"/>
      <c r="Y438" s="72"/>
      <c r="Z438" s="72"/>
      <c r="AA438" s="79"/>
      <c r="AB438" s="79"/>
      <c r="AC438" s="79"/>
      <c r="AD438" s="79"/>
      <c r="AE438" s="79"/>
    </row>
    <row r="439" spans="1:31" ht="16.5" x14ac:dyDescent="0.35">
      <c r="A439" s="71">
        <v>433</v>
      </c>
      <c r="B439" s="72">
        <v>2005220366</v>
      </c>
      <c r="C439" s="80" t="s">
        <v>888</v>
      </c>
      <c r="D439" s="81" t="s">
        <v>827</v>
      </c>
      <c r="E439" s="72" t="s">
        <v>546</v>
      </c>
      <c r="F439" s="76">
        <v>2</v>
      </c>
      <c r="G439" s="72" t="s">
        <v>1300</v>
      </c>
      <c r="H439" s="78">
        <v>45749</v>
      </c>
      <c r="I439" s="86" t="s">
        <v>1299</v>
      </c>
      <c r="J439" s="72">
        <v>8.5</v>
      </c>
      <c r="K439" s="72"/>
      <c r="L439" s="72" t="s">
        <v>1301</v>
      </c>
      <c r="M439" s="78">
        <v>45783</v>
      </c>
      <c r="N439" s="72" t="s">
        <v>1299</v>
      </c>
      <c r="O439" s="72">
        <v>8</v>
      </c>
      <c r="P439" s="72"/>
      <c r="Q439" s="72"/>
      <c r="R439" s="78"/>
      <c r="S439" s="72"/>
      <c r="T439" s="72"/>
      <c r="U439" s="72"/>
      <c r="V439" s="72"/>
      <c r="W439" s="72"/>
      <c r="X439" s="72"/>
      <c r="Y439" s="72"/>
      <c r="Z439" s="72"/>
      <c r="AA439" s="79"/>
      <c r="AB439" s="79"/>
      <c r="AC439" s="79"/>
      <c r="AD439" s="79"/>
      <c r="AE439" s="79"/>
    </row>
    <row r="440" spans="1:31" ht="16.5" x14ac:dyDescent="0.35">
      <c r="A440" s="71">
        <v>434</v>
      </c>
      <c r="B440" s="72">
        <v>2005220525</v>
      </c>
      <c r="C440" s="80" t="s">
        <v>866</v>
      </c>
      <c r="D440" s="81" t="s">
        <v>533</v>
      </c>
      <c r="E440" s="72" t="s">
        <v>546</v>
      </c>
      <c r="F440" s="76">
        <v>2</v>
      </c>
      <c r="G440" s="72" t="s">
        <v>1300</v>
      </c>
      <c r="H440" s="78">
        <v>45436</v>
      </c>
      <c r="I440" s="72" t="s">
        <v>1299</v>
      </c>
      <c r="J440" s="72">
        <v>9</v>
      </c>
      <c r="K440" s="72"/>
      <c r="L440" s="72" t="s">
        <v>1301</v>
      </c>
      <c r="M440" s="78">
        <v>45783</v>
      </c>
      <c r="N440" s="72" t="s">
        <v>1299</v>
      </c>
      <c r="O440" s="72">
        <v>9</v>
      </c>
      <c r="P440" s="72"/>
      <c r="Q440" s="72"/>
      <c r="R440" s="78"/>
      <c r="S440" s="72"/>
      <c r="T440" s="72"/>
      <c r="U440" s="72"/>
      <c r="V440" s="72"/>
      <c r="W440" s="72"/>
      <c r="X440" s="72"/>
      <c r="Y440" s="72"/>
      <c r="Z440" s="72"/>
      <c r="AA440" s="79"/>
      <c r="AB440" s="79"/>
      <c r="AC440" s="79"/>
      <c r="AD440" s="79"/>
      <c r="AE440" s="79"/>
    </row>
    <row r="441" spans="1:31" ht="16.5" x14ac:dyDescent="0.35">
      <c r="A441" s="71">
        <v>435</v>
      </c>
      <c r="B441" s="72">
        <v>2005220534</v>
      </c>
      <c r="C441" s="80" t="s">
        <v>864</v>
      </c>
      <c r="D441" s="81" t="s">
        <v>533</v>
      </c>
      <c r="E441" s="72" t="s">
        <v>546</v>
      </c>
      <c r="F441" s="76">
        <v>3</v>
      </c>
      <c r="G441" s="72" t="s">
        <v>925</v>
      </c>
      <c r="H441" s="78">
        <v>45405</v>
      </c>
      <c r="I441" s="72" t="s">
        <v>1299</v>
      </c>
      <c r="J441" s="72">
        <v>9.5</v>
      </c>
      <c r="K441" s="72"/>
      <c r="L441" s="72" t="s">
        <v>1301</v>
      </c>
      <c r="M441" s="78">
        <v>45783</v>
      </c>
      <c r="N441" s="72" t="s">
        <v>1299</v>
      </c>
      <c r="O441" s="72">
        <v>9</v>
      </c>
      <c r="P441" s="72"/>
      <c r="Q441" s="79" t="s">
        <v>928</v>
      </c>
      <c r="R441" s="83">
        <v>45799</v>
      </c>
      <c r="S441" s="79" t="s">
        <v>1299</v>
      </c>
      <c r="T441" s="72">
        <v>5</v>
      </c>
      <c r="U441" s="72"/>
      <c r="V441" s="72"/>
      <c r="W441" s="72"/>
      <c r="X441" s="72"/>
      <c r="Y441" s="72"/>
      <c r="Z441" s="72"/>
      <c r="AA441" s="79"/>
      <c r="AB441" s="79"/>
      <c r="AC441" s="79"/>
      <c r="AD441" s="79"/>
      <c r="AE441" s="79"/>
    </row>
    <row r="442" spans="1:31" ht="16.5" x14ac:dyDescent="0.35">
      <c r="A442" s="71">
        <v>436</v>
      </c>
      <c r="B442" s="72">
        <v>2005220657</v>
      </c>
      <c r="C442" s="80" t="s">
        <v>870</v>
      </c>
      <c r="D442" s="81" t="s">
        <v>577</v>
      </c>
      <c r="E442" s="72" t="s">
        <v>546</v>
      </c>
      <c r="F442" s="76">
        <v>2</v>
      </c>
      <c r="G442" s="72" t="s">
        <v>924</v>
      </c>
      <c r="H442" s="78">
        <v>45637</v>
      </c>
      <c r="I442" s="72" t="s">
        <v>1299</v>
      </c>
      <c r="J442" s="72">
        <v>8.5</v>
      </c>
      <c r="K442" s="72"/>
      <c r="L442" s="72" t="s">
        <v>1300</v>
      </c>
      <c r="M442" s="78">
        <v>45644</v>
      </c>
      <c r="N442" s="72" t="s">
        <v>1299</v>
      </c>
      <c r="O442" s="72">
        <v>7.5</v>
      </c>
      <c r="P442" s="72"/>
      <c r="Q442" s="72"/>
      <c r="R442" s="78"/>
      <c r="S442" s="72"/>
      <c r="T442" s="72"/>
      <c r="U442" s="72"/>
      <c r="V442" s="72"/>
      <c r="W442" s="72"/>
      <c r="X442" s="72"/>
      <c r="Y442" s="72"/>
      <c r="Z442" s="72"/>
      <c r="AA442" s="79"/>
      <c r="AB442" s="79"/>
      <c r="AC442" s="79"/>
      <c r="AD442" s="79"/>
      <c r="AE442" s="79"/>
    </row>
    <row r="443" spans="1:31" ht="16.5" x14ac:dyDescent="0.35">
      <c r="A443" s="71">
        <v>437</v>
      </c>
      <c r="B443" s="72">
        <v>2005220653</v>
      </c>
      <c r="C443" s="80" t="s">
        <v>814</v>
      </c>
      <c r="D443" s="81" t="s">
        <v>577</v>
      </c>
      <c r="E443" s="72" t="s">
        <v>546</v>
      </c>
      <c r="F443" s="76">
        <v>3</v>
      </c>
      <c r="G443" s="72" t="s">
        <v>924</v>
      </c>
      <c r="H443" s="78">
        <v>45645</v>
      </c>
      <c r="I443" s="72" t="s">
        <v>1299</v>
      </c>
      <c r="J443" s="72">
        <v>7</v>
      </c>
      <c r="K443" s="72">
        <v>0.5</v>
      </c>
      <c r="L443" s="72" t="s">
        <v>1300</v>
      </c>
      <c r="M443" s="78">
        <v>45756</v>
      </c>
      <c r="N443" s="72" t="s">
        <v>1299</v>
      </c>
      <c r="O443" s="72">
        <v>8.5</v>
      </c>
      <c r="P443" s="72"/>
      <c r="Q443" s="79" t="s">
        <v>928</v>
      </c>
      <c r="R443" s="83">
        <v>45799</v>
      </c>
      <c r="S443" s="79" t="s">
        <v>1299</v>
      </c>
      <c r="T443" s="72">
        <v>7.5</v>
      </c>
      <c r="U443" s="72"/>
      <c r="V443" s="72"/>
      <c r="W443" s="72"/>
      <c r="X443" s="72"/>
      <c r="Y443" s="72"/>
      <c r="Z443" s="72"/>
      <c r="AA443" s="79"/>
      <c r="AB443" s="79"/>
      <c r="AC443" s="79"/>
      <c r="AD443" s="79"/>
      <c r="AE443" s="79"/>
    </row>
    <row r="444" spans="1:31" ht="16.5" x14ac:dyDescent="0.35">
      <c r="A444" s="71">
        <v>438</v>
      </c>
      <c r="B444" s="72">
        <v>2005220783</v>
      </c>
      <c r="C444" s="80" t="s">
        <v>1166</v>
      </c>
      <c r="D444" s="81" t="s">
        <v>84</v>
      </c>
      <c r="E444" s="72" t="s">
        <v>546</v>
      </c>
      <c r="F444" s="76">
        <v>3</v>
      </c>
      <c r="G444" s="72" t="s">
        <v>925</v>
      </c>
      <c r="H444" s="78">
        <v>45405</v>
      </c>
      <c r="I444" s="72" t="s">
        <v>1299</v>
      </c>
      <c r="J444" s="72">
        <v>9.5</v>
      </c>
      <c r="K444" s="72"/>
      <c r="L444" s="72" t="s">
        <v>1300</v>
      </c>
      <c r="M444" s="78">
        <v>45744</v>
      </c>
      <c r="N444" s="72" t="s">
        <v>1299</v>
      </c>
      <c r="O444" s="72">
        <v>8</v>
      </c>
      <c r="P444" s="72"/>
      <c r="Q444" s="79" t="s">
        <v>928</v>
      </c>
      <c r="R444" s="83">
        <v>45799</v>
      </c>
      <c r="S444" s="79" t="s">
        <v>1299</v>
      </c>
      <c r="T444" s="72">
        <v>10</v>
      </c>
      <c r="U444" s="72">
        <v>0.5</v>
      </c>
      <c r="V444" s="72"/>
      <c r="W444" s="72"/>
      <c r="X444" s="72"/>
      <c r="Y444" s="72"/>
      <c r="Z444" s="72"/>
      <c r="AA444" s="79"/>
      <c r="AB444" s="79"/>
      <c r="AC444" s="79"/>
      <c r="AD444" s="79"/>
      <c r="AE444" s="79"/>
    </row>
    <row r="445" spans="1:31" ht="16.5" x14ac:dyDescent="0.35">
      <c r="A445" s="71">
        <v>439</v>
      </c>
      <c r="B445" s="72">
        <v>2005220882</v>
      </c>
      <c r="C445" s="80" t="s">
        <v>433</v>
      </c>
      <c r="D445" s="81" t="s">
        <v>10</v>
      </c>
      <c r="E445" s="72" t="s">
        <v>546</v>
      </c>
      <c r="F445" s="76">
        <v>3</v>
      </c>
      <c r="G445" s="72" t="s">
        <v>1298</v>
      </c>
      <c r="H445" s="78">
        <v>45632</v>
      </c>
      <c r="I445" s="72" t="s">
        <v>1299</v>
      </c>
      <c r="J445" s="72">
        <v>9</v>
      </c>
      <c r="K445" s="72"/>
      <c r="L445" s="72" t="s">
        <v>1300</v>
      </c>
      <c r="M445" s="78">
        <v>45784</v>
      </c>
      <c r="N445" s="72" t="s">
        <v>1299</v>
      </c>
      <c r="O445" s="72">
        <v>10</v>
      </c>
      <c r="P445" s="72"/>
      <c r="Q445" s="79" t="s">
        <v>928</v>
      </c>
      <c r="R445" s="83">
        <v>45799</v>
      </c>
      <c r="S445" s="79" t="s">
        <v>1299</v>
      </c>
      <c r="T445" s="72">
        <v>10</v>
      </c>
      <c r="U445" s="72"/>
      <c r="V445" s="72"/>
      <c r="W445" s="72"/>
      <c r="X445" s="72"/>
      <c r="Y445" s="72"/>
      <c r="Z445" s="72"/>
      <c r="AA445" s="79"/>
      <c r="AB445" s="79"/>
      <c r="AC445" s="79"/>
      <c r="AD445" s="79"/>
      <c r="AE445" s="79"/>
    </row>
    <row r="446" spans="1:31" ht="16.5" x14ac:dyDescent="0.35">
      <c r="A446" s="71">
        <v>440</v>
      </c>
      <c r="B446" s="72">
        <v>2005220952</v>
      </c>
      <c r="C446" s="80" t="s">
        <v>867</v>
      </c>
      <c r="D446" s="81" t="s">
        <v>446</v>
      </c>
      <c r="E446" s="72" t="s">
        <v>546</v>
      </c>
      <c r="F446" s="76">
        <v>3</v>
      </c>
      <c r="G446" s="72" t="s">
        <v>1300</v>
      </c>
      <c r="H446" s="78">
        <v>45436</v>
      </c>
      <c r="I446" s="72" t="s">
        <v>1299</v>
      </c>
      <c r="J446" s="72">
        <v>7</v>
      </c>
      <c r="K446" s="72"/>
      <c r="L446" s="72" t="s">
        <v>924</v>
      </c>
      <c r="M446" s="78">
        <v>45786</v>
      </c>
      <c r="N446" s="72" t="s">
        <v>1299</v>
      </c>
      <c r="O446" s="72">
        <v>8.5</v>
      </c>
      <c r="P446" s="72"/>
      <c r="Q446" s="72" t="s">
        <v>928</v>
      </c>
      <c r="R446" s="78">
        <v>45800</v>
      </c>
      <c r="S446" s="72" t="s">
        <v>1299</v>
      </c>
      <c r="T446" s="72">
        <v>9.5</v>
      </c>
      <c r="U446" s="72"/>
      <c r="V446" s="72"/>
      <c r="W446" s="72"/>
      <c r="X446" s="72"/>
      <c r="Y446" s="72"/>
      <c r="Z446" s="72"/>
      <c r="AA446" s="79"/>
      <c r="AB446" s="79"/>
      <c r="AC446" s="79"/>
      <c r="AD446" s="79"/>
      <c r="AE446" s="79"/>
    </row>
    <row r="447" spans="1:31" ht="16.5" x14ac:dyDescent="0.35">
      <c r="A447" s="71">
        <v>441</v>
      </c>
      <c r="B447" s="72">
        <v>2005220997</v>
      </c>
      <c r="C447" s="80" t="s">
        <v>868</v>
      </c>
      <c r="D447" s="81" t="s">
        <v>869</v>
      </c>
      <c r="E447" s="72" t="s">
        <v>546</v>
      </c>
      <c r="F447" s="76">
        <v>2</v>
      </c>
      <c r="G447" s="72" t="s">
        <v>1300</v>
      </c>
      <c r="H447" s="78">
        <v>45737</v>
      </c>
      <c r="I447" s="72" t="s">
        <v>1299</v>
      </c>
      <c r="J447" s="72">
        <v>7</v>
      </c>
      <c r="K447" s="72" t="s">
        <v>1290</v>
      </c>
      <c r="L447" s="72" t="s">
        <v>924</v>
      </c>
      <c r="M447" s="78">
        <v>45798</v>
      </c>
      <c r="N447" s="72" t="s">
        <v>1299</v>
      </c>
      <c r="O447" s="72">
        <v>6.5</v>
      </c>
      <c r="P447" s="72" t="s">
        <v>1290</v>
      </c>
      <c r="Q447" s="72"/>
      <c r="R447" s="78"/>
      <c r="S447" s="72"/>
      <c r="T447" s="72"/>
      <c r="U447" s="72"/>
      <c r="V447" s="72"/>
      <c r="W447" s="72"/>
      <c r="X447" s="72"/>
      <c r="Y447" s="72"/>
      <c r="Z447" s="72"/>
      <c r="AA447" s="79"/>
      <c r="AB447" s="79"/>
      <c r="AC447" s="79"/>
      <c r="AD447" s="79"/>
      <c r="AE447" s="79"/>
    </row>
    <row r="448" spans="1:31" ht="16.5" x14ac:dyDescent="0.35">
      <c r="A448" s="71">
        <v>442</v>
      </c>
      <c r="B448" s="72">
        <v>2005221094</v>
      </c>
      <c r="C448" s="80" t="s">
        <v>219</v>
      </c>
      <c r="D448" s="81" t="s">
        <v>11</v>
      </c>
      <c r="E448" s="72" t="s">
        <v>546</v>
      </c>
      <c r="F448" s="76">
        <v>2</v>
      </c>
      <c r="G448" s="72" t="s">
        <v>924</v>
      </c>
      <c r="H448" s="78">
        <v>45629</v>
      </c>
      <c r="I448" s="72" t="s">
        <v>1299</v>
      </c>
      <c r="J448" s="72">
        <v>6</v>
      </c>
      <c r="K448" s="72"/>
      <c r="L448" s="72" t="s">
        <v>1300</v>
      </c>
      <c r="M448" s="78">
        <v>45791</v>
      </c>
      <c r="N448" s="72" t="s">
        <v>1299</v>
      </c>
      <c r="O448" s="72">
        <v>9</v>
      </c>
      <c r="P448" s="72"/>
      <c r="Q448" s="72"/>
      <c r="R448" s="78"/>
      <c r="S448" s="72"/>
      <c r="T448" s="72"/>
      <c r="U448" s="72"/>
      <c r="V448" s="72"/>
      <c r="W448" s="72"/>
      <c r="X448" s="72"/>
      <c r="Y448" s="72"/>
      <c r="Z448" s="72"/>
      <c r="AA448" s="79"/>
      <c r="AB448" s="79"/>
      <c r="AC448" s="79"/>
      <c r="AD448" s="79"/>
      <c r="AE448" s="79"/>
    </row>
    <row r="449" spans="1:31" ht="16.5" x14ac:dyDescent="0.35">
      <c r="A449" s="71">
        <v>443</v>
      </c>
      <c r="B449" s="72">
        <v>2005221245</v>
      </c>
      <c r="C449" s="80" t="s">
        <v>872</v>
      </c>
      <c r="D449" s="81" t="s">
        <v>172</v>
      </c>
      <c r="E449" s="72" t="s">
        <v>546</v>
      </c>
      <c r="F449" s="76">
        <v>0</v>
      </c>
      <c r="G449" s="72"/>
      <c r="H449" s="78"/>
      <c r="I449" s="72"/>
      <c r="J449" s="72"/>
      <c r="K449" s="72"/>
      <c r="L449" s="72"/>
      <c r="M449" s="72"/>
      <c r="N449" s="72"/>
      <c r="O449" s="72"/>
      <c r="P449" s="72"/>
      <c r="Q449" s="72"/>
      <c r="R449" s="78"/>
      <c r="S449" s="72"/>
      <c r="T449" s="72"/>
      <c r="U449" s="72"/>
      <c r="V449" s="72"/>
      <c r="W449" s="72"/>
      <c r="X449" s="72"/>
      <c r="Y449" s="72"/>
      <c r="Z449" s="72"/>
      <c r="AA449" s="79"/>
      <c r="AB449" s="79"/>
      <c r="AC449" s="79"/>
      <c r="AD449" s="79"/>
      <c r="AE449" s="79"/>
    </row>
    <row r="450" spans="1:31" ht="16.5" x14ac:dyDescent="0.35">
      <c r="A450" s="71">
        <v>444</v>
      </c>
      <c r="B450" s="72">
        <v>2005221404</v>
      </c>
      <c r="C450" s="80" t="s">
        <v>417</v>
      </c>
      <c r="D450" s="81" t="s">
        <v>88</v>
      </c>
      <c r="E450" s="72" t="s">
        <v>546</v>
      </c>
      <c r="F450" s="76">
        <v>1</v>
      </c>
      <c r="G450" s="72" t="s">
        <v>925</v>
      </c>
      <c r="H450" s="78">
        <v>45440</v>
      </c>
      <c r="I450" s="72" t="s">
        <v>1299</v>
      </c>
      <c r="J450" s="72">
        <v>8</v>
      </c>
      <c r="K450" s="72">
        <v>0.5</v>
      </c>
      <c r="L450" s="72"/>
      <c r="M450" s="78"/>
      <c r="N450" s="72"/>
      <c r="O450" s="72"/>
      <c r="P450" s="72"/>
      <c r="Q450" s="72"/>
      <c r="R450" s="78"/>
      <c r="S450" s="72"/>
      <c r="T450" s="72"/>
      <c r="U450" s="72"/>
      <c r="V450" s="72"/>
      <c r="W450" s="72"/>
      <c r="X450" s="72"/>
      <c r="Y450" s="72"/>
      <c r="Z450" s="72"/>
      <c r="AA450" s="79"/>
      <c r="AB450" s="79"/>
      <c r="AC450" s="79"/>
      <c r="AD450" s="79"/>
      <c r="AE450" s="79"/>
    </row>
    <row r="451" spans="1:31" ht="16.5" x14ac:dyDescent="0.35">
      <c r="A451" s="71">
        <v>445</v>
      </c>
      <c r="B451" s="72">
        <v>2005221468</v>
      </c>
      <c r="C451" s="80" t="s">
        <v>755</v>
      </c>
      <c r="D451" s="81" t="s">
        <v>192</v>
      </c>
      <c r="E451" s="72" t="s">
        <v>546</v>
      </c>
      <c r="F451" s="76">
        <v>2</v>
      </c>
      <c r="G451" s="72" t="s">
        <v>925</v>
      </c>
      <c r="H451" s="78">
        <v>45589</v>
      </c>
      <c r="I451" s="72" t="s">
        <v>1299</v>
      </c>
      <c r="J451" s="72">
        <v>8</v>
      </c>
      <c r="K451" s="72"/>
      <c r="L451" s="72" t="s">
        <v>1300</v>
      </c>
      <c r="M451" s="78">
        <v>45784</v>
      </c>
      <c r="N451" s="72" t="s">
        <v>1299</v>
      </c>
      <c r="O451" s="72">
        <v>8</v>
      </c>
      <c r="P451" s="72"/>
      <c r="Q451" s="72"/>
      <c r="R451" s="78"/>
      <c r="S451" s="72"/>
      <c r="T451" s="72"/>
      <c r="U451" s="72"/>
      <c r="V451" s="72"/>
      <c r="W451" s="72"/>
      <c r="X451" s="72"/>
      <c r="Y451" s="72"/>
      <c r="Z451" s="72"/>
      <c r="AA451" s="79"/>
      <c r="AB451" s="79"/>
      <c r="AC451" s="79"/>
      <c r="AD451" s="79"/>
      <c r="AE451" s="79"/>
    </row>
    <row r="452" spans="1:31" ht="16.5" x14ac:dyDescent="0.35">
      <c r="A452" s="71">
        <v>446</v>
      </c>
      <c r="B452" s="72">
        <v>2005221481</v>
      </c>
      <c r="C452" s="80" t="s">
        <v>873</v>
      </c>
      <c r="D452" s="81" t="s">
        <v>81</v>
      </c>
      <c r="E452" s="72" t="s">
        <v>546</v>
      </c>
      <c r="F452" s="76">
        <v>3</v>
      </c>
      <c r="G452" s="72" t="s">
        <v>924</v>
      </c>
      <c r="H452" s="78">
        <v>45623</v>
      </c>
      <c r="I452" s="72" t="s">
        <v>1299</v>
      </c>
      <c r="J452" s="72">
        <v>8</v>
      </c>
      <c r="K452" s="72">
        <v>0.5</v>
      </c>
      <c r="L452" s="72" t="s">
        <v>1300</v>
      </c>
      <c r="M452" s="78">
        <v>45756</v>
      </c>
      <c r="N452" s="72" t="s">
        <v>1299</v>
      </c>
      <c r="O452" s="72">
        <v>9</v>
      </c>
      <c r="P452" s="72"/>
      <c r="Q452" s="79" t="s">
        <v>928</v>
      </c>
      <c r="R452" s="83">
        <v>45799</v>
      </c>
      <c r="S452" s="79" t="s">
        <v>1299</v>
      </c>
      <c r="T452" s="72">
        <v>10</v>
      </c>
      <c r="U452" s="72"/>
      <c r="V452" s="72"/>
      <c r="W452" s="72"/>
      <c r="X452" s="72"/>
      <c r="Y452" s="72"/>
      <c r="Z452" s="72"/>
      <c r="AA452" s="79"/>
      <c r="AB452" s="79"/>
      <c r="AC452" s="79"/>
      <c r="AD452" s="79"/>
      <c r="AE452" s="79"/>
    </row>
    <row r="453" spans="1:31" ht="16.5" x14ac:dyDescent="0.35">
      <c r="A453" s="71">
        <v>447</v>
      </c>
      <c r="B453" s="72">
        <v>2005221488</v>
      </c>
      <c r="C453" s="80" t="s">
        <v>264</v>
      </c>
      <c r="D453" s="81" t="s">
        <v>81</v>
      </c>
      <c r="E453" s="72" t="s">
        <v>546</v>
      </c>
      <c r="F453" s="76">
        <v>2</v>
      </c>
      <c r="G453" s="72" t="s">
        <v>925</v>
      </c>
      <c r="H453" s="78">
        <v>45589</v>
      </c>
      <c r="I453" s="72" t="s">
        <v>1299</v>
      </c>
      <c r="J453" s="72">
        <v>8.5</v>
      </c>
      <c r="K453" s="72"/>
      <c r="L453" s="72" t="s">
        <v>924</v>
      </c>
      <c r="M453" s="78">
        <v>45623</v>
      </c>
      <c r="N453" s="72" t="s">
        <v>1299</v>
      </c>
      <c r="O453" s="72">
        <v>8</v>
      </c>
      <c r="P453" s="72"/>
      <c r="Q453" s="72"/>
      <c r="R453" s="78"/>
      <c r="S453" s="72"/>
      <c r="T453" s="72"/>
      <c r="U453" s="72"/>
      <c r="V453" s="72"/>
      <c r="W453" s="72"/>
      <c r="X453" s="72"/>
      <c r="Y453" s="72"/>
      <c r="Z453" s="72"/>
      <c r="AA453" s="79"/>
      <c r="AB453" s="79"/>
      <c r="AC453" s="79"/>
      <c r="AD453" s="79"/>
      <c r="AE453" s="79"/>
    </row>
    <row r="454" spans="1:31" ht="16.5" x14ac:dyDescent="0.35">
      <c r="A454" s="71">
        <v>448</v>
      </c>
      <c r="B454" s="72">
        <v>2005221656</v>
      </c>
      <c r="C454" s="80" t="s">
        <v>267</v>
      </c>
      <c r="D454" s="81" t="s">
        <v>120</v>
      </c>
      <c r="E454" s="72" t="s">
        <v>546</v>
      </c>
      <c r="F454" s="76">
        <v>2</v>
      </c>
      <c r="G454" s="72" t="s">
        <v>1298</v>
      </c>
      <c r="H454" s="78">
        <v>45632</v>
      </c>
      <c r="I454" s="72" t="s">
        <v>1299</v>
      </c>
      <c r="J454" s="72">
        <v>8</v>
      </c>
      <c r="K454" s="72"/>
      <c r="L454" s="72" t="s">
        <v>924</v>
      </c>
      <c r="M454" s="78">
        <v>45637</v>
      </c>
      <c r="N454" s="72" t="s">
        <v>1299</v>
      </c>
      <c r="O454" s="72">
        <v>7.5</v>
      </c>
      <c r="P454" s="72"/>
      <c r="Q454" s="72"/>
      <c r="R454" s="78"/>
      <c r="S454" s="72"/>
      <c r="T454" s="72"/>
      <c r="U454" s="72"/>
      <c r="V454" s="72"/>
      <c r="W454" s="72"/>
      <c r="X454" s="72"/>
      <c r="Y454" s="72"/>
      <c r="Z454" s="72"/>
      <c r="AA454" s="79"/>
      <c r="AB454" s="79"/>
      <c r="AC454" s="79"/>
      <c r="AD454" s="79"/>
      <c r="AE454" s="79"/>
    </row>
    <row r="455" spans="1:31" ht="16.5" x14ac:dyDescent="0.35">
      <c r="A455" s="71">
        <v>449</v>
      </c>
      <c r="B455" s="72">
        <v>2005222109</v>
      </c>
      <c r="C455" s="80" t="s">
        <v>875</v>
      </c>
      <c r="D455" s="81" t="s">
        <v>747</v>
      </c>
      <c r="E455" s="72" t="s">
        <v>546</v>
      </c>
      <c r="F455" s="76">
        <v>2</v>
      </c>
      <c r="G455" s="72" t="s">
        <v>1300</v>
      </c>
      <c r="H455" s="78">
        <v>45631</v>
      </c>
      <c r="I455" s="72" t="s">
        <v>1299</v>
      </c>
      <c r="J455" s="72">
        <v>7.5</v>
      </c>
      <c r="K455" s="72"/>
      <c r="L455" s="72" t="s">
        <v>924</v>
      </c>
      <c r="M455" s="78">
        <v>45776</v>
      </c>
      <c r="N455" s="72" t="s">
        <v>1299</v>
      </c>
      <c r="O455" s="72">
        <v>7</v>
      </c>
      <c r="P455" s="72"/>
      <c r="Q455" s="72"/>
      <c r="R455" s="78"/>
      <c r="S455" s="72"/>
      <c r="T455" s="72"/>
      <c r="U455" s="72"/>
      <c r="V455" s="72"/>
      <c r="W455" s="72"/>
      <c r="X455" s="72"/>
      <c r="Y455" s="72"/>
      <c r="Z455" s="72"/>
      <c r="AA455" s="79"/>
      <c r="AB455" s="79"/>
      <c r="AC455" s="79"/>
      <c r="AD455" s="79"/>
      <c r="AE455" s="79"/>
    </row>
    <row r="456" spans="1:31" ht="16.5" x14ac:dyDescent="0.35">
      <c r="A456" s="71">
        <v>450</v>
      </c>
      <c r="B456" s="72">
        <v>2005222148</v>
      </c>
      <c r="C456" s="80" t="s">
        <v>889</v>
      </c>
      <c r="D456" s="81" t="s">
        <v>232</v>
      </c>
      <c r="E456" s="72" t="s">
        <v>546</v>
      </c>
      <c r="F456" s="76">
        <v>3</v>
      </c>
      <c r="G456" s="72" t="s">
        <v>1300</v>
      </c>
      <c r="H456" s="78">
        <v>45749</v>
      </c>
      <c r="I456" s="86" t="s">
        <v>1299</v>
      </c>
      <c r="J456" s="72">
        <v>8.5</v>
      </c>
      <c r="K456" s="72"/>
      <c r="L456" s="72" t="s">
        <v>1301</v>
      </c>
      <c r="M456" s="78">
        <v>45757</v>
      </c>
      <c r="N456" s="72" t="s">
        <v>1299</v>
      </c>
      <c r="O456" s="72">
        <v>9.5</v>
      </c>
      <c r="P456" s="72"/>
      <c r="Q456" s="72" t="s">
        <v>924</v>
      </c>
      <c r="R456" s="78">
        <v>45786</v>
      </c>
      <c r="S456" s="72" t="s">
        <v>1299</v>
      </c>
      <c r="T456" s="72">
        <v>8.5</v>
      </c>
      <c r="U456" s="72"/>
      <c r="V456" s="72"/>
      <c r="W456" s="72"/>
      <c r="X456" s="72"/>
      <c r="Y456" s="72"/>
      <c r="Z456" s="72"/>
      <c r="AA456" s="79"/>
      <c r="AB456" s="79"/>
      <c r="AC456" s="79"/>
      <c r="AD456" s="79"/>
      <c r="AE456" s="79"/>
    </row>
    <row r="457" spans="1:31" ht="16.5" x14ac:dyDescent="0.35">
      <c r="A457" s="71">
        <v>451</v>
      </c>
      <c r="B457" s="72">
        <v>2005222192</v>
      </c>
      <c r="C457" s="80" t="s">
        <v>519</v>
      </c>
      <c r="D457" s="81" t="s">
        <v>400</v>
      </c>
      <c r="E457" s="72" t="s">
        <v>546</v>
      </c>
      <c r="F457" s="76">
        <v>4</v>
      </c>
      <c r="G457" s="72" t="s">
        <v>924</v>
      </c>
      <c r="H457" s="78">
        <v>45645</v>
      </c>
      <c r="I457" s="72" t="s">
        <v>1299</v>
      </c>
      <c r="J457" s="72">
        <v>7.5</v>
      </c>
      <c r="K457" s="72">
        <v>0.5</v>
      </c>
      <c r="L457" s="72" t="s">
        <v>1301</v>
      </c>
      <c r="M457" s="78">
        <v>45757</v>
      </c>
      <c r="N457" s="72" t="s">
        <v>1299</v>
      </c>
      <c r="O457" s="72">
        <v>9.5</v>
      </c>
      <c r="P457" s="72"/>
      <c r="Q457" s="72" t="s">
        <v>1300</v>
      </c>
      <c r="R457" s="78">
        <v>45744</v>
      </c>
      <c r="S457" s="72" t="s">
        <v>1299</v>
      </c>
      <c r="T457" s="72">
        <v>7</v>
      </c>
      <c r="U457" s="72"/>
      <c r="V457" s="72" t="s">
        <v>2042</v>
      </c>
      <c r="W457" s="78">
        <v>45672</v>
      </c>
      <c r="X457" s="72" t="s">
        <v>1299</v>
      </c>
      <c r="Y457" s="72">
        <v>7.5</v>
      </c>
      <c r="Z457" s="72"/>
      <c r="AA457" s="79"/>
      <c r="AB457" s="79"/>
      <c r="AC457" s="79"/>
      <c r="AD457" s="79"/>
      <c r="AE457" s="79"/>
    </row>
    <row r="458" spans="1:31" ht="16.5" x14ac:dyDescent="0.35">
      <c r="A458" s="71">
        <v>452</v>
      </c>
      <c r="B458" s="72">
        <v>2005222345</v>
      </c>
      <c r="C458" s="80" t="s">
        <v>890</v>
      </c>
      <c r="D458" s="81" t="s">
        <v>29</v>
      </c>
      <c r="E458" s="72" t="s">
        <v>546</v>
      </c>
      <c r="F458" s="76">
        <v>4</v>
      </c>
      <c r="G458" s="72" t="s">
        <v>1300</v>
      </c>
      <c r="H458" s="78">
        <v>45455</v>
      </c>
      <c r="I458" s="72" t="s">
        <v>1299</v>
      </c>
      <c r="J458" s="72">
        <v>6.5</v>
      </c>
      <c r="K458" s="72"/>
      <c r="L458" s="72" t="s">
        <v>1300</v>
      </c>
      <c r="M458" s="78">
        <v>45791</v>
      </c>
      <c r="N458" s="72" t="s">
        <v>1299</v>
      </c>
      <c r="O458" s="72">
        <v>9</v>
      </c>
      <c r="P458" s="72"/>
      <c r="Q458" s="79" t="s">
        <v>928</v>
      </c>
      <c r="R458" s="83">
        <v>45799</v>
      </c>
      <c r="S458" s="79" t="s">
        <v>1299</v>
      </c>
      <c r="T458" s="72">
        <v>8</v>
      </c>
      <c r="U458" s="72"/>
      <c r="V458" s="72" t="s">
        <v>924</v>
      </c>
      <c r="W458" s="78">
        <v>45803</v>
      </c>
      <c r="X458" s="72" t="s">
        <v>1299</v>
      </c>
      <c r="Y458" s="72">
        <v>7.5</v>
      </c>
      <c r="Z458" s="72"/>
      <c r="AA458" s="79"/>
      <c r="AB458" s="79"/>
      <c r="AC458" s="79"/>
      <c r="AD458" s="79"/>
      <c r="AE458" s="79"/>
    </row>
    <row r="459" spans="1:31" ht="16.5" x14ac:dyDescent="0.35">
      <c r="A459" s="71">
        <v>453</v>
      </c>
      <c r="B459" s="72">
        <v>2005222330</v>
      </c>
      <c r="C459" s="80" t="s">
        <v>877</v>
      </c>
      <c r="D459" s="81" t="s">
        <v>29</v>
      </c>
      <c r="E459" s="72" t="s">
        <v>546</v>
      </c>
      <c r="F459" s="76">
        <v>4</v>
      </c>
      <c r="G459" s="72" t="s">
        <v>925</v>
      </c>
      <c r="H459" s="78">
        <v>45440</v>
      </c>
      <c r="I459" s="72" t="s">
        <v>1299</v>
      </c>
      <c r="J459" s="72">
        <v>8</v>
      </c>
      <c r="K459" s="72">
        <v>0.5</v>
      </c>
      <c r="L459" s="72" t="s">
        <v>924</v>
      </c>
      <c r="M459" s="78">
        <v>45645</v>
      </c>
      <c r="N459" s="72" t="s">
        <v>1299</v>
      </c>
      <c r="O459" s="72">
        <v>7</v>
      </c>
      <c r="P459" s="72">
        <v>1</v>
      </c>
      <c r="Q459" s="72" t="s">
        <v>1300</v>
      </c>
      <c r="R459" s="78">
        <v>45791</v>
      </c>
      <c r="S459" s="72" t="s">
        <v>1299</v>
      </c>
      <c r="T459" s="72">
        <v>9</v>
      </c>
      <c r="U459" s="72"/>
      <c r="V459" s="79" t="s">
        <v>928</v>
      </c>
      <c r="W459" s="83">
        <v>45799</v>
      </c>
      <c r="X459" s="79" t="s">
        <v>1299</v>
      </c>
      <c r="Y459" s="72">
        <v>9.5</v>
      </c>
      <c r="Z459" s="72"/>
      <c r="AA459" s="79"/>
      <c r="AB459" s="79"/>
      <c r="AC459" s="79"/>
      <c r="AD459" s="79"/>
      <c r="AE459" s="79"/>
    </row>
    <row r="460" spans="1:31" ht="16.5" x14ac:dyDescent="0.35">
      <c r="A460" s="71">
        <v>454</v>
      </c>
      <c r="B460" s="72">
        <v>2005222280</v>
      </c>
      <c r="C460" s="80" t="s">
        <v>876</v>
      </c>
      <c r="D460" s="81" t="s">
        <v>29</v>
      </c>
      <c r="E460" s="72" t="s">
        <v>546</v>
      </c>
      <c r="F460" s="76">
        <v>3</v>
      </c>
      <c r="G460" s="72" t="s">
        <v>924</v>
      </c>
      <c r="H460" s="78">
        <v>45645</v>
      </c>
      <c r="I460" s="72" t="s">
        <v>1299</v>
      </c>
      <c r="J460" s="72">
        <v>9</v>
      </c>
      <c r="K460" s="72"/>
      <c r="L460" s="72" t="s">
        <v>1300</v>
      </c>
      <c r="M460" s="78">
        <v>45756</v>
      </c>
      <c r="N460" s="72" t="s">
        <v>1299</v>
      </c>
      <c r="O460" s="72">
        <v>9</v>
      </c>
      <c r="P460" s="72"/>
      <c r="Q460" s="79" t="s">
        <v>928</v>
      </c>
      <c r="R460" s="83">
        <v>45799</v>
      </c>
      <c r="S460" s="79" t="s">
        <v>1299</v>
      </c>
      <c r="T460" s="72">
        <v>10</v>
      </c>
      <c r="U460" s="72"/>
      <c r="V460" s="72"/>
      <c r="W460" s="72"/>
      <c r="X460" s="72"/>
      <c r="Y460" s="72"/>
      <c r="Z460" s="72"/>
      <c r="AA460" s="79"/>
      <c r="AB460" s="79"/>
      <c r="AC460" s="79"/>
      <c r="AD460" s="79"/>
      <c r="AE460" s="79"/>
    </row>
    <row r="461" spans="1:31" ht="16.5" x14ac:dyDescent="0.35">
      <c r="A461" s="71">
        <v>455</v>
      </c>
      <c r="B461" s="72">
        <v>2005222337</v>
      </c>
      <c r="C461" s="80" t="s">
        <v>878</v>
      </c>
      <c r="D461" s="81" t="s">
        <v>29</v>
      </c>
      <c r="E461" s="72" t="s">
        <v>546</v>
      </c>
      <c r="F461" s="76">
        <v>2</v>
      </c>
      <c r="G461" s="72" t="s">
        <v>1300</v>
      </c>
      <c r="H461" s="78">
        <v>45644</v>
      </c>
      <c r="I461" s="72" t="s">
        <v>1299</v>
      </c>
      <c r="J461" s="72">
        <v>6.5</v>
      </c>
      <c r="K461" s="72"/>
      <c r="L461" s="72" t="s">
        <v>924</v>
      </c>
      <c r="M461" s="78">
        <v>45776</v>
      </c>
      <c r="N461" s="72" t="s">
        <v>1299</v>
      </c>
      <c r="O461" s="72">
        <v>6.5</v>
      </c>
      <c r="P461" s="72"/>
      <c r="Q461" s="72"/>
      <c r="R461" s="78"/>
      <c r="S461" s="72"/>
      <c r="T461" s="72"/>
      <c r="U461" s="72"/>
      <c r="V461" s="72"/>
      <c r="W461" s="72"/>
      <c r="X461" s="72"/>
      <c r="Y461" s="72"/>
      <c r="Z461" s="72"/>
      <c r="AA461" s="79"/>
      <c r="AB461" s="79"/>
      <c r="AC461" s="79"/>
      <c r="AD461" s="79"/>
      <c r="AE461" s="79"/>
    </row>
    <row r="462" spans="1:31" ht="16.5" x14ac:dyDescent="0.35">
      <c r="A462" s="71">
        <v>456</v>
      </c>
      <c r="B462" s="72">
        <v>2005222324</v>
      </c>
      <c r="C462" s="80" t="s">
        <v>897</v>
      </c>
      <c r="D462" s="81" t="s">
        <v>29</v>
      </c>
      <c r="E462" s="72" t="s">
        <v>546</v>
      </c>
      <c r="F462" s="76">
        <v>4</v>
      </c>
      <c r="G462" s="72" t="s">
        <v>1300</v>
      </c>
      <c r="H462" s="78">
        <v>45721</v>
      </c>
      <c r="I462" s="72" t="s">
        <v>1299</v>
      </c>
      <c r="J462" s="72">
        <v>8</v>
      </c>
      <c r="K462" s="72"/>
      <c r="L462" s="72" t="s">
        <v>1301</v>
      </c>
      <c r="M462" s="78">
        <v>45757</v>
      </c>
      <c r="N462" s="72" t="s">
        <v>1299</v>
      </c>
      <c r="O462" s="72">
        <v>9.5</v>
      </c>
      <c r="P462" s="72"/>
      <c r="Q462" s="72" t="s">
        <v>924</v>
      </c>
      <c r="R462" s="78">
        <v>45787</v>
      </c>
      <c r="S462" s="72" t="s">
        <v>1299</v>
      </c>
      <c r="T462" s="72">
        <v>9.5</v>
      </c>
      <c r="U462" s="72"/>
      <c r="V462" s="79" t="s">
        <v>928</v>
      </c>
      <c r="W462" s="83">
        <v>45799</v>
      </c>
      <c r="X462" s="79" t="s">
        <v>1299</v>
      </c>
      <c r="Y462" s="72">
        <v>8.5</v>
      </c>
      <c r="Z462" s="72">
        <v>0.5</v>
      </c>
      <c r="AA462" s="79"/>
      <c r="AB462" s="79"/>
      <c r="AC462" s="79"/>
      <c r="AD462" s="79"/>
      <c r="AE462" s="79"/>
    </row>
    <row r="463" spans="1:31" ht="16.5" x14ac:dyDescent="0.35">
      <c r="A463" s="71">
        <v>457</v>
      </c>
      <c r="B463" s="72">
        <v>2005222295</v>
      </c>
      <c r="C463" s="80" t="s">
        <v>614</v>
      </c>
      <c r="D463" s="81" t="s">
        <v>29</v>
      </c>
      <c r="E463" s="72" t="s">
        <v>546</v>
      </c>
      <c r="F463" s="76">
        <v>3</v>
      </c>
      <c r="G463" s="72" t="s">
        <v>924</v>
      </c>
      <c r="H463" s="78">
        <v>45629</v>
      </c>
      <c r="I463" s="72" t="s">
        <v>1299</v>
      </c>
      <c r="J463" s="72">
        <v>6</v>
      </c>
      <c r="K463" s="72"/>
      <c r="L463" s="72" t="s">
        <v>1301</v>
      </c>
      <c r="M463" s="78">
        <v>45757</v>
      </c>
      <c r="N463" s="72" t="s">
        <v>1299</v>
      </c>
      <c r="O463" s="72">
        <v>9.5</v>
      </c>
      <c r="P463" s="72"/>
      <c r="Q463" s="72" t="s">
        <v>1300</v>
      </c>
      <c r="R463" s="78">
        <v>45791</v>
      </c>
      <c r="S463" s="72" t="s">
        <v>1299</v>
      </c>
      <c r="T463" s="72">
        <v>9</v>
      </c>
      <c r="U463" s="72"/>
      <c r="V463" s="72"/>
      <c r="W463" s="72"/>
      <c r="X463" s="72"/>
      <c r="Y463" s="72"/>
      <c r="Z463" s="72"/>
      <c r="AA463" s="79"/>
      <c r="AB463" s="79"/>
      <c r="AC463" s="79"/>
      <c r="AD463" s="79"/>
      <c r="AE463" s="79"/>
    </row>
    <row r="464" spans="1:31" ht="16.5" x14ac:dyDescent="0.35">
      <c r="A464" s="71">
        <v>458</v>
      </c>
      <c r="B464" s="72">
        <v>2005222422</v>
      </c>
      <c r="C464" s="80" t="s">
        <v>891</v>
      </c>
      <c r="D464" s="81" t="s">
        <v>483</v>
      </c>
      <c r="E464" s="72" t="s">
        <v>546</v>
      </c>
      <c r="F464" s="76">
        <v>3</v>
      </c>
      <c r="G464" s="72" t="s">
        <v>1300</v>
      </c>
      <c r="H464" s="78">
        <v>45737</v>
      </c>
      <c r="I464" s="72" t="s">
        <v>1299</v>
      </c>
      <c r="J464" s="72">
        <v>7</v>
      </c>
      <c r="K464" s="72"/>
      <c r="L464" s="72" t="s">
        <v>1301</v>
      </c>
      <c r="M464" s="78">
        <v>45785</v>
      </c>
      <c r="N464" s="72" t="s">
        <v>1299</v>
      </c>
      <c r="O464" s="72">
        <v>9</v>
      </c>
      <c r="P464" s="72"/>
      <c r="Q464" s="72" t="s">
        <v>928</v>
      </c>
      <c r="R464" s="78">
        <v>45800</v>
      </c>
      <c r="S464" s="72" t="s">
        <v>1299</v>
      </c>
      <c r="T464" s="72">
        <v>10</v>
      </c>
      <c r="U464" s="72"/>
      <c r="V464" s="72"/>
      <c r="W464" s="72"/>
      <c r="X464" s="72"/>
      <c r="Y464" s="72"/>
      <c r="Z464" s="72"/>
      <c r="AA464" s="79"/>
      <c r="AB464" s="79"/>
      <c r="AC464" s="79"/>
      <c r="AD464" s="79"/>
      <c r="AE464" s="79"/>
    </row>
    <row r="465" spans="1:31" ht="16.5" x14ac:dyDescent="0.35">
      <c r="A465" s="71">
        <v>459</v>
      </c>
      <c r="B465" s="72">
        <v>2005222686</v>
      </c>
      <c r="C465" s="80" t="s">
        <v>880</v>
      </c>
      <c r="D465" s="81" t="s">
        <v>91</v>
      </c>
      <c r="E465" s="72" t="s">
        <v>546</v>
      </c>
      <c r="F465" s="76">
        <v>2</v>
      </c>
      <c r="G465" s="72" t="s">
        <v>924</v>
      </c>
      <c r="H465" s="78">
        <v>45602</v>
      </c>
      <c r="I465" s="72" t="s">
        <v>1299</v>
      </c>
      <c r="J465" s="72">
        <v>8</v>
      </c>
      <c r="K465" s="72"/>
      <c r="L465" s="72" t="s">
        <v>1301</v>
      </c>
      <c r="M465" s="78">
        <v>45630</v>
      </c>
      <c r="N465" s="72" t="s">
        <v>1299</v>
      </c>
      <c r="O465" s="72">
        <v>9</v>
      </c>
      <c r="P465" s="72"/>
      <c r="Q465" s="72"/>
      <c r="R465" s="78"/>
      <c r="S465" s="72"/>
      <c r="T465" s="72"/>
      <c r="U465" s="72"/>
      <c r="V465" s="72"/>
      <c r="W465" s="72"/>
      <c r="X465" s="72"/>
      <c r="Y465" s="72"/>
      <c r="Z465" s="72"/>
      <c r="AA465" s="79"/>
      <c r="AB465" s="79"/>
      <c r="AC465" s="79"/>
      <c r="AD465" s="79"/>
      <c r="AE465" s="79"/>
    </row>
    <row r="466" spans="1:31" ht="16.5" x14ac:dyDescent="0.35">
      <c r="A466" s="71">
        <v>460</v>
      </c>
      <c r="B466" s="72">
        <v>2005222871</v>
      </c>
      <c r="C466" s="80" t="s">
        <v>93</v>
      </c>
      <c r="D466" s="81" t="s">
        <v>92</v>
      </c>
      <c r="E466" s="72" t="s">
        <v>546</v>
      </c>
      <c r="F466" s="76">
        <v>3</v>
      </c>
      <c r="G466" s="72" t="s">
        <v>1301</v>
      </c>
      <c r="H466" s="78">
        <v>45757</v>
      </c>
      <c r="I466" s="72" t="s">
        <v>1299</v>
      </c>
      <c r="J466" s="72">
        <v>8.5</v>
      </c>
      <c r="K466" s="72"/>
      <c r="L466" s="72" t="s">
        <v>925</v>
      </c>
      <c r="M466" s="78">
        <v>45797</v>
      </c>
      <c r="N466" s="72" t="s">
        <v>1299</v>
      </c>
      <c r="O466" s="72">
        <v>8.5</v>
      </c>
      <c r="P466" s="72"/>
      <c r="Q466" s="72" t="s">
        <v>924</v>
      </c>
      <c r="R466" s="78">
        <v>45803</v>
      </c>
      <c r="S466" s="72" t="s">
        <v>1299</v>
      </c>
      <c r="T466" s="72">
        <v>8.5</v>
      </c>
      <c r="U466" s="72"/>
      <c r="V466" s="72"/>
      <c r="W466" s="72"/>
      <c r="X466" s="72"/>
      <c r="Y466" s="72"/>
      <c r="Z466" s="72"/>
      <c r="AA466" s="79"/>
      <c r="AB466" s="79"/>
      <c r="AC466" s="79"/>
      <c r="AD466" s="79"/>
      <c r="AE466" s="79"/>
    </row>
    <row r="467" spans="1:31" ht="16.5" x14ac:dyDescent="0.35">
      <c r="A467" s="71">
        <v>461</v>
      </c>
      <c r="B467" s="72">
        <v>2005222878</v>
      </c>
      <c r="C467" s="80" t="s">
        <v>898</v>
      </c>
      <c r="D467" s="81" t="s">
        <v>92</v>
      </c>
      <c r="E467" s="72" t="s">
        <v>546</v>
      </c>
      <c r="F467" s="76">
        <v>3</v>
      </c>
      <c r="G467" s="72" t="s">
        <v>1301</v>
      </c>
      <c r="H467" s="78">
        <v>45757</v>
      </c>
      <c r="I467" s="72" t="s">
        <v>1299</v>
      </c>
      <c r="J467" s="72">
        <v>9.5</v>
      </c>
      <c r="K467" s="72"/>
      <c r="L467" s="72" t="s">
        <v>925</v>
      </c>
      <c r="M467" s="78">
        <v>45769</v>
      </c>
      <c r="N467" s="72" t="s">
        <v>1299</v>
      </c>
      <c r="O467" s="72">
        <v>9.5</v>
      </c>
      <c r="P467" s="72"/>
      <c r="Q467" s="72" t="s">
        <v>924</v>
      </c>
      <c r="R467" s="78">
        <v>45787</v>
      </c>
      <c r="S467" s="72" t="s">
        <v>1299</v>
      </c>
      <c r="T467" s="72">
        <v>9</v>
      </c>
      <c r="U467" s="72"/>
      <c r="V467" s="72"/>
      <c r="W467" s="72"/>
      <c r="X467" s="72"/>
      <c r="Y467" s="72"/>
      <c r="Z467" s="72"/>
      <c r="AA467" s="79"/>
      <c r="AB467" s="79"/>
      <c r="AC467" s="79"/>
      <c r="AD467" s="79"/>
      <c r="AE467" s="79"/>
    </row>
    <row r="468" spans="1:31" ht="16.5" x14ac:dyDescent="0.35">
      <c r="A468" s="71">
        <v>462</v>
      </c>
      <c r="B468" s="72">
        <v>2005222923</v>
      </c>
      <c r="C468" s="80" t="s">
        <v>900</v>
      </c>
      <c r="D468" s="81" t="s">
        <v>92</v>
      </c>
      <c r="E468" s="72" t="s">
        <v>546</v>
      </c>
      <c r="F468" s="76">
        <v>2</v>
      </c>
      <c r="G468" s="72" t="s">
        <v>1300</v>
      </c>
      <c r="H468" s="78">
        <v>45436</v>
      </c>
      <c r="I468" s="72" t="s">
        <v>1299</v>
      </c>
      <c r="J468" s="72">
        <v>7.5</v>
      </c>
      <c r="K468" s="72"/>
      <c r="L468" s="72" t="s">
        <v>1301</v>
      </c>
      <c r="M468" s="78">
        <v>45757</v>
      </c>
      <c r="N468" s="72" t="s">
        <v>1299</v>
      </c>
      <c r="O468" s="72">
        <v>9.5</v>
      </c>
      <c r="P468" s="72"/>
      <c r="Q468" s="72"/>
      <c r="R468" s="78"/>
      <c r="S468" s="72"/>
      <c r="T468" s="72"/>
      <c r="U468" s="72"/>
      <c r="V468" s="72"/>
      <c r="W468" s="72"/>
      <c r="X468" s="72"/>
      <c r="Y468" s="72"/>
      <c r="Z468" s="72"/>
      <c r="AA468" s="79"/>
      <c r="AB468" s="79"/>
      <c r="AC468" s="79"/>
      <c r="AD468" s="79"/>
      <c r="AE468" s="79"/>
    </row>
    <row r="469" spans="1:31" ht="16.5" x14ac:dyDescent="0.35">
      <c r="A469" s="71">
        <v>463</v>
      </c>
      <c r="B469" s="72">
        <v>2005222991</v>
      </c>
      <c r="C469" s="80" t="s">
        <v>882</v>
      </c>
      <c r="D469" s="81" t="s">
        <v>241</v>
      </c>
      <c r="E469" s="72" t="s">
        <v>546</v>
      </c>
      <c r="F469" s="76">
        <v>2</v>
      </c>
      <c r="G469" s="72" t="s">
        <v>925</v>
      </c>
      <c r="H469" s="78">
        <v>45797</v>
      </c>
      <c r="I469" s="72" t="s">
        <v>1299</v>
      </c>
      <c r="J469" s="72">
        <v>9.5</v>
      </c>
      <c r="K469" s="72">
        <v>0.5</v>
      </c>
      <c r="L469" s="72" t="s">
        <v>924</v>
      </c>
      <c r="M469" s="78">
        <v>45798</v>
      </c>
      <c r="N469" s="72" t="s">
        <v>1299</v>
      </c>
      <c r="O469" s="72">
        <v>9.5</v>
      </c>
      <c r="P469" s="72">
        <v>0.5</v>
      </c>
      <c r="Q469" s="72"/>
      <c r="R469" s="78"/>
      <c r="S469" s="72"/>
      <c r="T469" s="72"/>
      <c r="U469" s="72"/>
      <c r="V469" s="72"/>
      <c r="W469" s="72"/>
      <c r="X469" s="72"/>
      <c r="Y469" s="72"/>
      <c r="Z469" s="72"/>
      <c r="AA469" s="79"/>
      <c r="AB469" s="79"/>
      <c r="AC469" s="79"/>
      <c r="AD469" s="79"/>
      <c r="AE469" s="79"/>
    </row>
    <row r="470" spans="1:31" ht="16.5" x14ac:dyDescent="0.35">
      <c r="A470" s="71">
        <v>464</v>
      </c>
      <c r="B470" s="72">
        <v>2005223075</v>
      </c>
      <c r="C470" s="80" t="s">
        <v>783</v>
      </c>
      <c r="D470" s="81" t="s">
        <v>51</v>
      </c>
      <c r="E470" s="72" t="s">
        <v>546</v>
      </c>
      <c r="F470" s="76">
        <v>3</v>
      </c>
      <c r="G470" s="72" t="s">
        <v>1301</v>
      </c>
      <c r="H470" s="78">
        <v>45757</v>
      </c>
      <c r="I470" s="72" t="s">
        <v>1299</v>
      </c>
      <c r="J470" s="72">
        <v>8.5</v>
      </c>
      <c r="K470" s="72"/>
      <c r="L470" s="72" t="s">
        <v>925</v>
      </c>
      <c r="M470" s="78">
        <v>45797</v>
      </c>
      <c r="N470" s="72" t="s">
        <v>1299</v>
      </c>
      <c r="O470" s="72">
        <v>7.5</v>
      </c>
      <c r="P470" s="72"/>
      <c r="Q470" s="72" t="s">
        <v>924</v>
      </c>
      <c r="R470" s="78">
        <v>45798</v>
      </c>
      <c r="S470" s="72" t="s">
        <v>1299</v>
      </c>
      <c r="T470" s="72">
        <v>9</v>
      </c>
      <c r="U470" s="72"/>
      <c r="V470" s="72"/>
      <c r="W470" s="72"/>
      <c r="X470" s="72"/>
      <c r="Y470" s="72"/>
      <c r="Z470" s="72"/>
      <c r="AA470" s="79"/>
      <c r="AB470" s="79"/>
      <c r="AC470" s="79"/>
      <c r="AD470" s="79"/>
      <c r="AE470" s="79"/>
    </row>
    <row r="471" spans="1:31" ht="16.5" x14ac:dyDescent="0.35">
      <c r="A471" s="71">
        <v>465</v>
      </c>
      <c r="B471" s="72">
        <v>2005223197</v>
      </c>
      <c r="C471" s="80" t="s">
        <v>884</v>
      </c>
      <c r="D471" s="81" t="s">
        <v>637</v>
      </c>
      <c r="E471" s="72" t="s">
        <v>546</v>
      </c>
      <c r="F471" s="76">
        <v>3</v>
      </c>
      <c r="G471" s="72" t="s">
        <v>924</v>
      </c>
      <c r="H471" s="78">
        <v>45623</v>
      </c>
      <c r="I471" s="72" t="s">
        <v>1299</v>
      </c>
      <c r="J471" s="72">
        <v>7.5</v>
      </c>
      <c r="K471" s="72">
        <v>0.5</v>
      </c>
      <c r="L471" s="72" t="s">
        <v>1298</v>
      </c>
      <c r="M471" s="78">
        <v>45632</v>
      </c>
      <c r="N471" s="72" t="s">
        <v>1299</v>
      </c>
      <c r="O471" s="72">
        <v>9</v>
      </c>
      <c r="P471" s="72"/>
      <c r="Q471" s="72" t="s">
        <v>928</v>
      </c>
      <c r="R471" s="78">
        <v>45800</v>
      </c>
      <c r="S471" s="72" t="s">
        <v>1299</v>
      </c>
      <c r="T471" s="72">
        <v>9.5</v>
      </c>
      <c r="U471" s="72"/>
      <c r="V471" s="72"/>
      <c r="W471" s="72"/>
      <c r="X471" s="72"/>
      <c r="Y471" s="72"/>
      <c r="Z471" s="72"/>
      <c r="AA471" s="79"/>
      <c r="AB471" s="79"/>
      <c r="AC471" s="79"/>
      <c r="AD471" s="79"/>
      <c r="AE471" s="79"/>
    </row>
    <row r="472" spans="1:31" ht="16.5" x14ac:dyDescent="0.35">
      <c r="A472" s="71">
        <v>466</v>
      </c>
      <c r="B472" s="72">
        <v>2005223375</v>
      </c>
      <c r="C472" s="80" t="s">
        <v>885</v>
      </c>
      <c r="D472" s="81" t="s">
        <v>76</v>
      </c>
      <c r="E472" s="72" t="s">
        <v>546</v>
      </c>
      <c r="F472" s="76">
        <v>2</v>
      </c>
      <c r="G472" s="72" t="s">
        <v>1300</v>
      </c>
      <c r="H472" s="78">
        <v>45749</v>
      </c>
      <c r="I472" s="86" t="s">
        <v>1299</v>
      </c>
      <c r="J472" s="72">
        <v>8.5</v>
      </c>
      <c r="K472" s="72"/>
      <c r="L472" s="72" t="s">
        <v>924</v>
      </c>
      <c r="M472" s="78">
        <v>45776</v>
      </c>
      <c r="N472" s="72" t="s">
        <v>1299</v>
      </c>
      <c r="O472" s="72">
        <v>6</v>
      </c>
      <c r="P472" s="72"/>
      <c r="Q472" s="72"/>
      <c r="R472" s="78"/>
      <c r="S472" s="72"/>
      <c r="T472" s="72"/>
      <c r="U472" s="72"/>
      <c r="V472" s="72"/>
      <c r="W472" s="72"/>
      <c r="X472" s="72"/>
      <c r="Y472" s="72"/>
      <c r="Z472" s="72"/>
      <c r="AA472" s="79"/>
      <c r="AB472" s="79"/>
      <c r="AC472" s="79"/>
      <c r="AD472" s="79"/>
      <c r="AE472" s="79"/>
    </row>
    <row r="473" spans="1:31" ht="16.5" x14ac:dyDescent="0.35">
      <c r="A473" s="71">
        <v>467</v>
      </c>
      <c r="B473" s="72">
        <v>2005223302</v>
      </c>
      <c r="C473" s="80" t="s">
        <v>894</v>
      </c>
      <c r="D473" s="81" t="s">
        <v>76</v>
      </c>
      <c r="E473" s="72" t="s">
        <v>546</v>
      </c>
      <c r="F473" s="76">
        <v>2</v>
      </c>
      <c r="G473" s="72" t="s">
        <v>924</v>
      </c>
      <c r="H473" s="78">
        <v>45602</v>
      </c>
      <c r="I473" s="72" t="s">
        <v>1299</v>
      </c>
      <c r="J473" s="72">
        <v>7.5</v>
      </c>
      <c r="K473" s="72"/>
      <c r="L473" s="72" t="s">
        <v>1300</v>
      </c>
      <c r="M473" s="78">
        <v>45756</v>
      </c>
      <c r="N473" s="72" t="s">
        <v>1299</v>
      </c>
      <c r="O473" s="72">
        <v>8</v>
      </c>
      <c r="P473" s="72"/>
      <c r="Q473" s="72"/>
      <c r="R473" s="78"/>
      <c r="S473" s="72"/>
      <c r="T473" s="72"/>
      <c r="U473" s="72"/>
      <c r="V473" s="72"/>
      <c r="W473" s="72"/>
      <c r="X473" s="72"/>
      <c r="Y473" s="72"/>
      <c r="Z473" s="72"/>
      <c r="AA473" s="79"/>
      <c r="AB473" s="79"/>
      <c r="AC473" s="79"/>
      <c r="AD473" s="79"/>
      <c r="AE473" s="79"/>
    </row>
    <row r="474" spans="1:31" ht="16.5" x14ac:dyDescent="0.35">
      <c r="A474" s="71">
        <v>468</v>
      </c>
      <c r="B474" s="72">
        <v>2005223426</v>
      </c>
      <c r="C474" s="80" t="s">
        <v>886</v>
      </c>
      <c r="D474" s="81" t="s">
        <v>161</v>
      </c>
      <c r="E474" s="72" t="s">
        <v>546</v>
      </c>
      <c r="F474" s="76">
        <v>3</v>
      </c>
      <c r="G474" s="72" t="s">
        <v>924</v>
      </c>
      <c r="H474" s="78">
        <v>45645</v>
      </c>
      <c r="I474" s="72" t="s">
        <v>1299</v>
      </c>
      <c r="J474" s="72">
        <v>9</v>
      </c>
      <c r="K474" s="72"/>
      <c r="L474" s="72" t="s">
        <v>1300</v>
      </c>
      <c r="M474" s="78">
        <v>45756</v>
      </c>
      <c r="N474" s="72" t="s">
        <v>1299</v>
      </c>
      <c r="O474" s="72">
        <v>8.5</v>
      </c>
      <c r="P474" s="72"/>
      <c r="Q474" s="79" t="s">
        <v>928</v>
      </c>
      <c r="R474" s="83">
        <v>45799</v>
      </c>
      <c r="S474" s="79" t="s">
        <v>1299</v>
      </c>
      <c r="T474" s="72">
        <v>8.5</v>
      </c>
      <c r="U474" s="72"/>
      <c r="V474" s="72"/>
      <c r="W474" s="72"/>
      <c r="X474" s="72"/>
      <c r="Y474" s="72"/>
      <c r="Z474" s="72"/>
      <c r="AA474" s="79"/>
      <c r="AB474" s="79"/>
      <c r="AC474" s="79"/>
      <c r="AD474" s="79"/>
      <c r="AE474" s="79"/>
    </row>
    <row r="475" spans="1:31" ht="16.5" x14ac:dyDescent="0.35">
      <c r="A475" s="71">
        <v>469</v>
      </c>
      <c r="B475" s="72">
        <v>2005223444</v>
      </c>
      <c r="C475" s="80" t="s">
        <v>1173</v>
      </c>
      <c r="D475" s="81" t="s">
        <v>803</v>
      </c>
      <c r="E475" s="72" t="s">
        <v>546</v>
      </c>
      <c r="F475" s="76">
        <v>1</v>
      </c>
      <c r="G475" s="72" t="s">
        <v>925</v>
      </c>
      <c r="H475" s="78">
        <v>45391</v>
      </c>
      <c r="I475" s="72" t="s">
        <v>1299</v>
      </c>
      <c r="J475" s="72">
        <v>6.5</v>
      </c>
      <c r="K475" s="72"/>
      <c r="L475" s="72"/>
      <c r="M475" s="72"/>
      <c r="N475" s="72"/>
      <c r="O475" s="72"/>
      <c r="P475" s="72"/>
      <c r="Q475" s="72"/>
      <c r="R475" s="78"/>
      <c r="S475" s="72"/>
      <c r="T475" s="72"/>
      <c r="U475" s="72"/>
      <c r="V475" s="72"/>
      <c r="W475" s="72"/>
      <c r="X475" s="72"/>
      <c r="Y475" s="72"/>
      <c r="Z475" s="72"/>
      <c r="AA475" s="79"/>
      <c r="AB475" s="79"/>
      <c r="AC475" s="79"/>
      <c r="AD475" s="79"/>
      <c r="AE475" s="79"/>
    </row>
    <row r="476" spans="1:31" ht="16.5" x14ac:dyDescent="0.35">
      <c r="A476" s="71">
        <v>470</v>
      </c>
      <c r="B476" s="72">
        <v>2005223433</v>
      </c>
      <c r="C476" s="80" t="s">
        <v>482</v>
      </c>
      <c r="D476" s="81" t="s">
        <v>803</v>
      </c>
      <c r="E476" s="72" t="s">
        <v>546</v>
      </c>
      <c r="F476" s="76">
        <v>2</v>
      </c>
      <c r="G476" s="72" t="s">
        <v>1300</v>
      </c>
      <c r="H476" s="78">
        <v>45737</v>
      </c>
      <c r="I476" s="72" t="s">
        <v>1299</v>
      </c>
      <c r="J476" s="72">
        <v>7</v>
      </c>
      <c r="K476" s="72">
        <v>1</v>
      </c>
      <c r="L476" s="72" t="s">
        <v>924</v>
      </c>
      <c r="M476" s="78">
        <v>45786</v>
      </c>
      <c r="N476" s="72" t="s">
        <v>1299</v>
      </c>
      <c r="O476" s="72">
        <v>7.5</v>
      </c>
      <c r="P476" s="72"/>
      <c r="Q476" s="72"/>
      <c r="R476" s="78"/>
      <c r="S476" s="72"/>
      <c r="T476" s="72"/>
      <c r="U476" s="72"/>
      <c r="V476" s="72"/>
      <c r="W476" s="72"/>
      <c r="X476" s="72"/>
      <c r="Y476" s="72"/>
      <c r="Z476" s="72"/>
      <c r="AA476" s="79"/>
      <c r="AB476" s="79"/>
      <c r="AC476" s="79"/>
      <c r="AD476" s="79"/>
      <c r="AE476" s="79"/>
    </row>
    <row r="477" spans="1:31" ht="16.5" x14ac:dyDescent="0.35">
      <c r="A477" s="71">
        <v>471</v>
      </c>
      <c r="B477" s="72">
        <v>2005223491</v>
      </c>
      <c r="C477" s="80" t="s">
        <v>776</v>
      </c>
      <c r="D477" s="81" t="s">
        <v>318</v>
      </c>
      <c r="E477" s="72" t="s">
        <v>546</v>
      </c>
      <c r="F477" s="76">
        <v>2</v>
      </c>
      <c r="G477" s="72" t="s">
        <v>925</v>
      </c>
      <c r="H477" s="78">
        <v>45440</v>
      </c>
      <c r="I477" s="72" t="s">
        <v>1299</v>
      </c>
      <c r="J477" s="72">
        <v>8</v>
      </c>
      <c r="K477" s="72"/>
      <c r="L477" s="72" t="s">
        <v>1300</v>
      </c>
      <c r="M477" s="78">
        <v>45631</v>
      </c>
      <c r="N477" s="72" t="s">
        <v>1299</v>
      </c>
      <c r="O477" s="72">
        <v>7.5</v>
      </c>
      <c r="P477" s="72"/>
      <c r="Q477" s="72"/>
      <c r="R477" s="78"/>
      <c r="S477" s="72"/>
      <c r="T477" s="72"/>
      <c r="U477" s="72"/>
      <c r="V477" s="72"/>
      <c r="W477" s="72"/>
      <c r="X477" s="72"/>
      <c r="Y477" s="72"/>
      <c r="Z477" s="72"/>
      <c r="AA477" s="79"/>
      <c r="AB477" s="79"/>
      <c r="AC477" s="79"/>
      <c r="AD477" s="79"/>
      <c r="AE477" s="79"/>
    </row>
    <row r="478" spans="1:31" ht="16.5" x14ac:dyDescent="0.35">
      <c r="A478" s="71">
        <v>472</v>
      </c>
      <c r="B478" s="72">
        <v>2005223479</v>
      </c>
      <c r="C478" s="80" t="s">
        <v>887</v>
      </c>
      <c r="D478" s="81" t="s">
        <v>318</v>
      </c>
      <c r="E478" s="72" t="s">
        <v>546</v>
      </c>
      <c r="F478" s="76">
        <v>2</v>
      </c>
      <c r="G478" s="72" t="s">
        <v>1300</v>
      </c>
      <c r="H478" s="78">
        <v>45749</v>
      </c>
      <c r="I478" s="86" t="s">
        <v>1299</v>
      </c>
      <c r="J478" s="72">
        <v>8.5</v>
      </c>
      <c r="K478" s="72"/>
      <c r="L478" s="72" t="s">
        <v>924</v>
      </c>
      <c r="M478" s="78">
        <v>45786</v>
      </c>
      <c r="N478" s="72" t="s">
        <v>1299</v>
      </c>
      <c r="O478" s="72">
        <v>9.5</v>
      </c>
      <c r="P478" s="72"/>
      <c r="Q478" s="72"/>
      <c r="R478" s="78"/>
      <c r="S478" s="72"/>
      <c r="T478" s="72"/>
      <c r="U478" s="72"/>
      <c r="V478" s="72"/>
      <c r="W478" s="72"/>
      <c r="X478" s="72"/>
      <c r="Y478" s="72"/>
      <c r="Z478" s="72"/>
      <c r="AA478" s="79"/>
      <c r="AB478" s="79"/>
      <c r="AC478" s="79"/>
      <c r="AD478" s="79"/>
      <c r="AE478" s="79"/>
    </row>
    <row r="479" spans="1:31" ht="16.5" x14ac:dyDescent="0.35">
      <c r="A479" s="71">
        <v>473</v>
      </c>
      <c r="B479" s="72">
        <v>2005223492</v>
      </c>
      <c r="C479" s="80" t="s">
        <v>892</v>
      </c>
      <c r="D479" s="81" t="s">
        <v>318</v>
      </c>
      <c r="E479" s="72" t="s">
        <v>546</v>
      </c>
      <c r="F479" s="76">
        <v>4</v>
      </c>
      <c r="G479" s="72" t="s">
        <v>925</v>
      </c>
      <c r="H479" s="78">
        <v>45405</v>
      </c>
      <c r="I479" s="72" t="s">
        <v>1299</v>
      </c>
      <c r="J479" s="72">
        <v>9.5</v>
      </c>
      <c r="K479" s="72"/>
      <c r="L479" s="72" t="s">
        <v>1300</v>
      </c>
      <c r="M479" s="78">
        <v>45744</v>
      </c>
      <c r="N479" s="72" t="s">
        <v>1299</v>
      </c>
      <c r="O479" s="72">
        <v>8</v>
      </c>
      <c r="P479" s="72"/>
      <c r="Q479" s="72" t="s">
        <v>924</v>
      </c>
      <c r="R479" s="78">
        <v>45786</v>
      </c>
      <c r="S479" s="72" t="s">
        <v>1299</v>
      </c>
      <c r="T479" s="72">
        <v>10</v>
      </c>
      <c r="U479" s="72"/>
      <c r="V479" s="72" t="s">
        <v>925</v>
      </c>
      <c r="W479" s="78">
        <v>45813</v>
      </c>
      <c r="X479" s="72" t="s">
        <v>1299</v>
      </c>
      <c r="Y479" s="72">
        <v>7</v>
      </c>
      <c r="Z479" s="72"/>
      <c r="AA479" s="79"/>
      <c r="AB479" s="79"/>
      <c r="AC479" s="79"/>
      <c r="AD479" s="79"/>
      <c r="AE479" s="79"/>
    </row>
    <row r="480" spans="1:31" ht="16.5" x14ac:dyDescent="0.35">
      <c r="A480" s="71">
        <v>474</v>
      </c>
      <c r="B480" s="72">
        <v>2005223693</v>
      </c>
      <c r="C480" s="80" t="s">
        <v>121</v>
      </c>
      <c r="D480" s="81" t="s">
        <v>501</v>
      </c>
      <c r="E480" s="72" t="s">
        <v>546</v>
      </c>
      <c r="F480" s="76">
        <v>3</v>
      </c>
      <c r="G480" s="72" t="s">
        <v>925</v>
      </c>
      <c r="H480" s="78">
        <v>45636</v>
      </c>
      <c r="I480" s="72" t="s">
        <v>1299</v>
      </c>
      <c r="J480" s="72">
        <v>6.5</v>
      </c>
      <c r="K480" s="72"/>
      <c r="L480" s="72" t="s">
        <v>1300</v>
      </c>
      <c r="M480" s="78">
        <v>45742</v>
      </c>
      <c r="N480" s="72" t="s">
        <v>1299</v>
      </c>
      <c r="O480" s="72">
        <v>9.5</v>
      </c>
      <c r="P480" s="72"/>
      <c r="Q480" s="72" t="s">
        <v>924</v>
      </c>
      <c r="R480" s="78">
        <v>45798</v>
      </c>
      <c r="S480" s="72" t="s">
        <v>1299</v>
      </c>
      <c r="T480" s="72">
        <v>8</v>
      </c>
      <c r="U480" s="72"/>
      <c r="V480" s="72"/>
      <c r="W480" s="72"/>
      <c r="X480" s="72"/>
      <c r="Y480" s="72"/>
      <c r="Z480" s="72"/>
      <c r="AA480" s="79"/>
      <c r="AB480" s="79"/>
      <c r="AC480" s="79"/>
      <c r="AD480" s="79"/>
      <c r="AE480" s="79"/>
    </row>
    <row r="481" spans="1:31" ht="16.5" x14ac:dyDescent="0.35">
      <c r="A481" s="71">
        <v>475</v>
      </c>
      <c r="B481" s="72">
        <v>2022223970</v>
      </c>
      <c r="C481" s="80" t="s">
        <v>553</v>
      </c>
      <c r="D481" s="81" t="s">
        <v>554</v>
      </c>
      <c r="E481" s="72" t="s">
        <v>546</v>
      </c>
      <c r="F481" s="76">
        <v>3</v>
      </c>
      <c r="G481" s="72" t="s">
        <v>1300</v>
      </c>
      <c r="H481" s="78">
        <v>45749</v>
      </c>
      <c r="I481" s="86" t="s">
        <v>1299</v>
      </c>
      <c r="J481" s="72">
        <v>9</v>
      </c>
      <c r="K481" s="72"/>
      <c r="L481" s="72" t="s">
        <v>1301</v>
      </c>
      <c r="M481" s="78">
        <v>45757</v>
      </c>
      <c r="N481" s="72" t="s">
        <v>1299</v>
      </c>
      <c r="O481" s="72">
        <v>9.5</v>
      </c>
      <c r="P481" s="72"/>
      <c r="Q481" s="79" t="s">
        <v>928</v>
      </c>
      <c r="R481" s="83">
        <v>45799</v>
      </c>
      <c r="S481" s="79" t="s">
        <v>1299</v>
      </c>
      <c r="T481" s="72">
        <v>7.5</v>
      </c>
      <c r="U481" s="72"/>
      <c r="V481" s="72"/>
      <c r="W481" s="72"/>
      <c r="X481" s="72"/>
      <c r="Y481" s="72"/>
      <c r="Z481" s="72"/>
      <c r="AA481" s="79"/>
      <c r="AB481" s="79"/>
      <c r="AC481" s="79"/>
      <c r="AD481" s="79"/>
      <c r="AE481" s="79"/>
    </row>
    <row r="482" spans="1:31" ht="16.5" x14ac:dyDescent="0.35">
      <c r="A482" s="71">
        <v>476</v>
      </c>
      <c r="B482" s="72">
        <v>2005224015</v>
      </c>
      <c r="C482" s="80" t="s">
        <v>121</v>
      </c>
      <c r="D482" s="81" t="s">
        <v>181</v>
      </c>
      <c r="E482" s="72" t="s">
        <v>546</v>
      </c>
      <c r="F482" s="76">
        <v>4</v>
      </c>
      <c r="G482" s="72" t="s">
        <v>925</v>
      </c>
      <c r="H482" s="78">
        <v>45398</v>
      </c>
      <c r="I482" s="72" t="s">
        <v>1299</v>
      </c>
      <c r="J482" s="72">
        <v>9</v>
      </c>
      <c r="K482" s="72"/>
      <c r="L482" s="72" t="s">
        <v>1300</v>
      </c>
      <c r="M482" s="78">
        <v>45721</v>
      </c>
      <c r="N482" s="72" t="s">
        <v>1299</v>
      </c>
      <c r="O482" s="72">
        <v>9</v>
      </c>
      <c r="P482" s="72"/>
      <c r="Q482" s="72" t="s">
        <v>1301</v>
      </c>
      <c r="R482" s="78">
        <v>45757</v>
      </c>
      <c r="S482" s="72" t="s">
        <v>1299</v>
      </c>
      <c r="T482" s="72">
        <v>9.5</v>
      </c>
      <c r="U482" s="72"/>
      <c r="V482" s="79" t="s">
        <v>928</v>
      </c>
      <c r="W482" s="83">
        <v>45799</v>
      </c>
      <c r="X482" s="79" t="s">
        <v>1299</v>
      </c>
      <c r="Y482" s="72">
        <v>10</v>
      </c>
      <c r="Z482" s="72"/>
      <c r="AA482" s="79"/>
      <c r="AB482" s="79"/>
      <c r="AC482" s="79"/>
      <c r="AD482" s="79"/>
      <c r="AE482" s="79"/>
    </row>
    <row r="483" spans="1:31" ht="16.5" x14ac:dyDescent="0.35">
      <c r="A483" s="71">
        <v>477</v>
      </c>
      <c r="B483" s="72">
        <v>2005224400</v>
      </c>
      <c r="C483" s="80" t="s">
        <v>560</v>
      </c>
      <c r="D483" s="81" t="s">
        <v>561</v>
      </c>
      <c r="E483" s="72" t="s">
        <v>546</v>
      </c>
      <c r="F483" s="76">
        <v>3</v>
      </c>
      <c r="G483" s="72" t="s">
        <v>924</v>
      </c>
      <c r="H483" s="78">
        <v>45623</v>
      </c>
      <c r="I483" s="72" t="s">
        <v>1299</v>
      </c>
      <c r="J483" s="72">
        <v>5.5</v>
      </c>
      <c r="K483" s="72"/>
      <c r="L483" s="72" t="s">
        <v>1300</v>
      </c>
      <c r="M483" s="78">
        <v>45742</v>
      </c>
      <c r="N483" s="72" t="s">
        <v>1299</v>
      </c>
      <c r="O483" s="72">
        <v>8</v>
      </c>
      <c r="P483" s="72"/>
      <c r="Q483" s="79" t="s">
        <v>928</v>
      </c>
      <c r="R483" s="83">
        <v>45799</v>
      </c>
      <c r="S483" s="79" t="s">
        <v>1299</v>
      </c>
      <c r="T483" s="72">
        <v>5.5</v>
      </c>
      <c r="U483" s="72"/>
      <c r="V483" s="72"/>
      <c r="W483" s="72"/>
      <c r="X483" s="72"/>
      <c r="Y483" s="72"/>
      <c r="Z483" s="72"/>
      <c r="AA483" s="79"/>
      <c r="AB483" s="79"/>
      <c r="AC483" s="79"/>
      <c r="AD483" s="79"/>
      <c r="AE483" s="79"/>
    </row>
    <row r="484" spans="1:31" ht="16.5" x14ac:dyDescent="0.35">
      <c r="A484" s="71">
        <v>478</v>
      </c>
      <c r="B484" s="72">
        <v>2005224761</v>
      </c>
      <c r="C484" s="80" t="s">
        <v>557</v>
      </c>
      <c r="D484" s="81" t="s">
        <v>102</v>
      </c>
      <c r="E484" s="72" t="s">
        <v>546</v>
      </c>
      <c r="F484" s="76">
        <v>3</v>
      </c>
      <c r="G484" s="72" t="s">
        <v>925</v>
      </c>
      <c r="H484" s="78">
        <v>45405</v>
      </c>
      <c r="I484" s="72" t="s">
        <v>1299</v>
      </c>
      <c r="J484" s="72">
        <v>6.5</v>
      </c>
      <c r="K484" s="72"/>
      <c r="L484" s="72" t="s">
        <v>924</v>
      </c>
      <c r="M484" s="78">
        <v>45637</v>
      </c>
      <c r="N484" s="72" t="s">
        <v>1299</v>
      </c>
      <c r="O484" s="72">
        <v>6</v>
      </c>
      <c r="P484" s="72"/>
      <c r="Q484" s="79" t="s">
        <v>928</v>
      </c>
      <c r="R484" s="83">
        <v>45799</v>
      </c>
      <c r="S484" s="79" t="s">
        <v>1299</v>
      </c>
      <c r="T484" s="72">
        <v>8.5</v>
      </c>
      <c r="U484" s="72"/>
      <c r="V484" s="72"/>
      <c r="W484" s="72"/>
      <c r="X484" s="72"/>
      <c r="Y484" s="72"/>
      <c r="Z484" s="72"/>
      <c r="AA484" s="79"/>
      <c r="AB484" s="79"/>
      <c r="AC484" s="79"/>
      <c r="AD484" s="79"/>
      <c r="AE484" s="79"/>
    </row>
    <row r="485" spans="1:31" ht="16.5" x14ac:dyDescent="0.35">
      <c r="A485" s="71">
        <v>479</v>
      </c>
      <c r="B485" s="72">
        <v>2005224795</v>
      </c>
      <c r="C485" s="80" t="s">
        <v>293</v>
      </c>
      <c r="D485" s="81" t="s">
        <v>102</v>
      </c>
      <c r="E485" s="72" t="s">
        <v>546</v>
      </c>
      <c r="F485" s="76">
        <v>3</v>
      </c>
      <c r="G485" s="72" t="s">
        <v>1300</v>
      </c>
      <c r="H485" s="78">
        <v>45436</v>
      </c>
      <c r="I485" s="72" t="s">
        <v>1299</v>
      </c>
      <c r="J485" s="72">
        <v>7.5</v>
      </c>
      <c r="K485" s="72"/>
      <c r="L485" s="72" t="s">
        <v>924</v>
      </c>
      <c r="M485" s="78">
        <v>45637</v>
      </c>
      <c r="N485" s="72" t="s">
        <v>1299</v>
      </c>
      <c r="O485" s="72">
        <v>6.5</v>
      </c>
      <c r="P485" s="72"/>
      <c r="Q485" s="72" t="s">
        <v>928</v>
      </c>
      <c r="R485" s="78">
        <v>45800</v>
      </c>
      <c r="S485" s="72" t="s">
        <v>1299</v>
      </c>
      <c r="T485" s="72">
        <v>9</v>
      </c>
      <c r="U485" s="72"/>
      <c r="V485" s="72"/>
      <c r="W485" s="72"/>
      <c r="X485" s="72"/>
      <c r="Y485" s="72"/>
      <c r="Z485" s="72"/>
      <c r="AA485" s="79"/>
      <c r="AB485" s="79"/>
      <c r="AC485" s="79"/>
      <c r="AD485" s="79"/>
      <c r="AE485" s="79"/>
    </row>
    <row r="486" spans="1:31" ht="16.5" x14ac:dyDescent="0.35">
      <c r="A486" s="71">
        <v>480</v>
      </c>
      <c r="B486" s="72">
        <v>2005224854</v>
      </c>
      <c r="C486" s="80" t="s">
        <v>556</v>
      </c>
      <c r="D486" s="81" t="s">
        <v>114</v>
      </c>
      <c r="E486" s="72" t="s">
        <v>546</v>
      </c>
      <c r="F486" s="76">
        <v>2</v>
      </c>
      <c r="G486" s="72" t="s">
        <v>924</v>
      </c>
      <c r="H486" s="78">
        <v>45602</v>
      </c>
      <c r="I486" s="72" t="s">
        <v>1299</v>
      </c>
      <c r="J486" s="72">
        <v>7.5</v>
      </c>
      <c r="K486" s="72"/>
      <c r="L486" s="72" t="s">
        <v>1300</v>
      </c>
      <c r="M486" s="78">
        <v>45756</v>
      </c>
      <c r="N486" s="72" t="s">
        <v>1299</v>
      </c>
      <c r="O486" s="72">
        <v>8.5</v>
      </c>
      <c r="P486" s="72"/>
      <c r="Q486" s="72"/>
      <c r="R486" s="78"/>
      <c r="S486" s="72"/>
      <c r="T486" s="72"/>
      <c r="U486" s="72"/>
      <c r="V486" s="72"/>
      <c r="W486" s="72"/>
      <c r="X486" s="72"/>
      <c r="Y486" s="72"/>
      <c r="Z486" s="72"/>
      <c r="AA486" s="79"/>
      <c r="AB486" s="79"/>
      <c r="AC486" s="79"/>
      <c r="AD486" s="79"/>
      <c r="AE486" s="79"/>
    </row>
    <row r="487" spans="1:31" ht="16.5" x14ac:dyDescent="0.35">
      <c r="A487" s="71">
        <v>481</v>
      </c>
      <c r="B487" s="72">
        <v>2005225167</v>
      </c>
      <c r="C487" s="80" t="s">
        <v>565</v>
      </c>
      <c r="D487" s="81" t="s">
        <v>123</v>
      </c>
      <c r="E487" s="72" t="s">
        <v>546</v>
      </c>
      <c r="F487" s="76">
        <v>3</v>
      </c>
      <c r="G487" s="72" t="s">
        <v>1300</v>
      </c>
      <c r="H487" s="78">
        <v>45721</v>
      </c>
      <c r="I487" s="72" t="s">
        <v>1299</v>
      </c>
      <c r="J487" s="72">
        <v>7</v>
      </c>
      <c r="K487" s="72"/>
      <c r="L487" s="72" t="s">
        <v>1301</v>
      </c>
      <c r="M487" s="78">
        <v>45757</v>
      </c>
      <c r="N487" s="72" t="s">
        <v>1299</v>
      </c>
      <c r="O487" s="72">
        <v>9.5</v>
      </c>
      <c r="P487" s="72"/>
      <c r="Q487" s="72" t="s">
        <v>925</v>
      </c>
      <c r="R487" s="78">
        <v>45769</v>
      </c>
      <c r="S487" s="72" t="s">
        <v>1299</v>
      </c>
      <c r="T487" s="72">
        <v>9</v>
      </c>
      <c r="U487" s="72"/>
      <c r="V487" s="72"/>
      <c r="W487" s="72"/>
      <c r="X487" s="72"/>
      <c r="Y487" s="72"/>
      <c r="Z487" s="72"/>
      <c r="AA487" s="79"/>
      <c r="AB487" s="79"/>
      <c r="AC487" s="79"/>
      <c r="AD487" s="79"/>
      <c r="AE487" s="79"/>
    </row>
    <row r="488" spans="1:31" ht="16.5" x14ac:dyDescent="0.35">
      <c r="A488" s="71">
        <v>482</v>
      </c>
      <c r="B488" s="72">
        <v>2005225484</v>
      </c>
      <c r="C488" s="80" t="s">
        <v>558</v>
      </c>
      <c r="D488" s="81" t="s">
        <v>168</v>
      </c>
      <c r="E488" s="72" t="s">
        <v>546</v>
      </c>
      <c r="F488" s="76">
        <v>3</v>
      </c>
      <c r="G488" s="72" t="s">
        <v>1298</v>
      </c>
      <c r="H488" s="78">
        <v>45632</v>
      </c>
      <c r="I488" s="72" t="s">
        <v>1299</v>
      </c>
      <c r="J488" s="72">
        <v>7</v>
      </c>
      <c r="K488" s="72"/>
      <c r="L488" s="72" t="s">
        <v>924</v>
      </c>
      <c r="M488" s="78">
        <v>45637</v>
      </c>
      <c r="N488" s="72" t="s">
        <v>1299</v>
      </c>
      <c r="O488" s="72">
        <v>6.5</v>
      </c>
      <c r="P488" s="72"/>
      <c r="Q488" s="72" t="s">
        <v>2042</v>
      </c>
      <c r="R488" s="78">
        <v>45672</v>
      </c>
      <c r="S488" s="72" t="s">
        <v>1299</v>
      </c>
      <c r="T488" s="72">
        <v>9</v>
      </c>
      <c r="U488" s="72"/>
      <c r="V488" s="72"/>
      <c r="W488" s="72"/>
      <c r="X488" s="72"/>
      <c r="Y488" s="72"/>
      <c r="Z488" s="72"/>
      <c r="AA488" s="79"/>
      <c r="AB488" s="79"/>
      <c r="AC488" s="79"/>
      <c r="AD488" s="79"/>
      <c r="AE488" s="79"/>
    </row>
    <row r="489" spans="1:31" ht="16.5" x14ac:dyDescent="0.35">
      <c r="A489" s="71">
        <v>483</v>
      </c>
      <c r="B489" s="72">
        <v>2005225564</v>
      </c>
      <c r="C489" s="80" t="s">
        <v>57</v>
      </c>
      <c r="D489" s="81" t="s">
        <v>545</v>
      </c>
      <c r="E489" s="72" t="s">
        <v>546</v>
      </c>
      <c r="F489" s="76">
        <v>2</v>
      </c>
      <c r="G489" s="72" t="s">
        <v>924</v>
      </c>
      <c r="H489" s="78">
        <v>45637</v>
      </c>
      <c r="I489" s="72" t="s">
        <v>1299</v>
      </c>
      <c r="J489" s="72">
        <v>9</v>
      </c>
      <c r="K489" s="72"/>
      <c r="L489" s="72" t="s">
        <v>1300</v>
      </c>
      <c r="M489" s="78">
        <v>45644</v>
      </c>
      <c r="N489" s="72" t="s">
        <v>1299</v>
      </c>
      <c r="O489" s="72">
        <v>8</v>
      </c>
      <c r="P489" s="72"/>
      <c r="Q489" s="72"/>
      <c r="R489" s="78"/>
      <c r="S489" s="72"/>
      <c r="T489" s="72"/>
      <c r="U489" s="72"/>
      <c r="V489" s="72"/>
      <c r="W489" s="72"/>
      <c r="X489" s="72"/>
      <c r="Y489" s="72"/>
      <c r="Z489" s="72"/>
      <c r="AA489" s="79"/>
      <c r="AB489" s="79"/>
      <c r="AC489" s="79"/>
      <c r="AD489" s="79"/>
      <c r="AE489" s="79"/>
    </row>
    <row r="490" spans="1:31" ht="16.5" x14ac:dyDescent="0.35">
      <c r="A490" s="71">
        <v>484</v>
      </c>
      <c r="B490" s="72">
        <v>2005225823</v>
      </c>
      <c r="C490" s="80" t="s">
        <v>559</v>
      </c>
      <c r="D490" s="81" t="s">
        <v>66</v>
      </c>
      <c r="E490" s="72" t="s">
        <v>546</v>
      </c>
      <c r="F490" s="76">
        <v>3</v>
      </c>
      <c r="G490" s="72" t="s">
        <v>1304</v>
      </c>
      <c r="H490" s="78">
        <v>45628</v>
      </c>
      <c r="I490" s="72" t="s">
        <v>1299</v>
      </c>
      <c r="J490" s="72">
        <v>8</v>
      </c>
      <c r="K490" s="72"/>
      <c r="L490" s="72" t="s">
        <v>1298</v>
      </c>
      <c r="M490" s="78">
        <v>45632</v>
      </c>
      <c r="N490" s="72" t="s">
        <v>1299</v>
      </c>
      <c r="O490" s="72">
        <v>7.5</v>
      </c>
      <c r="P490" s="72"/>
      <c r="Q490" s="72" t="s">
        <v>2042</v>
      </c>
      <c r="R490" s="78">
        <v>45672</v>
      </c>
      <c r="S490" s="72" t="s">
        <v>1299</v>
      </c>
      <c r="T490" s="72">
        <v>8</v>
      </c>
      <c r="U490" s="72"/>
      <c r="V490" s="72"/>
      <c r="W490" s="72"/>
      <c r="X490" s="72"/>
      <c r="Y490" s="72"/>
      <c r="Z490" s="72"/>
      <c r="AA490" s="79"/>
      <c r="AB490" s="79"/>
      <c r="AC490" s="79"/>
      <c r="AD490" s="79"/>
      <c r="AE490" s="79"/>
    </row>
    <row r="491" spans="1:31" ht="16.5" x14ac:dyDescent="0.35">
      <c r="A491" s="71">
        <v>485</v>
      </c>
      <c r="B491" s="72">
        <v>2005225961</v>
      </c>
      <c r="C491" s="80" t="s">
        <v>548</v>
      </c>
      <c r="D491" s="81" t="s">
        <v>56</v>
      </c>
      <c r="E491" s="72" t="s">
        <v>546</v>
      </c>
      <c r="F491" s="76">
        <v>2</v>
      </c>
      <c r="G491" s="72" t="s">
        <v>1300</v>
      </c>
      <c r="H491" s="78">
        <v>45737</v>
      </c>
      <c r="I491" s="72" t="s">
        <v>1299</v>
      </c>
      <c r="J491" s="72">
        <v>7.5</v>
      </c>
      <c r="K491" s="72"/>
      <c r="L491" s="72" t="s">
        <v>924</v>
      </c>
      <c r="M491" s="78">
        <v>45787</v>
      </c>
      <c r="N491" s="72" t="s">
        <v>1299</v>
      </c>
      <c r="O491" s="72">
        <v>9</v>
      </c>
      <c r="P491" s="72"/>
      <c r="Q491" s="72"/>
      <c r="R491" s="78"/>
      <c r="S491" s="72"/>
      <c r="T491" s="72" t="s">
        <v>1290</v>
      </c>
      <c r="U491" s="72"/>
      <c r="V491" s="72"/>
      <c r="W491" s="72"/>
      <c r="X491" s="72"/>
      <c r="Y491" s="72"/>
      <c r="Z491" s="72"/>
      <c r="AA491" s="79"/>
      <c r="AB491" s="79"/>
      <c r="AC491" s="79"/>
      <c r="AD491" s="79"/>
      <c r="AE491" s="79"/>
    </row>
    <row r="492" spans="1:31" ht="16.5" x14ac:dyDescent="0.35">
      <c r="A492" s="71">
        <v>486</v>
      </c>
      <c r="B492" s="72">
        <v>2005225999</v>
      </c>
      <c r="C492" s="80" t="s">
        <v>95</v>
      </c>
      <c r="D492" s="81" t="s">
        <v>56</v>
      </c>
      <c r="E492" s="72" t="s">
        <v>546</v>
      </c>
      <c r="F492" s="76">
        <v>2</v>
      </c>
      <c r="G492" s="72" t="s">
        <v>1300</v>
      </c>
      <c r="H492" s="78">
        <v>45737</v>
      </c>
      <c r="I492" s="72" t="s">
        <v>1299</v>
      </c>
      <c r="J492" s="72">
        <v>8</v>
      </c>
      <c r="K492" s="72"/>
      <c r="L492" s="72" t="s">
        <v>924</v>
      </c>
      <c r="M492" s="78">
        <v>45787</v>
      </c>
      <c r="N492" s="72" t="s">
        <v>1299</v>
      </c>
      <c r="O492" s="72">
        <v>9</v>
      </c>
      <c r="P492" s="72"/>
      <c r="Q492" s="72"/>
      <c r="R492" s="78"/>
      <c r="S492" s="72"/>
      <c r="T492" s="72"/>
      <c r="U492" s="72"/>
      <c r="V492" s="72"/>
      <c r="W492" s="72"/>
      <c r="X492" s="72"/>
      <c r="Y492" s="72"/>
      <c r="Z492" s="72"/>
      <c r="AA492" s="79"/>
      <c r="AB492" s="79"/>
      <c r="AC492" s="79"/>
      <c r="AD492" s="79"/>
      <c r="AE492" s="79"/>
    </row>
    <row r="493" spans="1:31" ht="16.5" x14ac:dyDescent="0.35">
      <c r="A493" s="71">
        <v>487</v>
      </c>
      <c r="B493" s="72">
        <v>2005226055</v>
      </c>
      <c r="C493" s="80" t="s">
        <v>240</v>
      </c>
      <c r="D493" s="81" t="s">
        <v>104</v>
      </c>
      <c r="E493" s="72" t="s">
        <v>546</v>
      </c>
      <c r="F493" s="76">
        <v>2</v>
      </c>
      <c r="G493" s="72" t="s">
        <v>1300</v>
      </c>
      <c r="H493" s="78">
        <v>45737</v>
      </c>
      <c r="I493" s="72" t="s">
        <v>1299</v>
      </c>
      <c r="J493" s="72">
        <v>8</v>
      </c>
      <c r="K493" s="72"/>
      <c r="L493" s="72" t="s">
        <v>924</v>
      </c>
      <c r="M493" s="78">
        <v>45787</v>
      </c>
      <c r="N493" s="72" t="s">
        <v>1299</v>
      </c>
      <c r="O493" s="72">
        <v>8.5</v>
      </c>
      <c r="P493" s="72"/>
      <c r="Q493" s="72"/>
      <c r="R493" s="78"/>
      <c r="S493" s="72"/>
      <c r="T493" s="72"/>
      <c r="U493" s="72"/>
      <c r="V493" s="72"/>
      <c r="W493" s="72"/>
      <c r="X493" s="72"/>
      <c r="Y493" s="72"/>
      <c r="Z493" s="72"/>
      <c r="AA493" s="79"/>
      <c r="AB493" s="79"/>
      <c r="AC493" s="79"/>
      <c r="AD493" s="79"/>
      <c r="AE493" s="79"/>
    </row>
    <row r="494" spans="1:31" ht="16.5" x14ac:dyDescent="0.35">
      <c r="A494" s="71">
        <v>488</v>
      </c>
      <c r="B494" s="72">
        <v>2005226060</v>
      </c>
      <c r="C494" s="80" t="s">
        <v>550</v>
      </c>
      <c r="D494" s="81" t="s">
        <v>104</v>
      </c>
      <c r="E494" s="72" t="s">
        <v>546</v>
      </c>
      <c r="F494" s="76">
        <v>2</v>
      </c>
      <c r="G494" s="72" t="s">
        <v>1300</v>
      </c>
      <c r="H494" s="78">
        <v>45737</v>
      </c>
      <c r="I494" s="72" t="s">
        <v>1299</v>
      </c>
      <c r="J494" s="72">
        <v>8.5</v>
      </c>
      <c r="K494" s="72"/>
      <c r="L494" s="72" t="s">
        <v>924</v>
      </c>
      <c r="M494" s="78">
        <v>45786</v>
      </c>
      <c r="N494" s="72" t="s">
        <v>1299</v>
      </c>
      <c r="O494" s="72">
        <v>8.5</v>
      </c>
      <c r="P494" s="72"/>
      <c r="Q494" s="72"/>
      <c r="R494" s="78"/>
      <c r="S494" s="72"/>
      <c r="T494" s="72"/>
      <c r="U494" s="72"/>
      <c r="V494" s="72"/>
      <c r="W494" s="72"/>
      <c r="X494" s="72"/>
      <c r="Y494" s="72"/>
      <c r="Z494" s="72"/>
      <c r="AA494" s="79"/>
      <c r="AB494" s="79"/>
      <c r="AC494" s="79"/>
      <c r="AD494" s="79"/>
      <c r="AE494" s="79"/>
    </row>
    <row r="495" spans="1:31" ht="16.5" x14ac:dyDescent="0.35">
      <c r="A495" s="71">
        <v>489</v>
      </c>
      <c r="B495" s="72">
        <v>2005226098</v>
      </c>
      <c r="C495" s="80" t="s">
        <v>467</v>
      </c>
      <c r="D495" s="81" t="s">
        <v>552</v>
      </c>
      <c r="E495" s="72" t="s">
        <v>546</v>
      </c>
      <c r="F495" s="76">
        <v>2</v>
      </c>
      <c r="G495" s="72" t="s">
        <v>1300</v>
      </c>
      <c r="H495" s="78">
        <v>45749</v>
      </c>
      <c r="I495" s="86" t="s">
        <v>1299</v>
      </c>
      <c r="J495" s="72">
        <v>9</v>
      </c>
      <c r="K495" s="72"/>
      <c r="L495" s="72" t="s">
        <v>1301</v>
      </c>
      <c r="M495" s="78">
        <v>45783</v>
      </c>
      <c r="N495" s="72" t="s">
        <v>1299</v>
      </c>
      <c r="O495" s="72">
        <v>9</v>
      </c>
      <c r="P495" s="72"/>
      <c r="Q495" s="72"/>
      <c r="R495" s="78"/>
      <c r="S495" s="72"/>
      <c r="T495" s="72"/>
      <c r="U495" s="72"/>
      <c r="V495" s="72"/>
      <c r="W495" s="72"/>
      <c r="X495" s="72"/>
      <c r="Y495" s="72"/>
      <c r="Z495" s="72"/>
      <c r="AA495" s="79"/>
      <c r="AB495" s="79"/>
      <c r="AC495" s="79"/>
      <c r="AD495" s="79"/>
      <c r="AE495" s="79"/>
    </row>
    <row r="496" spans="1:31" ht="16.5" x14ac:dyDescent="0.35">
      <c r="A496" s="71">
        <v>490</v>
      </c>
      <c r="B496" s="72">
        <v>2005220142</v>
      </c>
      <c r="C496" s="80" t="s">
        <v>358</v>
      </c>
      <c r="D496" s="81" t="s">
        <v>36</v>
      </c>
      <c r="E496" s="72" t="s">
        <v>567</v>
      </c>
      <c r="F496" s="76">
        <v>4</v>
      </c>
      <c r="G496" s="72" t="s">
        <v>1300</v>
      </c>
      <c r="H496" s="78">
        <v>45443</v>
      </c>
      <c r="I496" s="72" t="s">
        <v>1299</v>
      </c>
      <c r="J496" s="72">
        <v>4.5</v>
      </c>
      <c r="K496" s="72"/>
      <c r="L496" s="72" t="s">
        <v>925</v>
      </c>
      <c r="M496" s="78">
        <v>45757</v>
      </c>
      <c r="N496" s="72" t="s">
        <v>1299</v>
      </c>
      <c r="O496" s="72">
        <v>8</v>
      </c>
      <c r="P496" s="72"/>
      <c r="Q496" s="72" t="s">
        <v>1301</v>
      </c>
      <c r="R496" s="78">
        <v>45783</v>
      </c>
      <c r="S496" s="72" t="s">
        <v>1299</v>
      </c>
      <c r="T496" s="72">
        <v>8.5</v>
      </c>
      <c r="U496" s="72"/>
      <c r="V496" s="72" t="s">
        <v>928</v>
      </c>
      <c r="W496" s="78">
        <v>45800</v>
      </c>
      <c r="X496" s="72" t="s">
        <v>1299</v>
      </c>
      <c r="Y496" s="72">
        <v>9</v>
      </c>
      <c r="Z496" s="72"/>
      <c r="AA496" s="79"/>
      <c r="AB496" s="79"/>
      <c r="AC496" s="79"/>
      <c r="AD496" s="79"/>
      <c r="AE496" s="79"/>
    </row>
    <row r="497" spans="1:31" ht="16.5" x14ac:dyDescent="0.35">
      <c r="A497" s="71">
        <v>491</v>
      </c>
      <c r="B497" s="72">
        <v>2005220110</v>
      </c>
      <c r="C497" s="80" t="s">
        <v>568</v>
      </c>
      <c r="D497" s="81" t="s">
        <v>36</v>
      </c>
      <c r="E497" s="72" t="s">
        <v>567</v>
      </c>
      <c r="F497" s="76">
        <v>2</v>
      </c>
      <c r="G497" s="72" t="s">
        <v>925</v>
      </c>
      <c r="H497" s="78">
        <v>45433</v>
      </c>
      <c r="I497" s="72" t="s">
        <v>1299</v>
      </c>
      <c r="J497" s="72">
        <v>8</v>
      </c>
      <c r="K497" s="72"/>
      <c r="L497" s="72" t="s">
        <v>928</v>
      </c>
      <c r="M497" s="78">
        <v>45800</v>
      </c>
      <c r="N497" s="72" t="s">
        <v>1299</v>
      </c>
      <c r="O497" s="72">
        <v>9</v>
      </c>
      <c r="P497" s="72"/>
      <c r="Q497" s="72"/>
      <c r="R497" s="78"/>
      <c r="S497" s="72"/>
      <c r="T497" s="72"/>
      <c r="U497" s="72"/>
      <c r="V497" s="72"/>
      <c r="W497" s="72"/>
      <c r="X497" s="72"/>
      <c r="Y497" s="72"/>
      <c r="Z497" s="72"/>
      <c r="AA497" s="79"/>
      <c r="AB497" s="79"/>
      <c r="AC497" s="79"/>
      <c r="AD497" s="79"/>
      <c r="AE497" s="79"/>
    </row>
    <row r="498" spans="1:31" ht="16.5" x14ac:dyDescent="0.35">
      <c r="A498" s="71">
        <v>492</v>
      </c>
      <c r="B498" s="72">
        <v>2005220325</v>
      </c>
      <c r="C498" s="80" t="s">
        <v>628</v>
      </c>
      <c r="D498" s="81" t="s">
        <v>268</v>
      </c>
      <c r="E498" s="72" t="s">
        <v>567</v>
      </c>
      <c r="F498" s="76">
        <v>2</v>
      </c>
      <c r="G498" s="72" t="s">
        <v>1298</v>
      </c>
      <c r="H498" s="78">
        <v>45632</v>
      </c>
      <c r="I498" s="72" t="s">
        <v>1299</v>
      </c>
      <c r="J498" s="72">
        <v>7</v>
      </c>
      <c r="K498" s="72"/>
      <c r="L498" s="72" t="s">
        <v>2042</v>
      </c>
      <c r="M498" s="78">
        <v>45672</v>
      </c>
      <c r="N498" s="72" t="s">
        <v>1299</v>
      </c>
      <c r="O498" s="72">
        <v>7</v>
      </c>
      <c r="P498" s="72"/>
      <c r="Q498" s="72"/>
      <c r="R498" s="78"/>
      <c r="S498" s="72"/>
      <c r="T498" s="72"/>
      <c r="U498" s="72"/>
      <c r="V498" s="72"/>
      <c r="W498" s="72"/>
      <c r="X498" s="72"/>
      <c r="Y498" s="72"/>
      <c r="Z498" s="72"/>
      <c r="AA498" s="79"/>
      <c r="AB498" s="79"/>
      <c r="AC498" s="79"/>
      <c r="AD498" s="79"/>
      <c r="AE498" s="79"/>
    </row>
    <row r="499" spans="1:31" ht="16.5" x14ac:dyDescent="0.35">
      <c r="A499" s="71">
        <v>493</v>
      </c>
      <c r="B499" s="72">
        <v>2005220379</v>
      </c>
      <c r="C499" s="80" t="s">
        <v>569</v>
      </c>
      <c r="D499" s="81" t="s">
        <v>570</v>
      </c>
      <c r="E499" s="72" t="s">
        <v>567</v>
      </c>
      <c r="F499" s="76">
        <v>2</v>
      </c>
      <c r="G499" s="72" t="s">
        <v>924</v>
      </c>
      <c r="H499" s="78">
        <v>45645</v>
      </c>
      <c r="I499" s="72" t="s">
        <v>1299</v>
      </c>
      <c r="J499" s="72">
        <v>9</v>
      </c>
      <c r="K499" s="72"/>
      <c r="L499" s="72" t="s">
        <v>1300</v>
      </c>
      <c r="M499" s="78">
        <v>45756</v>
      </c>
      <c r="N499" s="72" t="s">
        <v>1299</v>
      </c>
      <c r="O499" s="72">
        <v>7.5</v>
      </c>
      <c r="P499" s="72"/>
      <c r="Q499" s="72"/>
      <c r="R499" s="78"/>
      <c r="S499" s="72"/>
      <c r="T499" s="72"/>
      <c r="U499" s="72"/>
      <c r="V499" s="72"/>
      <c r="W499" s="72"/>
      <c r="X499" s="72"/>
      <c r="Y499" s="72"/>
      <c r="Z499" s="72"/>
      <c r="AA499" s="79"/>
      <c r="AB499" s="79"/>
      <c r="AC499" s="79"/>
      <c r="AD499" s="79"/>
      <c r="AE499" s="79"/>
    </row>
    <row r="500" spans="1:31" ht="16.5" x14ac:dyDescent="0.35">
      <c r="A500" s="71">
        <v>494</v>
      </c>
      <c r="B500" s="72">
        <v>2005220493</v>
      </c>
      <c r="C500" s="80" t="s">
        <v>571</v>
      </c>
      <c r="D500" s="81" t="s">
        <v>539</v>
      </c>
      <c r="E500" s="72" t="s">
        <v>567</v>
      </c>
      <c r="F500" s="76">
        <v>5</v>
      </c>
      <c r="G500" s="72" t="s">
        <v>1300</v>
      </c>
      <c r="H500" s="78">
        <v>45436</v>
      </c>
      <c r="I500" s="72" t="s">
        <v>1299</v>
      </c>
      <c r="J500" s="72">
        <v>7.5</v>
      </c>
      <c r="K500" s="72"/>
      <c r="L500" s="72" t="s">
        <v>1298</v>
      </c>
      <c r="M500" s="78">
        <v>45632</v>
      </c>
      <c r="N500" s="72" t="s">
        <v>1299</v>
      </c>
      <c r="O500" s="72">
        <v>8.5</v>
      </c>
      <c r="P500" s="72"/>
      <c r="Q500" s="72" t="s">
        <v>1301</v>
      </c>
      <c r="R500" s="78">
        <v>45785</v>
      </c>
      <c r="S500" s="72" t="s">
        <v>1299</v>
      </c>
      <c r="T500" s="72">
        <v>8</v>
      </c>
      <c r="U500" s="72"/>
      <c r="V500" s="72" t="s">
        <v>924</v>
      </c>
      <c r="W500" s="78">
        <v>45787</v>
      </c>
      <c r="X500" s="72" t="s">
        <v>1299</v>
      </c>
      <c r="Y500" s="72">
        <v>9.5</v>
      </c>
      <c r="Z500" s="72"/>
      <c r="AA500" s="72" t="s">
        <v>2042</v>
      </c>
      <c r="AB500" s="78">
        <v>45672</v>
      </c>
      <c r="AC500" s="72" t="s">
        <v>1299</v>
      </c>
      <c r="AD500" s="79">
        <v>8.5</v>
      </c>
      <c r="AE500" s="79"/>
    </row>
    <row r="501" spans="1:31" ht="16.5" x14ac:dyDescent="0.35">
      <c r="A501" s="71">
        <v>495</v>
      </c>
      <c r="B501" s="72">
        <v>2005220488</v>
      </c>
      <c r="C501" s="80" t="s">
        <v>572</v>
      </c>
      <c r="D501" s="81" t="s">
        <v>539</v>
      </c>
      <c r="E501" s="72" t="s">
        <v>567</v>
      </c>
      <c r="F501" s="76">
        <v>4</v>
      </c>
      <c r="G501" s="72" t="s">
        <v>1300</v>
      </c>
      <c r="H501" s="78">
        <v>45436</v>
      </c>
      <c r="I501" s="72" t="s">
        <v>1299</v>
      </c>
      <c r="J501" s="72">
        <v>8</v>
      </c>
      <c r="K501" s="72"/>
      <c r="L501" s="72" t="s">
        <v>1298</v>
      </c>
      <c r="M501" s="78">
        <v>45632</v>
      </c>
      <c r="N501" s="72" t="s">
        <v>1299</v>
      </c>
      <c r="O501" s="72">
        <v>8</v>
      </c>
      <c r="P501" s="72"/>
      <c r="Q501" s="72" t="s">
        <v>924</v>
      </c>
      <c r="R501" s="78">
        <v>45787</v>
      </c>
      <c r="S501" s="72" t="s">
        <v>1299</v>
      </c>
      <c r="T501" s="72">
        <v>10</v>
      </c>
      <c r="U501" s="72"/>
      <c r="V501" s="72" t="s">
        <v>2042</v>
      </c>
      <c r="W501" s="78">
        <v>45672</v>
      </c>
      <c r="X501" s="72" t="s">
        <v>1299</v>
      </c>
      <c r="Y501" s="72">
        <v>8</v>
      </c>
      <c r="Z501" s="72"/>
      <c r="AA501" s="79"/>
      <c r="AB501" s="79"/>
      <c r="AC501" s="79"/>
      <c r="AD501" s="79"/>
      <c r="AE501" s="79"/>
    </row>
    <row r="502" spans="1:31" ht="16.5" x14ac:dyDescent="0.35">
      <c r="A502" s="71">
        <v>496</v>
      </c>
      <c r="B502" s="72">
        <v>2005220648</v>
      </c>
      <c r="C502" s="80" t="s">
        <v>576</v>
      </c>
      <c r="D502" s="81" t="s">
        <v>577</v>
      </c>
      <c r="E502" s="72" t="s">
        <v>567</v>
      </c>
      <c r="F502" s="76">
        <v>2</v>
      </c>
      <c r="G502" s="72" t="s">
        <v>924</v>
      </c>
      <c r="H502" s="78">
        <v>45645</v>
      </c>
      <c r="I502" s="72" t="s">
        <v>1299</v>
      </c>
      <c r="J502" s="72">
        <v>9</v>
      </c>
      <c r="K502" s="72"/>
      <c r="L502" s="72" t="s">
        <v>1300</v>
      </c>
      <c r="M502" s="78">
        <v>45756</v>
      </c>
      <c r="N502" s="72" t="s">
        <v>1299</v>
      </c>
      <c r="O502" s="72">
        <v>8.5</v>
      </c>
      <c r="P502" s="72"/>
      <c r="Q502" s="72"/>
      <c r="R502" s="78"/>
      <c r="S502" s="72"/>
      <c r="T502" s="72"/>
      <c r="U502" s="72"/>
      <c r="V502" s="72"/>
      <c r="W502" s="72"/>
      <c r="X502" s="72"/>
      <c r="Y502" s="72"/>
      <c r="Z502" s="72"/>
      <c r="AA502" s="79"/>
      <c r="AB502" s="79"/>
      <c r="AC502" s="79"/>
      <c r="AD502" s="79"/>
      <c r="AE502" s="79"/>
    </row>
    <row r="503" spans="1:31" ht="16.5" x14ac:dyDescent="0.35">
      <c r="A503" s="71">
        <v>497</v>
      </c>
      <c r="B503" s="72">
        <v>2005220778</v>
      </c>
      <c r="C503" s="80" t="s">
        <v>1178</v>
      </c>
      <c r="D503" s="81" t="s">
        <v>84</v>
      </c>
      <c r="E503" s="72" t="s">
        <v>567</v>
      </c>
      <c r="F503" s="76">
        <v>1</v>
      </c>
      <c r="G503" s="72" t="s">
        <v>924</v>
      </c>
      <c r="H503" s="78">
        <v>45817</v>
      </c>
      <c r="I503" s="72" t="s">
        <v>1299</v>
      </c>
      <c r="J503" s="72">
        <v>8.5</v>
      </c>
      <c r="K503" s="72"/>
      <c r="L503" s="72"/>
      <c r="M503" s="72"/>
      <c r="N503" s="72"/>
      <c r="O503" s="72"/>
      <c r="P503" s="72"/>
      <c r="Q503" s="72"/>
      <c r="R503" s="78"/>
      <c r="S503" s="72"/>
      <c r="T503" s="72"/>
      <c r="U503" s="72"/>
      <c r="V503" s="72"/>
      <c r="W503" s="72"/>
      <c r="X503" s="72"/>
      <c r="Y503" s="72"/>
      <c r="Z503" s="72"/>
      <c r="AA503" s="79"/>
      <c r="AB503" s="79"/>
      <c r="AC503" s="79"/>
      <c r="AD503" s="79"/>
      <c r="AE503" s="79"/>
    </row>
    <row r="504" spans="1:31" ht="16.5" x14ac:dyDescent="0.35">
      <c r="A504" s="71">
        <v>498</v>
      </c>
      <c r="B504" s="72">
        <v>2005220782</v>
      </c>
      <c r="C504" s="80" t="s">
        <v>578</v>
      </c>
      <c r="D504" s="81" t="s">
        <v>84</v>
      </c>
      <c r="E504" s="72" t="s">
        <v>567</v>
      </c>
      <c r="F504" s="76">
        <v>3</v>
      </c>
      <c r="G504" s="72" t="s">
        <v>925</v>
      </c>
      <c r="H504" s="78">
        <v>45405</v>
      </c>
      <c r="I504" s="72" t="s">
        <v>1299</v>
      </c>
      <c r="J504" s="72">
        <v>9.5</v>
      </c>
      <c r="K504" s="72"/>
      <c r="L504" s="72" t="s">
        <v>1300</v>
      </c>
      <c r="M504" s="78">
        <v>45784</v>
      </c>
      <c r="N504" s="72" t="s">
        <v>1299</v>
      </c>
      <c r="O504" s="72">
        <v>6.5</v>
      </c>
      <c r="P504" s="72">
        <v>0.5</v>
      </c>
      <c r="Q504" s="79" t="s">
        <v>928</v>
      </c>
      <c r="R504" s="83">
        <v>45799</v>
      </c>
      <c r="S504" s="79" t="s">
        <v>1299</v>
      </c>
      <c r="T504" s="72">
        <v>5.5</v>
      </c>
      <c r="U504" s="72"/>
      <c r="V504" s="72"/>
      <c r="W504" s="72"/>
      <c r="X504" s="72"/>
      <c r="Y504" s="72"/>
      <c r="Z504" s="72"/>
      <c r="AA504" s="79"/>
      <c r="AB504" s="79"/>
      <c r="AC504" s="79"/>
      <c r="AD504" s="79"/>
      <c r="AE504" s="79"/>
    </row>
    <row r="505" spans="1:31" ht="16.5" x14ac:dyDescent="0.35">
      <c r="A505" s="71">
        <v>499</v>
      </c>
      <c r="B505" s="72">
        <v>2005220986</v>
      </c>
      <c r="C505" s="80" t="s">
        <v>573</v>
      </c>
      <c r="D505" s="81" t="s">
        <v>574</v>
      </c>
      <c r="E505" s="72" t="s">
        <v>567</v>
      </c>
      <c r="F505" s="76">
        <v>4</v>
      </c>
      <c r="G505" s="72" t="s">
        <v>925</v>
      </c>
      <c r="H505" s="78">
        <v>45405</v>
      </c>
      <c r="I505" s="72" t="s">
        <v>1299</v>
      </c>
      <c r="J505" s="72">
        <v>8.5</v>
      </c>
      <c r="K505" s="72"/>
      <c r="L505" s="79" t="s">
        <v>928</v>
      </c>
      <c r="M505" s="83">
        <v>45799</v>
      </c>
      <c r="N505" s="79" t="s">
        <v>1299</v>
      </c>
      <c r="O505" s="72">
        <v>9</v>
      </c>
      <c r="P505" s="72"/>
      <c r="Q505" s="72" t="s">
        <v>925</v>
      </c>
      <c r="R505" s="78">
        <v>45813</v>
      </c>
      <c r="S505" s="72" t="s">
        <v>1299</v>
      </c>
      <c r="T505" s="72">
        <v>9.5</v>
      </c>
      <c r="U505" s="72"/>
      <c r="V505" s="72" t="s">
        <v>924</v>
      </c>
      <c r="W505" s="78">
        <v>45776</v>
      </c>
      <c r="X505" s="72" t="s">
        <v>1299</v>
      </c>
      <c r="Y505" s="72">
        <v>9</v>
      </c>
      <c r="Z505" s="72"/>
      <c r="AA505" s="79"/>
      <c r="AB505" s="79"/>
      <c r="AC505" s="79"/>
      <c r="AD505" s="79"/>
      <c r="AE505" s="79"/>
    </row>
    <row r="506" spans="1:31" ht="16.5" x14ac:dyDescent="0.35">
      <c r="A506" s="71">
        <v>500</v>
      </c>
      <c r="B506" s="72">
        <v>2005221124</v>
      </c>
      <c r="C506" s="80" t="s">
        <v>579</v>
      </c>
      <c r="D506" s="81" t="s">
        <v>220</v>
      </c>
      <c r="E506" s="72" t="s">
        <v>567</v>
      </c>
      <c r="F506" s="76">
        <v>2</v>
      </c>
      <c r="G506" s="72" t="s">
        <v>924</v>
      </c>
      <c r="H506" s="78">
        <v>45645</v>
      </c>
      <c r="I506" s="72" t="s">
        <v>1299</v>
      </c>
      <c r="J506" s="72">
        <v>9</v>
      </c>
      <c r="K506" s="72"/>
      <c r="L506" s="72" t="s">
        <v>1300</v>
      </c>
      <c r="M506" s="78">
        <v>45756</v>
      </c>
      <c r="N506" s="72" t="s">
        <v>1299</v>
      </c>
      <c r="O506" s="72">
        <v>9.5</v>
      </c>
      <c r="P506" s="72"/>
      <c r="Q506" s="72"/>
      <c r="R506" s="78"/>
      <c r="S506" s="72"/>
      <c r="T506" s="72"/>
      <c r="U506" s="72"/>
      <c r="V506" s="72"/>
      <c r="W506" s="72"/>
      <c r="X506" s="72"/>
      <c r="Y506" s="72"/>
      <c r="Z506" s="72"/>
      <c r="AA506" s="79"/>
      <c r="AB506" s="79"/>
      <c r="AC506" s="79"/>
      <c r="AD506" s="79"/>
      <c r="AE506" s="79"/>
    </row>
    <row r="507" spans="1:31" ht="16.5" x14ac:dyDescent="0.35">
      <c r="A507" s="71">
        <v>501</v>
      </c>
      <c r="B507" s="72">
        <v>2005221179</v>
      </c>
      <c r="C507" s="80" t="s">
        <v>628</v>
      </c>
      <c r="D507" s="81" t="s">
        <v>75</v>
      </c>
      <c r="E507" s="72" t="s">
        <v>567</v>
      </c>
      <c r="F507" s="76">
        <v>3</v>
      </c>
      <c r="G507" s="72" t="s">
        <v>1300</v>
      </c>
      <c r="H507" s="78">
        <v>45756</v>
      </c>
      <c r="I507" s="72" t="s">
        <v>1299</v>
      </c>
      <c r="J507" s="72">
        <v>9.5</v>
      </c>
      <c r="K507" s="72"/>
      <c r="L507" s="72" t="s">
        <v>925</v>
      </c>
      <c r="M507" s="78">
        <v>45769</v>
      </c>
      <c r="N507" s="72" t="s">
        <v>1299</v>
      </c>
      <c r="O507" s="72">
        <v>10</v>
      </c>
      <c r="P507" s="72"/>
      <c r="Q507" s="72" t="s">
        <v>924</v>
      </c>
      <c r="R507" s="78">
        <v>45817</v>
      </c>
      <c r="S507" s="72" t="s">
        <v>1299</v>
      </c>
      <c r="T507" s="72">
        <v>5.5</v>
      </c>
      <c r="U507" s="72"/>
      <c r="V507" s="72"/>
      <c r="W507" s="72"/>
      <c r="X507" s="72"/>
      <c r="Y507" s="72"/>
      <c r="Z507" s="72"/>
      <c r="AA507" s="79"/>
      <c r="AB507" s="79"/>
      <c r="AC507" s="79"/>
      <c r="AD507" s="79"/>
      <c r="AE507" s="79"/>
    </row>
    <row r="508" spans="1:31" ht="16.5" x14ac:dyDescent="0.35">
      <c r="A508" s="71">
        <v>502</v>
      </c>
      <c r="B508" s="72">
        <v>2005221328</v>
      </c>
      <c r="C508" s="80" t="s">
        <v>580</v>
      </c>
      <c r="D508" s="81" t="s">
        <v>86</v>
      </c>
      <c r="E508" s="72" t="s">
        <v>567</v>
      </c>
      <c r="F508" s="76">
        <v>3</v>
      </c>
      <c r="G508" s="72" t="s">
        <v>924</v>
      </c>
      <c r="H508" s="78">
        <v>45637</v>
      </c>
      <c r="I508" s="72" t="s">
        <v>1299</v>
      </c>
      <c r="J508" s="72">
        <v>6.5</v>
      </c>
      <c r="K508" s="72"/>
      <c r="L508" s="72" t="s">
        <v>1300</v>
      </c>
      <c r="M508" s="78">
        <v>45728</v>
      </c>
      <c r="N508" s="72" t="s">
        <v>1299</v>
      </c>
      <c r="O508" s="72">
        <v>9</v>
      </c>
      <c r="P508" s="72"/>
      <c r="Q508" s="72" t="s">
        <v>1301</v>
      </c>
      <c r="R508" s="78">
        <v>45757</v>
      </c>
      <c r="S508" s="72" t="s">
        <v>1299</v>
      </c>
      <c r="T508" s="72">
        <v>9</v>
      </c>
      <c r="U508" s="72"/>
      <c r="V508" s="72"/>
      <c r="W508" s="72"/>
      <c r="X508" s="72"/>
      <c r="Y508" s="72"/>
      <c r="Z508" s="72"/>
      <c r="AA508" s="79"/>
      <c r="AB508" s="79"/>
      <c r="AC508" s="79"/>
      <c r="AD508" s="79"/>
      <c r="AE508" s="79"/>
    </row>
    <row r="509" spans="1:31" ht="16.5" x14ac:dyDescent="0.35">
      <c r="A509" s="71">
        <v>503</v>
      </c>
      <c r="B509" s="72">
        <v>2005221541</v>
      </c>
      <c r="C509" s="80" t="s">
        <v>124</v>
      </c>
      <c r="D509" s="81" t="s">
        <v>582</v>
      </c>
      <c r="E509" s="72" t="s">
        <v>567</v>
      </c>
      <c r="F509" s="76">
        <v>2</v>
      </c>
      <c r="G509" s="72" t="s">
        <v>924</v>
      </c>
      <c r="H509" s="78">
        <v>45798</v>
      </c>
      <c r="I509" s="72" t="s">
        <v>1299</v>
      </c>
      <c r="J509" s="72">
        <v>9.5</v>
      </c>
      <c r="K509" s="72">
        <v>0.5</v>
      </c>
      <c r="L509" s="72" t="s">
        <v>925</v>
      </c>
      <c r="M509" s="78">
        <v>45813</v>
      </c>
      <c r="N509" s="72" t="s">
        <v>1299</v>
      </c>
      <c r="O509" s="72">
        <v>10</v>
      </c>
      <c r="P509" s="72"/>
      <c r="Q509" s="72"/>
      <c r="R509" s="78"/>
      <c r="S509" s="72"/>
      <c r="T509" s="72"/>
      <c r="U509" s="72"/>
      <c r="V509" s="72"/>
      <c r="W509" s="72"/>
      <c r="X509" s="72"/>
      <c r="Y509" s="72"/>
      <c r="Z509" s="72"/>
      <c r="AA509" s="79"/>
      <c r="AB509" s="79"/>
      <c r="AC509" s="79"/>
      <c r="AD509" s="79"/>
      <c r="AE509" s="79"/>
    </row>
    <row r="510" spans="1:31" ht="16.5" x14ac:dyDescent="0.35">
      <c r="A510" s="71">
        <v>504</v>
      </c>
      <c r="B510" s="72">
        <v>2005221745</v>
      </c>
      <c r="C510" s="80" t="s">
        <v>585</v>
      </c>
      <c r="D510" s="81" t="s">
        <v>43</v>
      </c>
      <c r="E510" s="72" t="s">
        <v>567</v>
      </c>
      <c r="F510" s="76">
        <v>3</v>
      </c>
      <c r="G510" s="72" t="s">
        <v>925</v>
      </c>
      <c r="H510" s="78">
        <v>45433</v>
      </c>
      <c r="I510" s="72" t="s">
        <v>1299</v>
      </c>
      <c r="J510" s="72">
        <v>6</v>
      </c>
      <c r="K510" s="72"/>
      <c r="L510" s="72" t="s">
        <v>1300</v>
      </c>
      <c r="M510" s="78">
        <v>45631</v>
      </c>
      <c r="N510" s="72" t="s">
        <v>1299</v>
      </c>
      <c r="O510" s="72">
        <v>6</v>
      </c>
      <c r="P510" s="72"/>
      <c r="Q510" s="72" t="s">
        <v>924</v>
      </c>
      <c r="R510" s="78">
        <v>45787</v>
      </c>
      <c r="S510" s="72" t="s">
        <v>1299</v>
      </c>
      <c r="T510" s="72">
        <v>9</v>
      </c>
      <c r="U510" s="72">
        <v>1</v>
      </c>
      <c r="V510" s="72"/>
      <c r="W510" s="72"/>
      <c r="X510" s="72"/>
      <c r="Y510" s="72"/>
      <c r="Z510" s="72"/>
      <c r="AA510" s="79"/>
      <c r="AB510" s="79"/>
      <c r="AC510" s="79"/>
      <c r="AD510" s="79"/>
      <c r="AE510" s="79"/>
    </row>
    <row r="511" spans="1:31" ht="16.5" x14ac:dyDescent="0.35">
      <c r="A511" s="71">
        <v>505</v>
      </c>
      <c r="B511" s="72">
        <v>2005221865</v>
      </c>
      <c r="C511" s="80" t="s">
        <v>57</v>
      </c>
      <c r="D511" s="81" t="s">
        <v>583</v>
      </c>
      <c r="E511" s="72" t="s">
        <v>567</v>
      </c>
      <c r="F511" s="76">
        <v>2</v>
      </c>
      <c r="G511" s="72" t="s">
        <v>1301</v>
      </c>
      <c r="H511" s="78">
        <v>45629</v>
      </c>
      <c r="I511" s="72" t="s">
        <v>1299</v>
      </c>
      <c r="J511" s="72">
        <v>10</v>
      </c>
      <c r="K511" s="72"/>
      <c r="L511" s="72" t="s">
        <v>1300</v>
      </c>
      <c r="M511" s="78">
        <v>45644</v>
      </c>
      <c r="N511" s="72" t="s">
        <v>1299</v>
      </c>
      <c r="O511" s="72">
        <v>10</v>
      </c>
      <c r="P511" s="72"/>
      <c r="Q511" s="72"/>
      <c r="R511" s="78"/>
      <c r="S511" s="72"/>
      <c r="T511" s="72"/>
      <c r="U511" s="72"/>
      <c r="V511" s="72"/>
      <c r="W511" s="72"/>
      <c r="X511" s="72"/>
      <c r="Y511" s="72"/>
      <c r="Z511" s="72"/>
      <c r="AA511" s="79"/>
      <c r="AB511" s="79"/>
      <c r="AC511" s="79"/>
      <c r="AD511" s="79"/>
      <c r="AE511" s="79"/>
    </row>
    <row r="512" spans="1:31" ht="16.5" x14ac:dyDescent="0.35">
      <c r="A512" s="71">
        <v>506</v>
      </c>
      <c r="B512" s="72">
        <v>2005222042</v>
      </c>
      <c r="C512" s="80" t="s">
        <v>587</v>
      </c>
      <c r="D512" s="81" t="s">
        <v>588</v>
      </c>
      <c r="E512" s="72" t="s">
        <v>567</v>
      </c>
      <c r="F512" s="76">
        <v>2</v>
      </c>
      <c r="G512" s="72" t="s">
        <v>1301</v>
      </c>
      <c r="H512" s="78">
        <v>45629</v>
      </c>
      <c r="I512" s="72" t="s">
        <v>1299</v>
      </c>
      <c r="J512" s="72">
        <v>10</v>
      </c>
      <c r="K512" s="72"/>
      <c r="L512" s="72" t="s">
        <v>1300</v>
      </c>
      <c r="M512" s="78">
        <v>45644</v>
      </c>
      <c r="N512" s="72" t="s">
        <v>1299</v>
      </c>
      <c r="O512" s="72">
        <v>10</v>
      </c>
      <c r="P512" s="72"/>
      <c r="Q512" s="72"/>
      <c r="R512" s="78"/>
      <c r="S512" s="72"/>
      <c r="T512" s="72"/>
      <c r="U512" s="72"/>
      <c r="V512" s="72"/>
      <c r="W512" s="72"/>
      <c r="X512" s="72"/>
      <c r="Y512" s="72"/>
      <c r="Z512" s="72"/>
      <c r="AA512" s="79"/>
      <c r="AB512" s="79"/>
      <c r="AC512" s="79"/>
      <c r="AD512" s="79"/>
      <c r="AE512" s="79"/>
    </row>
    <row r="513" spans="1:31" ht="16.5" x14ac:dyDescent="0.35">
      <c r="A513" s="71">
        <v>507</v>
      </c>
      <c r="B513" s="72">
        <v>2005222306</v>
      </c>
      <c r="C513" s="80" t="s">
        <v>456</v>
      </c>
      <c r="D513" s="81" t="s">
        <v>29</v>
      </c>
      <c r="E513" s="72" t="s">
        <v>567</v>
      </c>
      <c r="F513" s="76">
        <v>4</v>
      </c>
      <c r="G513" s="79" t="s">
        <v>925</v>
      </c>
      <c r="H513" s="83">
        <v>45405</v>
      </c>
      <c r="I513" s="79" t="s">
        <v>1299</v>
      </c>
      <c r="J513" s="79">
        <v>9.5</v>
      </c>
      <c r="K513" s="79"/>
      <c r="L513" s="79" t="s">
        <v>1300</v>
      </c>
      <c r="M513" s="83">
        <v>45448</v>
      </c>
      <c r="N513" s="79" t="s">
        <v>1299</v>
      </c>
      <c r="O513" s="79">
        <v>9</v>
      </c>
      <c r="P513" s="79"/>
      <c r="Q513" s="79" t="s">
        <v>924</v>
      </c>
      <c r="R513" s="83">
        <v>45602</v>
      </c>
      <c r="S513" s="79" t="s">
        <v>1299</v>
      </c>
      <c r="T513" s="79">
        <v>8</v>
      </c>
      <c r="U513" s="79">
        <v>1</v>
      </c>
      <c r="V513" s="79" t="s">
        <v>928</v>
      </c>
      <c r="W513" s="83">
        <v>45799</v>
      </c>
      <c r="X513" s="79" t="s">
        <v>1299</v>
      </c>
      <c r="Y513" s="79">
        <v>10</v>
      </c>
      <c r="Z513" s="72"/>
      <c r="AA513" s="79"/>
      <c r="AB513" s="79"/>
      <c r="AC513" s="79"/>
      <c r="AD513" s="79"/>
      <c r="AE513" s="79"/>
    </row>
    <row r="514" spans="1:31" ht="16.5" x14ac:dyDescent="0.35">
      <c r="A514" s="71">
        <v>508</v>
      </c>
      <c r="B514" s="72">
        <v>2005222346</v>
      </c>
      <c r="C514" s="80" t="s">
        <v>589</v>
      </c>
      <c r="D514" s="81" t="s">
        <v>29</v>
      </c>
      <c r="E514" s="72" t="s">
        <v>567</v>
      </c>
      <c r="F514" s="76">
        <v>3</v>
      </c>
      <c r="G514" s="72" t="s">
        <v>924</v>
      </c>
      <c r="H514" s="78">
        <v>45637</v>
      </c>
      <c r="I514" s="72" t="s">
        <v>1299</v>
      </c>
      <c r="J514" s="72">
        <v>6.5</v>
      </c>
      <c r="K514" s="72"/>
      <c r="L514" s="72" t="s">
        <v>1300</v>
      </c>
      <c r="M514" s="78">
        <v>45728</v>
      </c>
      <c r="N514" s="72" t="s">
        <v>1299</v>
      </c>
      <c r="O514" s="72">
        <v>9</v>
      </c>
      <c r="P514" s="72"/>
      <c r="Q514" s="72" t="s">
        <v>1301</v>
      </c>
      <c r="R514" s="78">
        <v>45757</v>
      </c>
      <c r="S514" s="72" t="s">
        <v>1299</v>
      </c>
      <c r="T514" s="72">
        <v>8.5</v>
      </c>
      <c r="U514" s="72"/>
      <c r="V514" s="72"/>
      <c r="W514" s="72"/>
      <c r="X514" s="72"/>
      <c r="Y514" s="72"/>
      <c r="Z514" s="72"/>
      <c r="AA514" s="79"/>
      <c r="AB514" s="79"/>
      <c r="AC514" s="79"/>
      <c r="AD514" s="79"/>
      <c r="AE514" s="79"/>
    </row>
    <row r="515" spans="1:31" ht="16.5" x14ac:dyDescent="0.35">
      <c r="A515" s="71">
        <v>509</v>
      </c>
      <c r="B515" s="72">
        <v>2005222533</v>
      </c>
      <c r="C515" s="80" t="s">
        <v>348</v>
      </c>
      <c r="D515" s="81" t="s">
        <v>484</v>
      </c>
      <c r="E515" s="72" t="s">
        <v>567</v>
      </c>
      <c r="F515" s="76">
        <v>3</v>
      </c>
      <c r="G515" s="72" t="s">
        <v>1300</v>
      </c>
      <c r="H515" s="78">
        <v>45756</v>
      </c>
      <c r="I515" s="72" t="s">
        <v>1299</v>
      </c>
      <c r="J515" s="72">
        <v>8</v>
      </c>
      <c r="K515" s="72"/>
      <c r="L515" s="79" t="s">
        <v>928</v>
      </c>
      <c r="M515" s="83">
        <v>45799</v>
      </c>
      <c r="N515" s="79" t="s">
        <v>1299</v>
      </c>
      <c r="O515" s="72">
        <v>9.5</v>
      </c>
      <c r="P515" s="72"/>
      <c r="Q515" s="72" t="s">
        <v>924</v>
      </c>
      <c r="R515" s="78">
        <v>45776</v>
      </c>
      <c r="S515" s="72" t="s">
        <v>1299</v>
      </c>
      <c r="T515" s="72">
        <v>7</v>
      </c>
      <c r="U515" s="72"/>
      <c r="V515" s="72"/>
      <c r="W515" s="72"/>
      <c r="X515" s="72"/>
      <c r="Y515" s="72"/>
      <c r="Z515" s="72"/>
      <c r="AA515" s="79"/>
      <c r="AB515" s="79"/>
      <c r="AC515" s="79"/>
      <c r="AD515" s="79"/>
      <c r="AE515" s="79"/>
    </row>
    <row r="516" spans="1:31" ht="16.5" x14ac:dyDescent="0.35">
      <c r="A516" s="71">
        <v>510</v>
      </c>
      <c r="B516" s="72">
        <v>2005222677</v>
      </c>
      <c r="C516" s="80" t="s">
        <v>591</v>
      </c>
      <c r="D516" s="81" t="s">
        <v>91</v>
      </c>
      <c r="E516" s="72" t="s">
        <v>567</v>
      </c>
      <c r="F516" s="76">
        <v>3</v>
      </c>
      <c r="G516" s="72" t="s">
        <v>1300</v>
      </c>
      <c r="H516" s="78">
        <v>45728</v>
      </c>
      <c r="I516" s="72" t="s">
        <v>1299</v>
      </c>
      <c r="J516" s="72">
        <v>9</v>
      </c>
      <c r="K516" s="72"/>
      <c r="L516" s="72" t="s">
        <v>1301</v>
      </c>
      <c r="M516" s="78">
        <v>45757</v>
      </c>
      <c r="N516" s="72" t="s">
        <v>1299</v>
      </c>
      <c r="O516" s="72">
        <v>9</v>
      </c>
      <c r="P516" s="72"/>
      <c r="Q516" s="72" t="s">
        <v>924</v>
      </c>
      <c r="R516" s="78">
        <v>45798</v>
      </c>
      <c r="S516" s="72" t="s">
        <v>1299</v>
      </c>
      <c r="T516" s="72">
        <v>6.5</v>
      </c>
      <c r="U516" s="72">
        <v>0.5</v>
      </c>
      <c r="V516" s="72"/>
      <c r="W516" s="72"/>
      <c r="X516" s="72"/>
      <c r="Y516" s="72"/>
      <c r="Z516" s="72"/>
      <c r="AA516" s="79"/>
      <c r="AB516" s="79"/>
      <c r="AC516" s="79"/>
      <c r="AD516" s="79"/>
      <c r="AE516" s="79"/>
    </row>
    <row r="517" spans="1:31" ht="16.5" x14ac:dyDescent="0.35">
      <c r="A517" s="71">
        <v>511</v>
      </c>
      <c r="B517" s="72">
        <v>2005222916</v>
      </c>
      <c r="C517" s="80" t="s">
        <v>593</v>
      </c>
      <c r="D517" s="81" t="s">
        <v>92</v>
      </c>
      <c r="E517" s="72" t="s">
        <v>567</v>
      </c>
      <c r="F517" s="76">
        <v>1</v>
      </c>
      <c r="G517" s="72" t="s">
        <v>1300</v>
      </c>
      <c r="H517" s="78">
        <v>45728</v>
      </c>
      <c r="I517" s="72" t="s">
        <v>1299</v>
      </c>
      <c r="J517" s="72">
        <v>9.5</v>
      </c>
      <c r="K517" s="72"/>
      <c r="L517" s="72"/>
      <c r="M517" s="72"/>
      <c r="N517" s="72"/>
      <c r="O517" s="72"/>
      <c r="P517" s="72"/>
      <c r="Q517" s="72"/>
      <c r="R517" s="78"/>
      <c r="S517" s="72"/>
      <c r="T517" s="72"/>
      <c r="U517" s="72"/>
      <c r="V517" s="72"/>
      <c r="W517" s="72"/>
      <c r="X517" s="72"/>
      <c r="Y517" s="72"/>
      <c r="Z517" s="72"/>
      <c r="AA517" s="79"/>
      <c r="AB517" s="79"/>
      <c r="AC517" s="79"/>
      <c r="AD517" s="79"/>
      <c r="AE517" s="79"/>
    </row>
    <row r="518" spans="1:31" ht="16.5" x14ac:dyDescent="0.35">
      <c r="A518" s="71">
        <v>512</v>
      </c>
      <c r="B518" s="72">
        <v>2005222908</v>
      </c>
      <c r="C518" s="80" t="s">
        <v>594</v>
      </c>
      <c r="D518" s="81" t="s">
        <v>92</v>
      </c>
      <c r="E518" s="72" t="s">
        <v>567</v>
      </c>
      <c r="F518" s="76">
        <v>3</v>
      </c>
      <c r="G518" s="72" t="s">
        <v>925</v>
      </c>
      <c r="H518" s="78">
        <v>45433</v>
      </c>
      <c r="I518" s="72" t="s">
        <v>1299</v>
      </c>
      <c r="J518" s="72">
        <v>7.5</v>
      </c>
      <c r="K518" s="72"/>
      <c r="L518" s="72" t="s">
        <v>1300</v>
      </c>
      <c r="M518" s="78">
        <v>45784</v>
      </c>
      <c r="N518" s="72" t="s">
        <v>1299</v>
      </c>
      <c r="O518" s="72">
        <v>6.5</v>
      </c>
      <c r="P518" s="72"/>
      <c r="Q518" s="72" t="s">
        <v>924</v>
      </c>
      <c r="R518" s="78">
        <v>45803</v>
      </c>
      <c r="S518" s="72" t="s">
        <v>1299</v>
      </c>
      <c r="T518" s="72">
        <v>9.5</v>
      </c>
      <c r="U518" s="72"/>
      <c r="V518" s="72"/>
      <c r="W518" s="72"/>
      <c r="X518" s="72"/>
      <c r="Y518" s="72"/>
      <c r="Z518" s="72"/>
      <c r="AA518" s="79"/>
      <c r="AB518" s="79"/>
      <c r="AC518" s="79"/>
      <c r="AD518" s="79"/>
      <c r="AE518" s="79"/>
    </row>
    <row r="519" spans="1:31" ht="16.5" x14ac:dyDescent="0.35">
      <c r="A519" s="71">
        <v>513</v>
      </c>
      <c r="B519" s="72">
        <v>2005223003</v>
      </c>
      <c r="C519" s="80" t="s">
        <v>598</v>
      </c>
      <c r="D519" s="81" t="s">
        <v>241</v>
      </c>
      <c r="E519" s="72" t="s">
        <v>567</v>
      </c>
      <c r="F519" s="76">
        <v>4</v>
      </c>
      <c r="G519" s="72" t="s">
        <v>1298</v>
      </c>
      <c r="H519" s="78">
        <v>45632</v>
      </c>
      <c r="I519" s="72" t="s">
        <v>1299</v>
      </c>
      <c r="J519" s="72">
        <v>9</v>
      </c>
      <c r="K519" s="72"/>
      <c r="L519" s="72" t="s">
        <v>1301</v>
      </c>
      <c r="M519" s="78">
        <v>45785</v>
      </c>
      <c r="N519" s="72" t="s">
        <v>1299</v>
      </c>
      <c r="O519" s="72">
        <v>8.5</v>
      </c>
      <c r="P519" s="72"/>
      <c r="Q519" s="72" t="s">
        <v>924</v>
      </c>
      <c r="R519" s="78">
        <v>45798</v>
      </c>
      <c r="S519" s="72" t="s">
        <v>1299</v>
      </c>
      <c r="T519" s="72">
        <v>9</v>
      </c>
      <c r="U519" s="72"/>
      <c r="V519" s="72" t="s">
        <v>2042</v>
      </c>
      <c r="W519" s="78">
        <v>45672</v>
      </c>
      <c r="X519" s="72" t="s">
        <v>1299</v>
      </c>
      <c r="Y519" s="72">
        <v>9</v>
      </c>
      <c r="Z519" s="72"/>
      <c r="AA519" s="79"/>
      <c r="AB519" s="79"/>
      <c r="AC519" s="79"/>
      <c r="AD519" s="79"/>
      <c r="AE519" s="79"/>
    </row>
    <row r="520" spans="1:31" ht="16.5" x14ac:dyDescent="0.35">
      <c r="A520" s="71">
        <v>514</v>
      </c>
      <c r="B520" s="72">
        <v>2005222987</v>
      </c>
      <c r="C520" s="80" t="s">
        <v>596</v>
      </c>
      <c r="D520" s="81" t="s">
        <v>241</v>
      </c>
      <c r="E520" s="72" t="s">
        <v>567</v>
      </c>
      <c r="F520" s="76">
        <v>3</v>
      </c>
      <c r="G520" s="72" t="s">
        <v>1300</v>
      </c>
      <c r="H520" s="78">
        <v>45749</v>
      </c>
      <c r="I520" s="86" t="s">
        <v>1299</v>
      </c>
      <c r="J520" s="72">
        <v>8.5</v>
      </c>
      <c r="K520" s="72"/>
      <c r="L520" s="72" t="s">
        <v>925</v>
      </c>
      <c r="M520" s="78">
        <v>45769</v>
      </c>
      <c r="N520" s="72" t="s">
        <v>1299</v>
      </c>
      <c r="O520" s="72">
        <v>8.5</v>
      </c>
      <c r="P520" s="72"/>
      <c r="Q520" s="72" t="s">
        <v>2042</v>
      </c>
      <c r="R520" s="78">
        <v>45672</v>
      </c>
      <c r="S520" s="72" t="s">
        <v>1299</v>
      </c>
      <c r="T520" s="72">
        <v>9</v>
      </c>
      <c r="U520" s="72"/>
      <c r="V520" s="72"/>
      <c r="W520" s="72"/>
      <c r="X520" s="72"/>
      <c r="Y520" s="72"/>
      <c r="Z520" s="72"/>
      <c r="AA520" s="79"/>
      <c r="AB520" s="79"/>
      <c r="AC520" s="79"/>
      <c r="AD520" s="79"/>
      <c r="AE520" s="79"/>
    </row>
    <row r="521" spans="1:31" ht="16.5" x14ac:dyDescent="0.35">
      <c r="A521" s="71">
        <v>515</v>
      </c>
      <c r="B521" s="72">
        <v>2005223147</v>
      </c>
      <c r="C521" s="80" t="s">
        <v>1180</v>
      </c>
      <c r="D521" s="81" t="s">
        <v>205</v>
      </c>
      <c r="E521" s="72" t="s">
        <v>567</v>
      </c>
      <c r="F521" s="76">
        <v>2</v>
      </c>
      <c r="G521" s="72" t="s">
        <v>1300</v>
      </c>
      <c r="H521" s="78">
        <v>45728</v>
      </c>
      <c r="I521" s="72" t="s">
        <v>1299</v>
      </c>
      <c r="J521" s="72">
        <v>8.5</v>
      </c>
      <c r="K521" s="72"/>
      <c r="L521" s="72" t="s">
        <v>924</v>
      </c>
      <c r="M521" s="78">
        <v>45817</v>
      </c>
      <c r="N521" s="72" t="s">
        <v>1299</v>
      </c>
      <c r="O521" s="72">
        <v>8.5</v>
      </c>
      <c r="P521" s="72"/>
      <c r="Q521" s="72"/>
      <c r="R521" s="78"/>
      <c r="S521" s="72"/>
      <c r="T521" s="72"/>
      <c r="U521" s="72"/>
      <c r="V521" s="72"/>
      <c r="W521" s="72"/>
      <c r="X521" s="72"/>
      <c r="Y521" s="72"/>
      <c r="Z521" s="72"/>
      <c r="AA521" s="79"/>
      <c r="AB521" s="79"/>
      <c r="AC521" s="79"/>
      <c r="AD521" s="79"/>
      <c r="AE521" s="79"/>
    </row>
    <row r="522" spans="1:31" ht="16.5" x14ac:dyDescent="0.35">
      <c r="A522" s="71">
        <v>516</v>
      </c>
      <c r="B522" s="72">
        <v>2005223328</v>
      </c>
      <c r="C522" s="80" t="s">
        <v>530</v>
      </c>
      <c r="D522" s="81" t="s">
        <v>76</v>
      </c>
      <c r="E522" s="72" t="s">
        <v>567</v>
      </c>
      <c r="F522" s="76">
        <v>3</v>
      </c>
      <c r="G522" s="72" t="s">
        <v>1300</v>
      </c>
      <c r="H522" s="78">
        <v>45721</v>
      </c>
      <c r="I522" s="72" t="s">
        <v>1299</v>
      </c>
      <c r="J522" s="72">
        <v>8</v>
      </c>
      <c r="K522" s="72"/>
      <c r="L522" s="72" t="s">
        <v>1301</v>
      </c>
      <c r="M522" s="78">
        <v>45783</v>
      </c>
      <c r="N522" s="72" t="s">
        <v>1299</v>
      </c>
      <c r="O522" s="72">
        <v>8.5</v>
      </c>
      <c r="P522" s="72"/>
      <c r="Q522" s="72" t="s">
        <v>924</v>
      </c>
      <c r="R522" s="78">
        <v>45817</v>
      </c>
      <c r="S522" s="72" t="s">
        <v>1299</v>
      </c>
      <c r="T522" s="72">
        <v>8.5</v>
      </c>
      <c r="U522" s="72"/>
      <c r="V522" s="72"/>
      <c r="W522" s="72"/>
      <c r="X522" s="72"/>
      <c r="Y522" s="72"/>
      <c r="Z522" s="72"/>
      <c r="AA522" s="79"/>
      <c r="AB522" s="79"/>
      <c r="AC522" s="79"/>
      <c r="AD522" s="79"/>
      <c r="AE522" s="79"/>
    </row>
    <row r="523" spans="1:31" ht="16.5" x14ac:dyDescent="0.35">
      <c r="A523" s="71">
        <v>517</v>
      </c>
      <c r="B523" s="72">
        <v>2005223329</v>
      </c>
      <c r="C523" s="80" t="s">
        <v>1181</v>
      </c>
      <c r="D523" s="81" t="s">
        <v>76</v>
      </c>
      <c r="E523" s="72" t="s">
        <v>567</v>
      </c>
      <c r="F523" s="76">
        <v>2</v>
      </c>
      <c r="G523" s="72" t="s">
        <v>1300</v>
      </c>
      <c r="H523" s="78">
        <v>45728</v>
      </c>
      <c r="I523" s="72" t="s">
        <v>1299</v>
      </c>
      <c r="J523" s="72">
        <v>9</v>
      </c>
      <c r="K523" s="72"/>
      <c r="L523" s="72" t="s">
        <v>924</v>
      </c>
      <c r="M523" s="78">
        <v>45817</v>
      </c>
      <c r="N523" s="72" t="s">
        <v>1299</v>
      </c>
      <c r="O523" s="72">
        <v>8.5</v>
      </c>
      <c r="P523" s="72"/>
      <c r="Q523" s="72"/>
      <c r="R523" s="78"/>
      <c r="S523" s="72"/>
      <c r="T523" s="72"/>
      <c r="U523" s="72"/>
      <c r="V523" s="72"/>
      <c r="W523" s="72"/>
      <c r="X523" s="72"/>
      <c r="Y523" s="72"/>
      <c r="Z523" s="72"/>
      <c r="AA523" s="79"/>
      <c r="AB523" s="79"/>
      <c r="AC523" s="79"/>
      <c r="AD523" s="79"/>
      <c r="AE523" s="79"/>
    </row>
    <row r="524" spans="1:31" ht="16.5" x14ac:dyDescent="0.35">
      <c r="A524" s="71">
        <v>518</v>
      </c>
      <c r="B524" s="72">
        <v>2005223490</v>
      </c>
      <c r="C524" s="80" t="s">
        <v>599</v>
      </c>
      <c r="D524" s="81" t="s">
        <v>318</v>
      </c>
      <c r="E524" s="72" t="s">
        <v>567</v>
      </c>
      <c r="F524" s="76">
        <v>4</v>
      </c>
      <c r="G524" s="72" t="s">
        <v>925</v>
      </c>
      <c r="H524" s="78">
        <v>45405</v>
      </c>
      <c r="I524" s="72" t="s">
        <v>1299</v>
      </c>
      <c r="J524" s="72">
        <v>8.5</v>
      </c>
      <c r="K524" s="72"/>
      <c r="L524" s="72" t="s">
        <v>1300</v>
      </c>
      <c r="M524" s="78">
        <v>45744</v>
      </c>
      <c r="N524" s="72" t="s">
        <v>1299</v>
      </c>
      <c r="O524" s="72">
        <v>7.5</v>
      </c>
      <c r="P524" s="72"/>
      <c r="Q524" s="72" t="s">
        <v>924</v>
      </c>
      <c r="R524" s="78">
        <v>45786</v>
      </c>
      <c r="S524" s="72" t="s">
        <v>1299</v>
      </c>
      <c r="T524" s="72">
        <v>8.5</v>
      </c>
      <c r="U524" s="72"/>
      <c r="V524" s="72" t="s">
        <v>925</v>
      </c>
      <c r="W524" s="78">
        <v>45813</v>
      </c>
      <c r="X524" s="72" t="s">
        <v>1299</v>
      </c>
      <c r="Y524" s="72">
        <v>7</v>
      </c>
      <c r="Z524" s="72"/>
      <c r="AA524" s="79"/>
      <c r="AB524" s="79"/>
      <c r="AC524" s="79"/>
      <c r="AD524" s="79"/>
      <c r="AE524" s="79"/>
    </row>
    <row r="525" spans="1:31" ht="16.5" x14ac:dyDescent="0.35">
      <c r="A525" s="71">
        <v>519</v>
      </c>
      <c r="B525" s="72">
        <v>2005223597</v>
      </c>
      <c r="C525" s="80" t="s">
        <v>602</v>
      </c>
      <c r="D525" s="81" t="s">
        <v>303</v>
      </c>
      <c r="E525" s="72" t="s">
        <v>567</v>
      </c>
      <c r="F525" s="76">
        <v>4</v>
      </c>
      <c r="G525" s="72" t="s">
        <v>1298</v>
      </c>
      <c r="H525" s="78">
        <v>45632</v>
      </c>
      <c r="I525" s="72" t="s">
        <v>1299</v>
      </c>
      <c r="J525" s="72">
        <v>8.5</v>
      </c>
      <c r="K525" s="72"/>
      <c r="L525" s="72" t="s">
        <v>1301</v>
      </c>
      <c r="M525" s="78">
        <v>45785</v>
      </c>
      <c r="N525" s="72" t="s">
        <v>1299</v>
      </c>
      <c r="O525" s="72">
        <v>6.5</v>
      </c>
      <c r="P525" s="72"/>
      <c r="Q525" s="72" t="s">
        <v>924</v>
      </c>
      <c r="R525" s="78">
        <v>45817</v>
      </c>
      <c r="S525" s="72" t="s">
        <v>1299</v>
      </c>
      <c r="T525" s="72">
        <v>6.5</v>
      </c>
      <c r="U525" s="72"/>
      <c r="V525" s="72" t="s">
        <v>2042</v>
      </c>
      <c r="W525" s="78">
        <v>45672</v>
      </c>
      <c r="X525" s="72" t="s">
        <v>1299</v>
      </c>
      <c r="Y525" s="72">
        <v>8</v>
      </c>
      <c r="Z525" s="72"/>
      <c r="AA525" s="79"/>
      <c r="AB525" s="79"/>
      <c r="AC525" s="79"/>
      <c r="AD525" s="79"/>
      <c r="AE525" s="79"/>
    </row>
    <row r="526" spans="1:31" ht="16.5" x14ac:dyDescent="0.35">
      <c r="A526" s="71">
        <v>520</v>
      </c>
      <c r="B526" s="72">
        <v>2005223637</v>
      </c>
      <c r="C526" s="80" t="s">
        <v>600</v>
      </c>
      <c r="D526" s="81" t="s">
        <v>601</v>
      </c>
      <c r="E526" s="72" t="s">
        <v>567</v>
      </c>
      <c r="F526" s="76">
        <v>3</v>
      </c>
      <c r="G526" s="72" t="s">
        <v>924</v>
      </c>
      <c r="H526" s="78">
        <v>45637</v>
      </c>
      <c r="I526" s="72" t="s">
        <v>1299</v>
      </c>
      <c r="J526" s="72">
        <v>9</v>
      </c>
      <c r="K526" s="72"/>
      <c r="L526" s="72" t="s">
        <v>1301</v>
      </c>
      <c r="M526" s="78">
        <v>45783</v>
      </c>
      <c r="N526" s="72" t="s">
        <v>1299</v>
      </c>
      <c r="O526" s="72">
        <v>8.5</v>
      </c>
      <c r="P526" s="72"/>
      <c r="Q526" s="79" t="s">
        <v>928</v>
      </c>
      <c r="R526" s="83">
        <v>45799</v>
      </c>
      <c r="S526" s="79" t="s">
        <v>1299</v>
      </c>
      <c r="T526" s="72">
        <v>9.5</v>
      </c>
      <c r="U526" s="72"/>
      <c r="V526" s="72"/>
      <c r="W526" s="72"/>
      <c r="X526" s="72"/>
      <c r="Y526" s="72"/>
      <c r="Z526" s="72"/>
      <c r="AA526" s="79"/>
      <c r="AB526" s="79"/>
      <c r="AC526" s="79"/>
      <c r="AD526" s="79"/>
      <c r="AE526" s="79"/>
    </row>
    <row r="527" spans="1:31" ht="16.5" x14ac:dyDescent="0.35">
      <c r="A527" s="71">
        <v>521</v>
      </c>
      <c r="B527" s="72">
        <v>2005223728</v>
      </c>
      <c r="C527" s="80" t="s">
        <v>604</v>
      </c>
      <c r="D527" s="81" t="s">
        <v>154</v>
      </c>
      <c r="E527" s="72" t="s">
        <v>567</v>
      </c>
      <c r="F527" s="76">
        <v>4</v>
      </c>
      <c r="G527" s="72" t="s">
        <v>1298</v>
      </c>
      <c r="H527" s="78">
        <v>45632</v>
      </c>
      <c r="I527" s="72" t="s">
        <v>1299</v>
      </c>
      <c r="J527" s="72">
        <v>8.5</v>
      </c>
      <c r="K527" s="72"/>
      <c r="L527" s="72" t="s">
        <v>1300</v>
      </c>
      <c r="M527" s="78">
        <v>45784</v>
      </c>
      <c r="N527" s="72" t="s">
        <v>1299</v>
      </c>
      <c r="O527" s="72">
        <v>7.5</v>
      </c>
      <c r="P527" s="72"/>
      <c r="Q527" s="72" t="s">
        <v>924</v>
      </c>
      <c r="R527" s="78">
        <v>45787</v>
      </c>
      <c r="S527" s="72" t="s">
        <v>1299</v>
      </c>
      <c r="T527" s="72">
        <v>9.5</v>
      </c>
      <c r="U527" s="72"/>
      <c r="V527" s="72" t="s">
        <v>2042</v>
      </c>
      <c r="W527" s="78">
        <v>45672</v>
      </c>
      <c r="X527" s="72" t="s">
        <v>1299</v>
      </c>
      <c r="Y527" s="72">
        <v>8</v>
      </c>
      <c r="Z527" s="72"/>
      <c r="AA527" s="79"/>
      <c r="AB527" s="79"/>
      <c r="AC527" s="79"/>
      <c r="AD527" s="79"/>
      <c r="AE527" s="79"/>
    </row>
    <row r="528" spans="1:31" ht="16.5" x14ac:dyDescent="0.35">
      <c r="A528" s="71">
        <v>522</v>
      </c>
      <c r="B528" s="72">
        <v>2005224197</v>
      </c>
      <c r="C528" s="80" t="s">
        <v>600</v>
      </c>
      <c r="D528" s="81" t="s">
        <v>605</v>
      </c>
      <c r="E528" s="72" t="s">
        <v>567</v>
      </c>
      <c r="F528" s="76">
        <v>3</v>
      </c>
      <c r="G528" s="72" t="s">
        <v>1300</v>
      </c>
      <c r="H528" s="78">
        <v>45631</v>
      </c>
      <c r="I528" s="72" t="s">
        <v>1299</v>
      </c>
      <c r="J528" s="72">
        <v>7</v>
      </c>
      <c r="K528" s="72"/>
      <c r="L528" s="72" t="s">
        <v>1301</v>
      </c>
      <c r="M528" s="78">
        <v>45783</v>
      </c>
      <c r="N528" s="72" t="s">
        <v>1299</v>
      </c>
      <c r="O528" s="72">
        <v>9</v>
      </c>
      <c r="P528" s="72"/>
      <c r="Q528" s="79" t="s">
        <v>928</v>
      </c>
      <c r="R528" s="83">
        <v>45799</v>
      </c>
      <c r="S528" s="79" t="s">
        <v>1299</v>
      </c>
      <c r="T528" s="72">
        <v>9</v>
      </c>
      <c r="U528" s="72"/>
      <c r="V528" s="72"/>
      <c r="W528" s="72"/>
      <c r="X528" s="72"/>
      <c r="Y528" s="72"/>
      <c r="Z528" s="72"/>
      <c r="AA528" s="79"/>
      <c r="AB528" s="79"/>
      <c r="AC528" s="79"/>
      <c r="AD528" s="79"/>
      <c r="AE528" s="79"/>
    </row>
    <row r="529" spans="1:31" ht="16.5" x14ac:dyDescent="0.35">
      <c r="A529" s="71">
        <v>523</v>
      </c>
      <c r="B529" s="72">
        <v>2005224276</v>
      </c>
      <c r="C529" s="80" t="s">
        <v>1183</v>
      </c>
      <c r="D529" s="81" t="s">
        <v>142</v>
      </c>
      <c r="E529" s="72" t="s">
        <v>567</v>
      </c>
      <c r="F529" s="76">
        <v>1</v>
      </c>
      <c r="G529" s="72" t="s">
        <v>924</v>
      </c>
      <c r="H529" s="78">
        <v>45787</v>
      </c>
      <c r="I529" s="72" t="s">
        <v>1299</v>
      </c>
      <c r="J529" s="72">
        <v>9.5</v>
      </c>
      <c r="K529" s="72"/>
      <c r="L529" s="72" t="s">
        <v>1290</v>
      </c>
      <c r="M529" s="78" t="s">
        <v>1290</v>
      </c>
      <c r="N529" s="72" t="s">
        <v>1290</v>
      </c>
      <c r="O529" s="72"/>
      <c r="P529" s="72"/>
      <c r="Q529" s="72"/>
      <c r="R529" s="78"/>
      <c r="S529" s="72"/>
      <c r="T529" s="72"/>
      <c r="U529" s="72"/>
      <c r="V529" s="72"/>
      <c r="W529" s="72"/>
      <c r="X529" s="72"/>
      <c r="Y529" s="72"/>
      <c r="Z529" s="72"/>
      <c r="AA529" s="79"/>
      <c r="AB529" s="79"/>
      <c r="AC529" s="79"/>
      <c r="AD529" s="79"/>
      <c r="AE529" s="79"/>
    </row>
    <row r="530" spans="1:31" ht="16.5" x14ac:dyDescent="0.35">
      <c r="A530" s="71">
        <v>524</v>
      </c>
      <c r="B530" s="72">
        <v>2005224504</v>
      </c>
      <c r="C530" s="80" t="s">
        <v>621</v>
      </c>
      <c r="D530" s="81" t="s">
        <v>335</v>
      </c>
      <c r="E530" s="72" t="s">
        <v>567</v>
      </c>
      <c r="F530" s="76">
        <v>2</v>
      </c>
      <c r="G530" s="72" t="s">
        <v>1301</v>
      </c>
      <c r="H530" s="78">
        <v>45629</v>
      </c>
      <c r="I530" s="72" t="s">
        <v>1299</v>
      </c>
      <c r="J530" s="72">
        <v>10</v>
      </c>
      <c r="K530" s="72"/>
      <c r="L530" s="72" t="s">
        <v>1300</v>
      </c>
      <c r="M530" s="78">
        <v>45644</v>
      </c>
      <c r="N530" s="72" t="s">
        <v>1299</v>
      </c>
      <c r="O530" s="72">
        <v>10</v>
      </c>
      <c r="P530" s="72"/>
      <c r="Q530" s="72"/>
      <c r="R530" s="78"/>
      <c r="S530" s="72"/>
      <c r="T530" s="72"/>
      <c r="U530" s="72"/>
      <c r="V530" s="72"/>
      <c r="W530" s="72"/>
      <c r="X530" s="72"/>
      <c r="Y530" s="72"/>
      <c r="Z530" s="72"/>
      <c r="AA530" s="79"/>
      <c r="AB530" s="79"/>
      <c r="AC530" s="79"/>
      <c r="AD530" s="79"/>
      <c r="AE530" s="79"/>
    </row>
    <row r="531" spans="1:31" ht="16.5" x14ac:dyDescent="0.35">
      <c r="A531" s="71">
        <v>525</v>
      </c>
      <c r="B531" s="72">
        <v>2005224486</v>
      </c>
      <c r="C531" s="80" t="s">
        <v>619</v>
      </c>
      <c r="D531" s="81" t="s">
        <v>335</v>
      </c>
      <c r="E531" s="72" t="s">
        <v>567</v>
      </c>
      <c r="F531" s="76">
        <v>3</v>
      </c>
      <c r="G531" s="72" t="s">
        <v>1298</v>
      </c>
      <c r="H531" s="78">
        <v>45632</v>
      </c>
      <c r="I531" s="72" t="s">
        <v>1299</v>
      </c>
      <c r="J531" s="72">
        <v>8.5</v>
      </c>
      <c r="K531" s="72"/>
      <c r="L531" s="72" t="s">
        <v>1301</v>
      </c>
      <c r="M531" s="78">
        <v>45757</v>
      </c>
      <c r="N531" s="72" t="s">
        <v>1299</v>
      </c>
      <c r="O531" s="72">
        <v>8.5</v>
      </c>
      <c r="P531" s="72"/>
      <c r="Q531" s="72" t="s">
        <v>2042</v>
      </c>
      <c r="R531" s="78">
        <v>45672</v>
      </c>
      <c r="S531" s="72" t="s">
        <v>1299</v>
      </c>
      <c r="T531" s="72">
        <v>8.5</v>
      </c>
      <c r="U531" s="72"/>
      <c r="V531" s="72"/>
      <c r="W531" s="72"/>
      <c r="X531" s="72"/>
      <c r="Y531" s="72"/>
      <c r="Z531" s="72"/>
      <c r="AA531" s="79"/>
      <c r="AB531" s="79"/>
      <c r="AC531" s="79"/>
      <c r="AD531" s="79"/>
      <c r="AE531" s="79"/>
    </row>
    <row r="532" spans="1:31" ht="16.5" x14ac:dyDescent="0.35">
      <c r="A532" s="71">
        <v>526</v>
      </c>
      <c r="B532" s="72">
        <v>2005224531</v>
      </c>
      <c r="C532" s="80" t="s">
        <v>9</v>
      </c>
      <c r="D532" s="81" t="s">
        <v>117</v>
      </c>
      <c r="E532" s="72" t="s">
        <v>567</v>
      </c>
      <c r="F532" s="76">
        <v>3</v>
      </c>
      <c r="G532" s="72" t="s">
        <v>1298</v>
      </c>
      <c r="H532" s="78">
        <v>45632</v>
      </c>
      <c r="I532" s="72" t="s">
        <v>1299</v>
      </c>
      <c r="J532" s="72">
        <v>8</v>
      </c>
      <c r="K532" s="72"/>
      <c r="L532" s="72" t="s">
        <v>1300</v>
      </c>
      <c r="M532" s="78">
        <v>45728</v>
      </c>
      <c r="N532" s="72" t="s">
        <v>1299</v>
      </c>
      <c r="O532" s="72">
        <v>10</v>
      </c>
      <c r="P532" s="72"/>
      <c r="Q532" s="72" t="s">
        <v>2042</v>
      </c>
      <c r="R532" s="78">
        <v>45672</v>
      </c>
      <c r="S532" s="72" t="s">
        <v>1299</v>
      </c>
      <c r="T532" s="72">
        <v>9</v>
      </c>
      <c r="U532" s="72"/>
      <c r="V532" s="72"/>
      <c r="W532" s="72"/>
      <c r="X532" s="72"/>
      <c r="Y532" s="72"/>
      <c r="Z532" s="72"/>
      <c r="AA532" s="79"/>
      <c r="AB532" s="79"/>
      <c r="AC532" s="79"/>
      <c r="AD532" s="79"/>
      <c r="AE532" s="79"/>
    </row>
    <row r="533" spans="1:31" ht="16.5" x14ac:dyDescent="0.35">
      <c r="A533" s="71">
        <v>527</v>
      </c>
      <c r="B533" s="72">
        <v>2005224589</v>
      </c>
      <c r="C533" s="80" t="s">
        <v>622</v>
      </c>
      <c r="D533" s="81" t="s">
        <v>306</v>
      </c>
      <c r="E533" s="72" t="s">
        <v>567</v>
      </c>
      <c r="F533" s="76">
        <v>2</v>
      </c>
      <c r="G533" s="72" t="s">
        <v>1298</v>
      </c>
      <c r="H533" s="78">
        <v>45632</v>
      </c>
      <c r="I533" s="72" t="s">
        <v>1299</v>
      </c>
      <c r="J533" s="72">
        <v>9</v>
      </c>
      <c r="K533" s="72"/>
      <c r="L533" s="72" t="s">
        <v>2042</v>
      </c>
      <c r="M533" s="78">
        <v>45672</v>
      </c>
      <c r="N533" s="72" t="s">
        <v>1299</v>
      </c>
      <c r="O533" s="72">
        <v>8</v>
      </c>
      <c r="P533" s="72"/>
      <c r="Q533" s="72"/>
      <c r="R533" s="78"/>
      <c r="S533" s="72"/>
      <c r="T533" s="72"/>
      <c r="U533" s="72"/>
      <c r="V533" s="72"/>
      <c r="W533" s="72"/>
      <c r="X533" s="72"/>
      <c r="Y533" s="72"/>
      <c r="Z533" s="72"/>
      <c r="AA533" s="79"/>
      <c r="AB533" s="79"/>
      <c r="AC533" s="79"/>
      <c r="AD533" s="79"/>
      <c r="AE533" s="79"/>
    </row>
    <row r="534" spans="1:31" ht="16.5" x14ac:dyDescent="0.35">
      <c r="A534" s="71">
        <v>528</v>
      </c>
      <c r="B534" s="72">
        <v>2005224888</v>
      </c>
      <c r="C534" s="80" t="s">
        <v>606</v>
      </c>
      <c r="D534" s="81" t="s">
        <v>304</v>
      </c>
      <c r="E534" s="72" t="s">
        <v>567</v>
      </c>
      <c r="F534" s="76">
        <v>4</v>
      </c>
      <c r="G534" s="72" t="s">
        <v>1298</v>
      </c>
      <c r="H534" s="78">
        <v>45632</v>
      </c>
      <c r="I534" s="72" t="s">
        <v>1299</v>
      </c>
      <c r="J534" s="72">
        <v>9</v>
      </c>
      <c r="K534" s="72"/>
      <c r="L534" s="72" t="s">
        <v>1301</v>
      </c>
      <c r="M534" s="78">
        <v>45785</v>
      </c>
      <c r="N534" s="72" t="s">
        <v>1299</v>
      </c>
      <c r="O534" s="72">
        <v>9.5</v>
      </c>
      <c r="P534" s="72"/>
      <c r="Q534" s="72" t="s">
        <v>924</v>
      </c>
      <c r="R534" s="78">
        <v>45798</v>
      </c>
      <c r="S534" s="72" t="s">
        <v>1299</v>
      </c>
      <c r="T534" s="72">
        <v>9.5</v>
      </c>
      <c r="U534" s="72"/>
      <c r="V534" s="72" t="s">
        <v>2042</v>
      </c>
      <c r="W534" s="78">
        <v>45672</v>
      </c>
      <c r="X534" s="72" t="s">
        <v>1299</v>
      </c>
      <c r="Y534" s="72">
        <v>9</v>
      </c>
      <c r="Z534" s="72"/>
      <c r="AA534" s="79"/>
      <c r="AB534" s="79"/>
      <c r="AC534" s="79"/>
      <c r="AD534" s="79"/>
      <c r="AE534" s="79"/>
    </row>
    <row r="535" spans="1:31" ht="16.5" x14ac:dyDescent="0.35">
      <c r="A535" s="71">
        <v>529</v>
      </c>
      <c r="B535" s="72">
        <v>2005224881</v>
      </c>
      <c r="C535" s="80" t="s">
        <v>608</v>
      </c>
      <c r="D535" s="81" t="s">
        <v>304</v>
      </c>
      <c r="E535" s="72" t="s">
        <v>567</v>
      </c>
      <c r="F535" s="76">
        <v>3</v>
      </c>
      <c r="G535" s="72" t="s">
        <v>1298</v>
      </c>
      <c r="H535" s="78">
        <v>45632</v>
      </c>
      <c r="I535" s="72" t="s">
        <v>1299</v>
      </c>
      <c r="J535" s="72">
        <v>9</v>
      </c>
      <c r="K535" s="72"/>
      <c r="L535" s="72" t="s">
        <v>924</v>
      </c>
      <c r="M535" s="78">
        <v>45776</v>
      </c>
      <c r="N535" s="72" t="s">
        <v>1299</v>
      </c>
      <c r="O535" s="72">
        <v>9</v>
      </c>
      <c r="P535" s="72"/>
      <c r="Q535" s="72" t="s">
        <v>2042</v>
      </c>
      <c r="R535" s="78">
        <v>45672</v>
      </c>
      <c r="S535" s="72" t="s">
        <v>1299</v>
      </c>
      <c r="T535" s="72">
        <v>9</v>
      </c>
      <c r="U535" s="72"/>
      <c r="V535" s="72"/>
      <c r="W535" s="72"/>
      <c r="X535" s="72"/>
      <c r="Y535" s="72"/>
      <c r="Z535" s="72"/>
      <c r="AA535" s="79"/>
      <c r="AB535" s="79"/>
      <c r="AC535" s="79"/>
      <c r="AD535" s="79"/>
      <c r="AE535" s="79"/>
    </row>
    <row r="536" spans="1:31" ht="16.5" x14ac:dyDescent="0.35">
      <c r="A536" s="71">
        <v>530</v>
      </c>
      <c r="B536" s="72">
        <v>2005224996</v>
      </c>
      <c r="C536" s="80" t="s">
        <v>609</v>
      </c>
      <c r="D536" s="81" t="s">
        <v>610</v>
      </c>
      <c r="E536" s="72" t="s">
        <v>567</v>
      </c>
      <c r="F536" s="76">
        <v>3</v>
      </c>
      <c r="G536" s="72" t="s">
        <v>925</v>
      </c>
      <c r="H536" s="78">
        <v>45370</v>
      </c>
      <c r="I536" s="72" t="s">
        <v>1299</v>
      </c>
      <c r="J536" s="72">
        <v>4.5</v>
      </c>
      <c r="K536" s="72"/>
      <c r="L536" s="72" t="s">
        <v>924</v>
      </c>
      <c r="M536" s="78">
        <v>45629</v>
      </c>
      <c r="N536" s="72" t="s">
        <v>1299</v>
      </c>
      <c r="O536" s="72">
        <v>9</v>
      </c>
      <c r="P536" s="89"/>
      <c r="Q536" s="72" t="s">
        <v>1300</v>
      </c>
      <c r="R536" s="78">
        <v>45784</v>
      </c>
      <c r="S536" s="72" t="s">
        <v>1299</v>
      </c>
      <c r="T536" s="72">
        <v>8</v>
      </c>
      <c r="U536" s="72"/>
      <c r="V536" s="72"/>
      <c r="W536" s="72"/>
      <c r="X536" s="72"/>
      <c r="Y536" s="72"/>
      <c r="Z536" s="72"/>
      <c r="AA536" s="79"/>
      <c r="AB536" s="79"/>
      <c r="AC536" s="79"/>
      <c r="AD536" s="79"/>
      <c r="AE536" s="79"/>
    </row>
    <row r="537" spans="1:31" ht="16.5" x14ac:dyDescent="0.35">
      <c r="A537" s="71">
        <v>531</v>
      </c>
      <c r="B537" s="72">
        <v>2005225357</v>
      </c>
      <c r="C537" s="80" t="s">
        <v>613</v>
      </c>
      <c r="D537" s="81" t="s">
        <v>258</v>
      </c>
      <c r="E537" s="72" t="s">
        <v>567</v>
      </c>
      <c r="F537" s="76">
        <v>3</v>
      </c>
      <c r="G537" s="72" t="s">
        <v>1300</v>
      </c>
      <c r="H537" s="78">
        <v>45436</v>
      </c>
      <c r="I537" s="72" t="s">
        <v>1299</v>
      </c>
      <c r="J537" s="72">
        <v>8</v>
      </c>
      <c r="K537" s="72"/>
      <c r="L537" s="79" t="s">
        <v>928</v>
      </c>
      <c r="M537" s="83">
        <v>45799</v>
      </c>
      <c r="N537" s="79" t="s">
        <v>1299</v>
      </c>
      <c r="O537" s="72">
        <v>9</v>
      </c>
      <c r="P537" s="72"/>
      <c r="Q537" s="72" t="s">
        <v>924</v>
      </c>
      <c r="R537" s="78">
        <v>45776</v>
      </c>
      <c r="S537" s="72" t="s">
        <v>1299</v>
      </c>
      <c r="T537" s="72">
        <v>8.5</v>
      </c>
      <c r="U537" s="72"/>
      <c r="V537" s="72"/>
      <c r="W537" s="72"/>
      <c r="X537" s="72"/>
      <c r="Y537" s="72"/>
      <c r="Z537" s="72"/>
      <c r="AA537" s="79"/>
      <c r="AB537" s="79"/>
      <c r="AC537" s="79"/>
      <c r="AD537" s="79"/>
      <c r="AE537" s="79"/>
    </row>
    <row r="538" spans="1:31" ht="16.5" x14ac:dyDescent="0.35">
      <c r="A538" s="71">
        <v>532</v>
      </c>
      <c r="B538" s="72">
        <v>2005225369</v>
      </c>
      <c r="C538" s="80" t="s">
        <v>614</v>
      </c>
      <c r="D538" s="81" t="s">
        <v>258</v>
      </c>
      <c r="E538" s="72" t="s">
        <v>567</v>
      </c>
      <c r="F538" s="76">
        <v>3</v>
      </c>
      <c r="G538" s="72" t="s">
        <v>1300</v>
      </c>
      <c r="H538" s="78">
        <v>45436</v>
      </c>
      <c r="I538" s="72" t="s">
        <v>1299</v>
      </c>
      <c r="J538" s="72">
        <v>6.5</v>
      </c>
      <c r="K538" s="72"/>
      <c r="L538" s="79" t="s">
        <v>928</v>
      </c>
      <c r="M538" s="83">
        <v>45799</v>
      </c>
      <c r="N538" s="79" t="s">
        <v>1299</v>
      </c>
      <c r="O538" s="72">
        <v>8</v>
      </c>
      <c r="P538" s="72"/>
      <c r="Q538" s="72" t="s">
        <v>924</v>
      </c>
      <c r="R538" s="78">
        <v>45776</v>
      </c>
      <c r="S538" s="72" t="s">
        <v>1299</v>
      </c>
      <c r="T538" s="72">
        <v>9</v>
      </c>
      <c r="U538" s="72"/>
      <c r="V538" s="72"/>
      <c r="W538" s="72"/>
      <c r="X538" s="72"/>
      <c r="Y538" s="72"/>
      <c r="Z538" s="72"/>
      <c r="AA538" s="79"/>
      <c r="AB538" s="79"/>
      <c r="AC538" s="79"/>
      <c r="AD538" s="79"/>
      <c r="AE538" s="79"/>
    </row>
    <row r="539" spans="1:31" ht="16.5" x14ac:dyDescent="0.35">
      <c r="A539" s="71">
        <v>533</v>
      </c>
      <c r="B539" s="72">
        <v>2005225385</v>
      </c>
      <c r="C539" s="80" t="s">
        <v>616</v>
      </c>
      <c r="D539" s="81" t="s">
        <v>258</v>
      </c>
      <c r="E539" s="72" t="s">
        <v>567</v>
      </c>
      <c r="F539" s="76">
        <v>2</v>
      </c>
      <c r="G539" s="72" t="s">
        <v>1300</v>
      </c>
      <c r="H539" s="78">
        <v>45631</v>
      </c>
      <c r="I539" s="72" t="s">
        <v>1299</v>
      </c>
      <c r="J539" s="72">
        <v>7</v>
      </c>
      <c r="K539" s="72"/>
      <c r="L539" s="72" t="s">
        <v>924</v>
      </c>
      <c r="M539" s="78">
        <v>45776</v>
      </c>
      <c r="N539" s="72" t="s">
        <v>1299</v>
      </c>
      <c r="O539" s="72">
        <v>8.5</v>
      </c>
      <c r="P539" s="72"/>
      <c r="Q539" s="72"/>
      <c r="R539" s="78"/>
      <c r="S539" s="72"/>
      <c r="T539" s="72"/>
      <c r="U539" s="72"/>
      <c r="V539" s="72"/>
      <c r="W539" s="72"/>
      <c r="X539" s="72"/>
      <c r="Y539" s="72"/>
      <c r="Z539" s="72"/>
      <c r="AA539" s="79"/>
      <c r="AB539" s="79"/>
      <c r="AC539" s="79"/>
      <c r="AD539" s="79"/>
      <c r="AE539" s="79"/>
    </row>
    <row r="540" spans="1:31" ht="16.5" x14ac:dyDescent="0.35">
      <c r="A540" s="71">
        <v>534</v>
      </c>
      <c r="B540" s="72">
        <v>2005225458</v>
      </c>
      <c r="C540" s="80" t="s">
        <v>612</v>
      </c>
      <c r="D540" s="81" t="s">
        <v>138</v>
      </c>
      <c r="E540" s="72" t="s">
        <v>567</v>
      </c>
      <c r="F540" s="76">
        <v>3</v>
      </c>
      <c r="G540" s="72" t="s">
        <v>1300</v>
      </c>
      <c r="H540" s="78">
        <v>45749</v>
      </c>
      <c r="I540" s="86" t="s">
        <v>1299</v>
      </c>
      <c r="J540" s="72">
        <v>8.5</v>
      </c>
      <c r="K540" s="72"/>
      <c r="L540" s="72" t="s">
        <v>924</v>
      </c>
      <c r="M540" s="78">
        <v>45803</v>
      </c>
      <c r="N540" s="72" t="s">
        <v>1299</v>
      </c>
      <c r="O540" s="72">
        <v>8</v>
      </c>
      <c r="P540" s="72"/>
      <c r="Q540" s="72" t="s">
        <v>2042</v>
      </c>
      <c r="R540" s="78">
        <v>45672</v>
      </c>
      <c r="S540" s="72" t="s">
        <v>1299</v>
      </c>
      <c r="T540" s="72">
        <v>9.5</v>
      </c>
      <c r="U540" s="72"/>
      <c r="V540" s="72"/>
      <c r="W540" s="72"/>
      <c r="X540" s="72"/>
      <c r="Y540" s="72"/>
      <c r="Z540" s="72"/>
      <c r="AA540" s="79"/>
      <c r="AB540" s="79"/>
      <c r="AC540" s="79"/>
      <c r="AD540" s="79"/>
      <c r="AE540" s="79"/>
    </row>
    <row r="541" spans="1:31" ht="16.5" x14ac:dyDescent="0.35">
      <c r="A541" s="71">
        <v>535</v>
      </c>
      <c r="B541" s="72">
        <v>2005225509</v>
      </c>
      <c r="C541" s="80" t="s">
        <v>171</v>
      </c>
      <c r="D541" s="81" t="s">
        <v>168</v>
      </c>
      <c r="E541" s="72" t="s">
        <v>567</v>
      </c>
      <c r="F541" s="76">
        <v>2</v>
      </c>
      <c r="G541" s="72" t="s">
        <v>1300</v>
      </c>
      <c r="H541" s="78">
        <v>45436</v>
      </c>
      <c r="I541" s="72" t="s">
        <v>1299</v>
      </c>
      <c r="J541" s="72">
        <v>8</v>
      </c>
      <c r="K541" s="72"/>
      <c r="L541" s="72" t="s">
        <v>924</v>
      </c>
      <c r="M541" s="78">
        <v>45629</v>
      </c>
      <c r="N541" s="72" t="s">
        <v>1299</v>
      </c>
      <c r="O541" s="72">
        <v>10</v>
      </c>
      <c r="P541" s="72"/>
      <c r="Q541" s="72"/>
      <c r="R541" s="78"/>
      <c r="S541" s="72"/>
      <c r="T541" s="72"/>
      <c r="U541" s="72"/>
      <c r="V541" s="72"/>
      <c r="W541" s="72"/>
      <c r="X541" s="72"/>
      <c r="Y541" s="72"/>
      <c r="Z541" s="72"/>
      <c r="AA541" s="79"/>
      <c r="AB541" s="79"/>
      <c r="AC541" s="79"/>
      <c r="AD541" s="79"/>
      <c r="AE541" s="79"/>
    </row>
    <row r="542" spans="1:31" ht="16.5" x14ac:dyDescent="0.35">
      <c r="A542" s="71">
        <v>536</v>
      </c>
      <c r="B542" s="72">
        <v>2005225584</v>
      </c>
      <c r="C542" s="80" t="s">
        <v>541</v>
      </c>
      <c r="D542" s="81" t="s">
        <v>115</v>
      </c>
      <c r="E542" s="72" t="s">
        <v>567</v>
      </c>
      <c r="F542" s="76">
        <v>3</v>
      </c>
      <c r="G542" s="72" t="s">
        <v>925</v>
      </c>
      <c r="H542" s="78">
        <v>45405</v>
      </c>
      <c r="I542" s="72" t="s">
        <v>1299</v>
      </c>
      <c r="J542" s="72">
        <v>8</v>
      </c>
      <c r="K542" s="72"/>
      <c r="L542" s="72" t="s">
        <v>1301</v>
      </c>
      <c r="M542" s="78">
        <v>45783</v>
      </c>
      <c r="N542" s="72" t="s">
        <v>1299</v>
      </c>
      <c r="O542" s="72">
        <v>9.5</v>
      </c>
      <c r="P542" s="72"/>
      <c r="Q542" s="72" t="s">
        <v>928</v>
      </c>
      <c r="R542" s="78">
        <v>45800</v>
      </c>
      <c r="S542" s="72" t="s">
        <v>1299</v>
      </c>
      <c r="T542" s="72">
        <v>9</v>
      </c>
      <c r="U542" s="72"/>
      <c r="V542" s="72"/>
      <c r="W542" s="72"/>
      <c r="X542" s="72"/>
      <c r="Y542" s="72"/>
      <c r="Z542" s="72"/>
      <c r="AA542" s="79"/>
      <c r="AB542" s="79"/>
      <c r="AC542" s="79"/>
      <c r="AD542" s="79"/>
      <c r="AE542" s="79"/>
    </row>
    <row r="543" spans="1:31" ht="16.5" x14ac:dyDescent="0.35">
      <c r="A543" s="71">
        <v>537</v>
      </c>
      <c r="B543" s="72">
        <v>2005225601</v>
      </c>
      <c r="C543" s="80" t="s">
        <v>48</v>
      </c>
      <c r="D543" s="81" t="s">
        <v>115</v>
      </c>
      <c r="E543" s="72" t="s">
        <v>567</v>
      </c>
      <c r="F543" s="76">
        <v>4</v>
      </c>
      <c r="G543" s="72" t="s">
        <v>1298</v>
      </c>
      <c r="H543" s="78">
        <v>45632</v>
      </c>
      <c r="I543" s="72" t="s">
        <v>1299</v>
      </c>
      <c r="J543" s="72">
        <v>9</v>
      </c>
      <c r="K543" s="72"/>
      <c r="L543" s="72" t="s">
        <v>1301</v>
      </c>
      <c r="M543" s="78">
        <v>45785</v>
      </c>
      <c r="N543" s="72" t="s">
        <v>1299</v>
      </c>
      <c r="O543" s="72">
        <v>9</v>
      </c>
      <c r="P543" s="72"/>
      <c r="Q543" s="72" t="s">
        <v>924</v>
      </c>
      <c r="R543" s="78">
        <v>45798</v>
      </c>
      <c r="S543" s="72" t="s">
        <v>1299</v>
      </c>
      <c r="T543" s="72">
        <v>9</v>
      </c>
      <c r="U543" s="72"/>
      <c r="V543" s="72" t="s">
        <v>2042</v>
      </c>
      <c r="W543" s="78">
        <v>45672</v>
      </c>
      <c r="X543" s="72" t="s">
        <v>1299</v>
      </c>
      <c r="Y543" s="72">
        <v>9</v>
      </c>
      <c r="Z543" s="72"/>
      <c r="AA543" s="79"/>
      <c r="AB543" s="79"/>
      <c r="AC543" s="79"/>
      <c r="AD543" s="79"/>
      <c r="AE543" s="79"/>
    </row>
    <row r="544" spans="1:31" ht="16.5" x14ac:dyDescent="0.35">
      <c r="A544" s="71">
        <v>538</v>
      </c>
      <c r="B544" s="72">
        <v>2005225700</v>
      </c>
      <c r="C544" s="80" t="s">
        <v>625</v>
      </c>
      <c r="D544" s="81" t="s">
        <v>305</v>
      </c>
      <c r="E544" s="72" t="s">
        <v>567</v>
      </c>
      <c r="F544" s="76">
        <v>2</v>
      </c>
      <c r="G544" s="72" t="s">
        <v>1300</v>
      </c>
      <c r="H544" s="78">
        <v>45744</v>
      </c>
      <c r="I544" s="72" t="s">
        <v>1299</v>
      </c>
      <c r="J544" s="72">
        <v>6.5</v>
      </c>
      <c r="K544" s="72"/>
      <c r="L544" s="72" t="s">
        <v>1301</v>
      </c>
      <c r="M544" s="78">
        <v>45785</v>
      </c>
      <c r="N544" s="72" t="s">
        <v>1299</v>
      </c>
      <c r="O544" s="72">
        <v>10</v>
      </c>
      <c r="P544" s="72"/>
      <c r="Q544" s="72"/>
      <c r="R544" s="78"/>
      <c r="S544" s="72"/>
      <c r="T544" s="72"/>
      <c r="U544" s="72"/>
      <c r="V544" s="72"/>
      <c r="W544" s="72"/>
      <c r="X544" s="72"/>
      <c r="Y544" s="72"/>
      <c r="Z544" s="72"/>
      <c r="AA544" s="79"/>
      <c r="AB544" s="79"/>
      <c r="AC544" s="79"/>
      <c r="AD544" s="79"/>
      <c r="AE544" s="79"/>
    </row>
    <row r="545" spans="1:31" ht="16.5" x14ac:dyDescent="0.35">
      <c r="A545" s="71">
        <v>539</v>
      </c>
      <c r="B545" s="72">
        <v>2005225733</v>
      </c>
      <c r="C545" s="80" t="s">
        <v>623</v>
      </c>
      <c r="D545" s="81" t="s">
        <v>280</v>
      </c>
      <c r="E545" s="72" t="s">
        <v>567</v>
      </c>
      <c r="F545" s="76">
        <v>2</v>
      </c>
      <c r="G545" s="72" t="s">
        <v>924</v>
      </c>
      <c r="H545" s="78">
        <v>45621</v>
      </c>
      <c r="I545" s="72" t="s">
        <v>1299</v>
      </c>
      <c r="J545" s="72">
        <v>7.5</v>
      </c>
      <c r="K545" s="72"/>
      <c r="L545" s="72" t="s">
        <v>1298</v>
      </c>
      <c r="M545" s="78">
        <v>45632</v>
      </c>
      <c r="N545" s="72" t="s">
        <v>1299</v>
      </c>
      <c r="O545" s="72">
        <v>9</v>
      </c>
      <c r="P545" s="72"/>
      <c r="Q545" s="72"/>
      <c r="R545" s="78"/>
      <c r="S545" s="72"/>
      <c r="T545" s="72"/>
      <c r="U545" s="72"/>
      <c r="V545" s="72"/>
      <c r="W545" s="72"/>
      <c r="X545" s="72"/>
      <c r="Y545" s="72"/>
      <c r="Z545" s="72"/>
      <c r="AA545" s="79"/>
      <c r="AB545" s="79"/>
      <c r="AC545" s="79"/>
      <c r="AD545" s="79"/>
      <c r="AE545" s="79"/>
    </row>
    <row r="546" spans="1:31" ht="16.5" x14ac:dyDescent="0.35">
      <c r="A546" s="71">
        <v>540</v>
      </c>
      <c r="B546" s="72">
        <v>2005225739</v>
      </c>
      <c r="C546" s="80" t="s">
        <v>624</v>
      </c>
      <c r="D546" s="81" t="s">
        <v>280</v>
      </c>
      <c r="E546" s="72" t="s">
        <v>567</v>
      </c>
      <c r="F546" s="76">
        <v>3</v>
      </c>
      <c r="G546" s="72" t="s">
        <v>1304</v>
      </c>
      <c r="H546" s="78">
        <v>45628</v>
      </c>
      <c r="I546" s="72" t="s">
        <v>1299</v>
      </c>
      <c r="J546" s="72">
        <v>8</v>
      </c>
      <c r="K546" s="72"/>
      <c r="L546" s="72" t="s">
        <v>1298</v>
      </c>
      <c r="M546" s="78">
        <v>45632</v>
      </c>
      <c r="N546" s="72" t="s">
        <v>1299</v>
      </c>
      <c r="O546" s="72">
        <v>9</v>
      </c>
      <c r="P546" s="72"/>
      <c r="Q546" s="72" t="s">
        <v>2042</v>
      </c>
      <c r="R546" s="78">
        <v>45672</v>
      </c>
      <c r="S546" s="72" t="s">
        <v>1299</v>
      </c>
      <c r="T546" s="72">
        <v>9</v>
      </c>
      <c r="U546" s="72"/>
      <c r="V546" s="72"/>
      <c r="W546" s="72"/>
      <c r="X546" s="72"/>
      <c r="Y546" s="72"/>
      <c r="Z546" s="72"/>
      <c r="AA546" s="79"/>
      <c r="AB546" s="79"/>
      <c r="AC546" s="79"/>
      <c r="AD546" s="79"/>
      <c r="AE546" s="79"/>
    </row>
    <row r="547" spans="1:31" ht="16.5" x14ac:dyDescent="0.35">
      <c r="A547" s="71">
        <v>541</v>
      </c>
      <c r="B547" s="72">
        <v>2005225854</v>
      </c>
      <c r="C547" s="80" t="s">
        <v>626</v>
      </c>
      <c r="D547" s="81" t="s">
        <v>627</v>
      </c>
      <c r="E547" s="72" t="s">
        <v>567</v>
      </c>
      <c r="F547" s="76">
        <v>2</v>
      </c>
      <c r="G547" s="72" t="s">
        <v>1300</v>
      </c>
      <c r="H547" s="78">
        <v>45744</v>
      </c>
      <c r="I547" s="72" t="s">
        <v>1299</v>
      </c>
      <c r="J547" s="72">
        <v>7</v>
      </c>
      <c r="K547" s="72"/>
      <c r="L547" s="72" t="s">
        <v>1301</v>
      </c>
      <c r="M547" s="78">
        <v>45785</v>
      </c>
      <c r="N547" s="72" t="s">
        <v>1299</v>
      </c>
      <c r="O547" s="72">
        <v>9</v>
      </c>
      <c r="P547" s="72"/>
      <c r="Q547" s="72"/>
      <c r="R547" s="78"/>
      <c r="S547" s="72"/>
      <c r="T547" s="72"/>
      <c r="U547" s="72"/>
      <c r="V547" s="72"/>
      <c r="W547" s="72"/>
      <c r="X547" s="72"/>
      <c r="Y547" s="72"/>
      <c r="Z547" s="72"/>
      <c r="AA547" s="79"/>
      <c r="AB547" s="79"/>
      <c r="AC547" s="79"/>
      <c r="AD547" s="79"/>
      <c r="AE547" s="79"/>
    </row>
    <row r="548" spans="1:31" ht="16.5" x14ac:dyDescent="0.35">
      <c r="A548" s="71">
        <v>542</v>
      </c>
      <c r="B548" s="72">
        <v>2005225981</v>
      </c>
      <c r="C548" s="80" t="s">
        <v>1188</v>
      </c>
      <c r="D548" s="81" t="s">
        <v>56</v>
      </c>
      <c r="E548" s="72" t="s">
        <v>567</v>
      </c>
      <c r="F548" s="76">
        <v>0</v>
      </c>
      <c r="G548" s="72"/>
      <c r="H548" s="78"/>
      <c r="I548" s="72"/>
      <c r="J548" s="72"/>
      <c r="K548" s="72"/>
      <c r="L548" s="72"/>
      <c r="M548" s="72"/>
      <c r="N548" s="72"/>
      <c r="O548" s="72"/>
      <c r="P548" s="72"/>
      <c r="Q548" s="72"/>
      <c r="R548" s="78"/>
      <c r="S548" s="72"/>
      <c r="T548" s="72"/>
      <c r="U548" s="72"/>
      <c r="V548" s="72"/>
      <c r="W548" s="72"/>
      <c r="X548" s="72"/>
      <c r="Y548" s="72"/>
      <c r="Z548" s="72"/>
      <c r="AA548" s="79"/>
      <c r="AB548" s="79"/>
      <c r="AC548" s="79"/>
      <c r="AD548" s="79"/>
      <c r="AE548" s="79"/>
    </row>
    <row r="549" spans="1:31" ht="16.5" x14ac:dyDescent="0.35">
      <c r="A549" s="71">
        <v>543</v>
      </c>
      <c r="B549" s="72">
        <v>2005226113</v>
      </c>
      <c r="C549" s="80" t="s">
        <v>507</v>
      </c>
      <c r="D549" s="81" t="s">
        <v>135</v>
      </c>
      <c r="E549" s="72" t="s">
        <v>567</v>
      </c>
      <c r="F549" s="76">
        <v>2</v>
      </c>
      <c r="G549" s="72" t="s">
        <v>924</v>
      </c>
      <c r="H549" s="78">
        <v>45623</v>
      </c>
      <c r="I549" s="72" t="s">
        <v>1299</v>
      </c>
      <c r="J549" s="72">
        <v>7</v>
      </c>
      <c r="K549" s="72"/>
      <c r="L549" s="72" t="s">
        <v>1301</v>
      </c>
      <c r="M549" s="78">
        <v>45629</v>
      </c>
      <c r="N549" s="72" t="s">
        <v>1299</v>
      </c>
      <c r="O549" s="72">
        <v>9.5</v>
      </c>
      <c r="P549" s="72"/>
      <c r="Q549" s="72"/>
      <c r="R549" s="78"/>
      <c r="S549" s="72"/>
      <c r="T549" s="72"/>
      <c r="U549" s="72"/>
      <c r="V549" s="72"/>
      <c r="W549" s="72"/>
      <c r="X549" s="72"/>
      <c r="Y549" s="72"/>
      <c r="Z549" s="72"/>
      <c r="AA549" s="79"/>
      <c r="AB549" s="79"/>
      <c r="AC549" s="79"/>
      <c r="AD549" s="79"/>
      <c r="AE549" s="79"/>
    </row>
    <row r="550" spans="1:31" ht="16.5" x14ac:dyDescent="0.35">
      <c r="A550" s="71">
        <v>544</v>
      </c>
      <c r="B550" s="72">
        <v>2005220171</v>
      </c>
      <c r="C550" s="80" t="s">
        <v>629</v>
      </c>
      <c r="D550" s="81" t="s">
        <v>36</v>
      </c>
      <c r="E550" s="72" t="s">
        <v>196</v>
      </c>
      <c r="F550" s="76">
        <v>3</v>
      </c>
      <c r="G550" s="72" t="s">
        <v>1300</v>
      </c>
      <c r="H550" s="78">
        <v>45631</v>
      </c>
      <c r="I550" s="72" t="s">
        <v>1299</v>
      </c>
      <c r="J550" s="72">
        <v>5</v>
      </c>
      <c r="K550" s="72"/>
      <c r="L550" s="72" t="s">
        <v>1298</v>
      </c>
      <c r="M550" s="78">
        <v>45632</v>
      </c>
      <c r="N550" s="72" t="s">
        <v>1299</v>
      </c>
      <c r="O550" s="72">
        <v>8.5</v>
      </c>
      <c r="P550" s="72"/>
      <c r="Q550" s="72" t="s">
        <v>2042</v>
      </c>
      <c r="R550" s="78">
        <v>45672</v>
      </c>
      <c r="S550" s="72" t="s">
        <v>1299</v>
      </c>
      <c r="T550" s="72">
        <v>8.5</v>
      </c>
      <c r="U550" s="72"/>
      <c r="V550" s="72"/>
      <c r="W550" s="72"/>
      <c r="X550" s="72"/>
      <c r="Y550" s="72"/>
      <c r="Z550" s="72"/>
      <c r="AA550" s="79"/>
      <c r="AB550" s="79"/>
      <c r="AC550" s="79"/>
      <c r="AD550" s="79"/>
      <c r="AE550" s="79"/>
    </row>
    <row r="551" spans="1:31" ht="16.5" x14ac:dyDescent="0.35">
      <c r="A551" s="71">
        <v>545</v>
      </c>
      <c r="B551" s="72">
        <v>2005220253</v>
      </c>
      <c r="C551" s="80" t="s">
        <v>178</v>
      </c>
      <c r="D551" s="81" t="s">
        <v>170</v>
      </c>
      <c r="E551" s="72" t="s">
        <v>196</v>
      </c>
      <c r="F551" s="76">
        <v>3</v>
      </c>
      <c r="G551" s="72" t="s">
        <v>925</v>
      </c>
      <c r="H551" s="78">
        <v>45589</v>
      </c>
      <c r="I551" s="72" t="s">
        <v>1299</v>
      </c>
      <c r="J551" s="72">
        <v>7</v>
      </c>
      <c r="K551" s="72"/>
      <c r="L551" s="72" t="s">
        <v>924</v>
      </c>
      <c r="M551" s="78">
        <v>45645</v>
      </c>
      <c r="N551" s="72" t="s">
        <v>1299</v>
      </c>
      <c r="O551" s="72">
        <v>8</v>
      </c>
      <c r="P551" s="72"/>
      <c r="Q551" s="72" t="s">
        <v>1300</v>
      </c>
      <c r="R551" s="78">
        <v>45744</v>
      </c>
      <c r="S551" s="72" t="s">
        <v>1299</v>
      </c>
      <c r="T551" s="72">
        <v>8.5</v>
      </c>
      <c r="U551" s="72"/>
      <c r="V551" s="72"/>
      <c r="W551" s="72"/>
      <c r="X551" s="72"/>
      <c r="Y551" s="72"/>
      <c r="Z551" s="72"/>
      <c r="AA551" s="79"/>
      <c r="AB551" s="79"/>
      <c r="AC551" s="79"/>
      <c r="AD551" s="79"/>
      <c r="AE551" s="79"/>
    </row>
    <row r="552" spans="1:31" ht="16.5" x14ac:dyDescent="0.35">
      <c r="A552" s="71">
        <v>546</v>
      </c>
      <c r="B552" s="72">
        <v>2005220274</v>
      </c>
      <c r="C552" s="80" t="s">
        <v>631</v>
      </c>
      <c r="D552" s="81" t="s">
        <v>632</v>
      </c>
      <c r="E552" s="72" t="s">
        <v>196</v>
      </c>
      <c r="F552" s="76">
        <v>2</v>
      </c>
      <c r="G552" s="72" t="s">
        <v>924</v>
      </c>
      <c r="H552" s="78">
        <v>45629</v>
      </c>
      <c r="I552" s="72" t="s">
        <v>1299</v>
      </c>
      <c r="J552" s="72">
        <v>6</v>
      </c>
      <c r="K552" s="72"/>
      <c r="L552" s="72" t="s">
        <v>925</v>
      </c>
      <c r="M552" s="78">
        <v>45433</v>
      </c>
      <c r="N552" s="72" t="s">
        <v>1299</v>
      </c>
      <c r="O552" s="79">
        <v>8</v>
      </c>
      <c r="P552" s="72"/>
      <c r="Q552" s="72"/>
      <c r="R552" s="78"/>
      <c r="S552" s="72"/>
      <c r="T552" s="72"/>
      <c r="U552" s="72"/>
      <c r="V552" s="72"/>
      <c r="W552" s="72"/>
      <c r="X552" s="72"/>
      <c r="Y552" s="72"/>
      <c r="Z552" s="72"/>
      <c r="AA552" s="79"/>
      <c r="AB552" s="79"/>
      <c r="AC552" s="79"/>
      <c r="AD552" s="79"/>
      <c r="AE552" s="79"/>
    </row>
    <row r="553" spans="1:31" ht="16.5" x14ac:dyDescent="0.35">
      <c r="A553" s="71">
        <v>547</v>
      </c>
      <c r="B553" s="72">
        <v>2005220300</v>
      </c>
      <c r="C553" s="80" t="s">
        <v>267</v>
      </c>
      <c r="D553" s="81" t="s">
        <v>268</v>
      </c>
      <c r="E553" s="72" t="s">
        <v>196</v>
      </c>
      <c r="F553" s="76">
        <v>3</v>
      </c>
      <c r="G553" s="72" t="s">
        <v>1300</v>
      </c>
      <c r="H553" s="78">
        <v>45791</v>
      </c>
      <c r="I553" s="72" t="s">
        <v>1299</v>
      </c>
      <c r="J553" s="72">
        <v>8</v>
      </c>
      <c r="K553" s="72"/>
      <c r="L553" s="79" t="s">
        <v>928</v>
      </c>
      <c r="M553" s="83">
        <v>45799</v>
      </c>
      <c r="N553" s="79" t="s">
        <v>1299</v>
      </c>
      <c r="O553" s="72">
        <v>6</v>
      </c>
      <c r="P553" s="72"/>
      <c r="Q553" s="72" t="s">
        <v>924</v>
      </c>
      <c r="R553" s="78">
        <v>45803</v>
      </c>
      <c r="S553" s="72" t="s">
        <v>1299</v>
      </c>
      <c r="T553" s="72">
        <v>8.5</v>
      </c>
      <c r="U553" s="72"/>
      <c r="V553" s="72"/>
      <c r="W553" s="72"/>
      <c r="X553" s="72"/>
      <c r="Y553" s="72"/>
      <c r="Z553" s="72"/>
      <c r="AA553" s="79"/>
      <c r="AB553" s="79"/>
      <c r="AC553" s="79"/>
      <c r="AD553" s="79"/>
      <c r="AE553" s="79"/>
    </row>
    <row r="554" spans="1:31" ht="16.5" x14ac:dyDescent="0.35">
      <c r="A554" s="71">
        <v>548</v>
      </c>
      <c r="B554" s="72">
        <v>2005220449</v>
      </c>
      <c r="C554" s="80" t="s">
        <v>74</v>
      </c>
      <c r="D554" s="81" t="s">
        <v>324</v>
      </c>
      <c r="E554" s="72" t="s">
        <v>196</v>
      </c>
      <c r="F554" s="76">
        <v>2</v>
      </c>
      <c r="G554" s="72" t="s">
        <v>925</v>
      </c>
      <c r="H554" s="78">
        <v>45398</v>
      </c>
      <c r="I554" s="72" t="s">
        <v>1299</v>
      </c>
      <c r="J554" s="72">
        <v>6</v>
      </c>
      <c r="K554" s="72"/>
      <c r="L554" s="72" t="s">
        <v>1300</v>
      </c>
      <c r="M554" s="78">
        <v>45422</v>
      </c>
      <c r="N554" s="72" t="s">
        <v>1299</v>
      </c>
      <c r="O554" s="72">
        <v>6</v>
      </c>
      <c r="P554" s="72"/>
      <c r="Q554" s="72"/>
      <c r="R554" s="78"/>
      <c r="S554" s="72"/>
      <c r="T554" s="72"/>
      <c r="U554" s="72"/>
      <c r="V554" s="72"/>
      <c r="W554" s="72"/>
      <c r="X554" s="72"/>
      <c r="Y554" s="72"/>
      <c r="Z554" s="72"/>
      <c r="AA554" s="79"/>
      <c r="AB554" s="79"/>
      <c r="AC554" s="79"/>
      <c r="AD554" s="79"/>
      <c r="AE554" s="79"/>
    </row>
    <row r="555" spans="1:31" ht="16.5" x14ac:dyDescent="0.35">
      <c r="A555" s="71">
        <v>549</v>
      </c>
      <c r="B555" s="72">
        <v>2005220627</v>
      </c>
      <c r="C555" s="80" t="s">
        <v>266</v>
      </c>
      <c r="D555" s="81" t="s">
        <v>217</v>
      </c>
      <c r="E555" s="72" t="s">
        <v>196</v>
      </c>
      <c r="F555" s="76">
        <v>2</v>
      </c>
      <c r="G555" s="72" t="s">
        <v>925</v>
      </c>
      <c r="H555" s="78">
        <v>45589</v>
      </c>
      <c r="I555" s="72" t="s">
        <v>1299</v>
      </c>
      <c r="J555" s="72">
        <v>8</v>
      </c>
      <c r="K555" s="72"/>
      <c r="L555" s="72" t="s">
        <v>1301</v>
      </c>
      <c r="M555" s="78">
        <v>45630</v>
      </c>
      <c r="N555" s="72" t="s">
        <v>1299</v>
      </c>
      <c r="O555" s="72">
        <v>8</v>
      </c>
      <c r="P555" s="72"/>
      <c r="Q555" s="72"/>
      <c r="R555" s="78"/>
      <c r="S555" s="72"/>
      <c r="T555" s="72"/>
      <c r="U555" s="72"/>
      <c r="V555" s="72"/>
      <c r="W555" s="72"/>
      <c r="X555" s="72"/>
      <c r="Y555" s="72"/>
      <c r="Z555" s="72"/>
      <c r="AA555" s="79"/>
      <c r="AB555" s="79"/>
      <c r="AC555" s="79"/>
      <c r="AD555" s="79"/>
      <c r="AE555" s="79"/>
    </row>
    <row r="556" spans="1:31" ht="16.5" x14ac:dyDescent="0.35">
      <c r="A556" s="71">
        <v>550</v>
      </c>
      <c r="B556" s="72">
        <v>2005220628</v>
      </c>
      <c r="C556" s="80" t="s">
        <v>216</v>
      </c>
      <c r="D556" s="81" t="s">
        <v>217</v>
      </c>
      <c r="E556" s="72" t="s">
        <v>196</v>
      </c>
      <c r="F556" s="76">
        <v>3</v>
      </c>
      <c r="G556" s="72" t="s">
        <v>924</v>
      </c>
      <c r="H556" s="78">
        <v>45629</v>
      </c>
      <c r="I556" s="72" t="s">
        <v>1299</v>
      </c>
      <c r="J556" s="72">
        <v>7</v>
      </c>
      <c r="K556" s="72"/>
      <c r="L556" s="72" t="s">
        <v>1300</v>
      </c>
      <c r="M556" s="78">
        <v>45784</v>
      </c>
      <c r="N556" s="72" t="s">
        <v>1299</v>
      </c>
      <c r="O556" s="72">
        <v>10</v>
      </c>
      <c r="P556" s="72"/>
      <c r="Q556" s="72" t="s">
        <v>925</v>
      </c>
      <c r="R556" s="78">
        <v>45813</v>
      </c>
      <c r="S556" s="72" t="s">
        <v>1299</v>
      </c>
      <c r="T556" s="72">
        <v>7</v>
      </c>
      <c r="U556" s="72"/>
      <c r="V556" s="72"/>
      <c r="W556" s="72"/>
      <c r="X556" s="72"/>
      <c r="Y556" s="72"/>
      <c r="Z556" s="72"/>
      <c r="AA556" s="79"/>
      <c r="AB556" s="79"/>
      <c r="AC556" s="79"/>
      <c r="AD556" s="79"/>
      <c r="AE556" s="79"/>
    </row>
    <row r="557" spans="1:31" ht="16.5" x14ac:dyDescent="0.35">
      <c r="A557" s="71">
        <v>551</v>
      </c>
      <c r="B557" s="72">
        <v>2005220823</v>
      </c>
      <c r="C557" s="80" t="s">
        <v>270</v>
      </c>
      <c r="D557" s="81" t="s">
        <v>271</v>
      </c>
      <c r="E557" s="72" t="s">
        <v>196</v>
      </c>
      <c r="F557" s="76">
        <v>3</v>
      </c>
      <c r="G557" s="72" t="s">
        <v>925</v>
      </c>
      <c r="H557" s="78">
        <v>45356</v>
      </c>
      <c r="I557" s="72" t="s">
        <v>1299</v>
      </c>
      <c r="J557" s="72">
        <v>8.5</v>
      </c>
      <c r="K557" s="72"/>
      <c r="L557" s="72" t="s">
        <v>924</v>
      </c>
      <c r="M557" s="78">
        <v>45803</v>
      </c>
      <c r="N557" s="72" t="s">
        <v>1299</v>
      </c>
      <c r="O557" s="79">
        <v>8</v>
      </c>
      <c r="P557" s="72"/>
      <c r="Q557" s="72" t="s">
        <v>925</v>
      </c>
      <c r="R557" s="78">
        <v>45813</v>
      </c>
      <c r="S557" s="72" t="s">
        <v>1299</v>
      </c>
      <c r="T557" s="72">
        <v>7.5</v>
      </c>
      <c r="U557" s="72"/>
      <c r="V557" s="72"/>
      <c r="W557" s="72"/>
      <c r="X557" s="72"/>
      <c r="Y557" s="72"/>
      <c r="Z557" s="72"/>
      <c r="AA557" s="79"/>
      <c r="AB557" s="79"/>
      <c r="AC557" s="79"/>
      <c r="AD557" s="79"/>
      <c r="AE557" s="79"/>
    </row>
    <row r="558" spans="1:31" ht="16.5" x14ac:dyDescent="0.35">
      <c r="A558" s="71">
        <v>552</v>
      </c>
      <c r="B558" s="72">
        <v>2005220881</v>
      </c>
      <c r="C558" s="80" t="s">
        <v>214</v>
      </c>
      <c r="D558" s="81" t="s">
        <v>10</v>
      </c>
      <c r="E558" s="72" t="s">
        <v>196</v>
      </c>
      <c r="F558" s="76">
        <v>2</v>
      </c>
      <c r="G558" s="72" t="s">
        <v>925</v>
      </c>
      <c r="H558" s="78">
        <v>45636</v>
      </c>
      <c r="I558" s="72" t="s">
        <v>1299</v>
      </c>
      <c r="J558" s="72">
        <v>8</v>
      </c>
      <c r="K558" s="72"/>
      <c r="L558" s="72" t="s">
        <v>924</v>
      </c>
      <c r="M558" s="78">
        <v>45776</v>
      </c>
      <c r="N558" s="72" t="s">
        <v>1299</v>
      </c>
      <c r="O558" s="72">
        <v>6.5</v>
      </c>
      <c r="P558" s="72"/>
      <c r="Q558" s="72"/>
      <c r="R558" s="78"/>
      <c r="S558" s="72"/>
      <c r="T558" s="72"/>
      <c r="U558" s="72"/>
      <c r="V558" s="72"/>
      <c r="W558" s="72"/>
      <c r="X558" s="72"/>
      <c r="Y558" s="72"/>
      <c r="Z558" s="72"/>
      <c r="AA558" s="79"/>
      <c r="AB558" s="79"/>
      <c r="AC558" s="79"/>
      <c r="AD558" s="79"/>
      <c r="AE558" s="79"/>
    </row>
    <row r="559" spans="1:31" ht="16.5" x14ac:dyDescent="0.35">
      <c r="A559" s="71">
        <v>553</v>
      </c>
      <c r="B559" s="72">
        <v>2005221125</v>
      </c>
      <c r="C559" s="80" t="s">
        <v>219</v>
      </c>
      <c r="D559" s="81" t="s">
        <v>220</v>
      </c>
      <c r="E559" s="72" t="s">
        <v>196</v>
      </c>
      <c r="F559" s="76">
        <v>3</v>
      </c>
      <c r="G559" s="72" t="s">
        <v>1298</v>
      </c>
      <c r="H559" s="78">
        <v>45632</v>
      </c>
      <c r="I559" s="72" t="s">
        <v>1299</v>
      </c>
      <c r="J559" s="72">
        <v>7</v>
      </c>
      <c r="K559" s="72"/>
      <c r="L559" s="72" t="s">
        <v>925</v>
      </c>
      <c r="M559" s="78">
        <v>45757</v>
      </c>
      <c r="N559" s="72" t="s">
        <v>1299</v>
      </c>
      <c r="O559" s="72">
        <v>7.5</v>
      </c>
      <c r="P559" s="72"/>
      <c r="Q559" s="72" t="s">
        <v>2042</v>
      </c>
      <c r="R559" s="78">
        <v>45672</v>
      </c>
      <c r="S559" s="72" t="s">
        <v>1299</v>
      </c>
      <c r="T559" s="72">
        <v>8</v>
      </c>
      <c r="U559" s="72"/>
      <c r="V559" s="72"/>
      <c r="W559" s="72"/>
      <c r="X559" s="72"/>
      <c r="Y559" s="72"/>
      <c r="Z559" s="72"/>
      <c r="AA559" s="79"/>
      <c r="AB559" s="79"/>
      <c r="AC559" s="79"/>
      <c r="AD559" s="79"/>
      <c r="AE559" s="79"/>
    </row>
    <row r="560" spans="1:31" ht="16.5" x14ac:dyDescent="0.35">
      <c r="A560" s="71">
        <v>554</v>
      </c>
      <c r="B560" s="72">
        <v>2005221176</v>
      </c>
      <c r="C560" s="80" t="s">
        <v>223</v>
      </c>
      <c r="D560" s="81" t="s">
        <v>75</v>
      </c>
      <c r="E560" s="72" t="s">
        <v>196</v>
      </c>
      <c r="F560" s="76">
        <v>2</v>
      </c>
      <c r="G560" s="72" t="s">
        <v>1301</v>
      </c>
      <c r="H560" s="78">
        <v>45630</v>
      </c>
      <c r="I560" s="72" t="s">
        <v>1299</v>
      </c>
      <c r="J560" s="72">
        <v>8.5</v>
      </c>
      <c r="K560" s="72"/>
      <c r="L560" s="72" t="s">
        <v>924</v>
      </c>
      <c r="M560" s="78">
        <v>45776</v>
      </c>
      <c r="N560" s="72" t="s">
        <v>1299</v>
      </c>
      <c r="O560" s="72">
        <v>8.5</v>
      </c>
      <c r="P560" s="72"/>
      <c r="Q560" s="72"/>
      <c r="R560" s="78"/>
      <c r="S560" s="72"/>
      <c r="T560" s="72"/>
      <c r="U560" s="72"/>
      <c r="V560" s="72"/>
      <c r="W560" s="72"/>
      <c r="X560" s="72"/>
      <c r="Y560" s="72"/>
      <c r="Z560" s="72"/>
      <c r="AA560" s="79"/>
      <c r="AB560" s="79"/>
      <c r="AC560" s="79"/>
      <c r="AD560" s="79"/>
      <c r="AE560" s="79"/>
    </row>
    <row r="561" spans="1:31" ht="16.5" x14ac:dyDescent="0.35">
      <c r="A561" s="71">
        <v>555</v>
      </c>
      <c r="B561" s="72">
        <v>2005221199</v>
      </c>
      <c r="C561" s="80" t="s">
        <v>225</v>
      </c>
      <c r="D561" s="81" t="s">
        <v>226</v>
      </c>
      <c r="E561" s="72" t="s">
        <v>196</v>
      </c>
      <c r="F561" s="76">
        <v>3</v>
      </c>
      <c r="G561" s="72" t="s">
        <v>925</v>
      </c>
      <c r="H561" s="78">
        <v>45589</v>
      </c>
      <c r="I561" s="72" t="s">
        <v>1299</v>
      </c>
      <c r="J561" s="72">
        <v>6.5</v>
      </c>
      <c r="K561" s="72"/>
      <c r="L561" s="72" t="s">
        <v>1300</v>
      </c>
      <c r="M561" s="78">
        <v>45756</v>
      </c>
      <c r="N561" s="72" t="s">
        <v>1299</v>
      </c>
      <c r="O561" s="72">
        <v>7</v>
      </c>
      <c r="P561" s="72"/>
      <c r="Q561" s="72" t="s">
        <v>924</v>
      </c>
      <c r="R561" s="78">
        <v>45787</v>
      </c>
      <c r="S561" s="72" t="s">
        <v>1299</v>
      </c>
      <c r="T561" s="72">
        <v>9.5</v>
      </c>
      <c r="U561" s="72"/>
      <c r="V561" s="72"/>
      <c r="W561" s="72"/>
      <c r="X561" s="72"/>
      <c r="Y561" s="72"/>
      <c r="Z561" s="72"/>
      <c r="AA561" s="79"/>
      <c r="AB561" s="79"/>
      <c r="AC561" s="79"/>
      <c r="AD561" s="79"/>
      <c r="AE561" s="79"/>
    </row>
    <row r="562" spans="1:31" ht="16.5" x14ac:dyDescent="0.35">
      <c r="A562" s="71">
        <v>556</v>
      </c>
      <c r="B562" s="72">
        <v>2005221266</v>
      </c>
      <c r="C562" s="80" t="s">
        <v>121</v>
      </c>
      <c r="D562" s="81" t="s">
        <v>172</v>
      </c>
      <c r="E562" s="72" t="s">
        <v>196</v>
      </c>
      <c r="F562" s="76">
        <v>0</v>
      </c>
      <c r="G562" s="72"/>
      <c r="H562" s="78"/>
      <c r="I562" s="72"/>
      <c r="J562" s="72"/>
      <c r="K562" s="72"/>
      <c r="L562" s="72"/>
      <c r="M562" s="72"/>
      <c r="N562" s="72"/>
      <c r="O562" s="72"/>
      <c r="P562" s="72"/>
      <c r="Q562" s="72"/>
      <c r="R562" s="78"/>
      <c r="S562" s="72"/>
      <c r="T562" s="72"/>
      <c r="U562" s="72"/>
      <c r="V562" s="72"/>
      <c r="W562" s="72"/>
      <c r="X562" s="72"/>
      <c r="Y562" s="72"/>
      <c r="Z562" s="72"/>
      <c r="AA562" s="79"/>
      <c r="AB562" s="79"/>
      <c r="AC562" s="79"/>
      <c r="AD562" s="79"/>
      <c r="AE562" s="79"/>
    </row>
    <row r="563" spans="1:31" ht="16.5" x14ac:dyDescent="0.35">
      <c r="A563" s="71">
        <v>557</v>
      </c>
      <c r="B563" s="72">
        <v>2005221311</v>
      </c>
      <c r="C563" s="80" t="s">
        <v>221</v>
      </c>
      <c r="D563" s="81" t="s">
        <v>222</v>
      </c>
      <c r="E563" s="72" t="s">
        <v>196</v>
      </c>
      <c r="F563" s="76">
        <v>2</v>
      </c>
      <c r="G563" s="72" t="s">
        <v>924</v>
      </c>
      <c r="H563" s="78">
        <v>45629</v>
      </c>
      <c r="I563" s="72" t="s">
        <v>1299</v>
      </c>
      <c r="J563" s="72">
        <v>4.5</v>
      </c>
      <c r="K563" s="72"/>
      <c r="L563" s="72" t="s">
        <v>1300</v>
      </c>
      <c r="M563" s="78">
        <v>45631</v>
      </c>
      <c r="N563" s="72" t="s">
        <v>1299</v>
      </c>
      <c r="O563" s="72">
        <v>7</v>
      </c>
      <c r="P563" s="72"/>
      <c r="Q563" s="72"/>
      <c r="R563" s="78"/>
      <c r="S563" s="72"/>
      <c r="T563" s="72"/>
      <c r="U563" s="72"/>
      <c r="V563" s="72"/>
      <c r="W563" s="72"/>
      <c r="X563" s="72"/>
      <c r="Y563" s="72"/>
      <c r="Z563" s="72"/>
      <c r="AA563" s="79"/>
      <c r="AB563" s="79"/>
      <c r="AC563" s="79"/>
      <c r="AD563" s="79"/>
      <c r="AE563" s="79"/>
    </row>
    <row r="564" spans="1:31" ht="16.5" x14ac:dyDescent="0.35">
      <c r="A564" s="71">
        <v>558</v>
      </c>
      <c r="B564" s="72">
        <v>2005221487</v>
      </c>
      <c r="C564" s="80" t="s">
        <v>227</v>
      </c>
      <c r="D564" s="81" t="s">
        <v>81</v>
      </c>
      <c r="E564" s="72" t="s">
        <v>196</v>
      </c>
      <c r="F564" s="76">
        <v>2</v>
      </c>
      <c r="G564" s="72" t="s">
        <v>925</v>
      </c>
      <c r="H564" s="78">
        <v>45589</v>
      </c>
      <c r="I564" s="72" t="s">
        <v>1299</v>
      </c>
      <c r="J564" s="72">
        <v>6.5</v>
      </c>
      <c r="K564" s="72"/>
      <c r="L564" s="72" t="s">
        <v>928</v>
      </c>
      <c r="M564" s="78">
        <v>45800</v>
      </c>
      <c r="N564" s="72" t="s">
        <v>1299</v>
      </c>
      <c r="O564" s="72">
        <v>7</v>
      </c>
      <c r="P564" s="72"/>
      <c r="Q564" s="72"/>
      <c r="R564" s="78"/>
      <c r="S564" s="72"/>
      <c r="T564" s="72"/>
      <c r="U564" s="72"/>
      <c r="V564" s="72"/>
      <c r="W564" s="72"/>
      <c r="X564" s="72"/>
      <c r="Y564" s="72"/>
      <c r="Z564" s="72"/>
      <c r="AA564" s="79"/>
      <c r="AB564" s="79"/>
      <c r="AC564" s="79"/>
      <c r="AD564" s="79"/>
      <c r="AE564" s="79"/>
    </row>
    <row r="565" spans="1:31" ht="16.5" x14ac:dyDescent="0.35">
      <c r="A565" s="71">
        <v>559</v>
      </c>
      <c r="B565" s="72">
        <v>2005221642</v>
      </c>
      <c r="C565" s="80" t="s">
        <v>1192</v>
      </c>
      <c r="D565" s="81" t="s">
        <v>120</v>
      </c>
      <c r="E565" s="72" t="s">
        <v>196</v>
      </c>
      <c r="F565" s="76">
        <v>0</v>
      </c>
      <c r="G565" s="72"/>
      <c r="H565" s="78"/>
      <c r="I565" s="72"/>
      <c r="J565" s="72"/>
      <c r="K565" s="72"/>
      <c r="L565" s="72"/>
      <c r="M565" s="72"/>
      <c r="N565" s="72"/>
      <c r="O565" s="72"/>
      <c r="P565" s="72"/>
      <c r="Q565" s="72"/>
      <c r="R565" s="78"/>
      <c r="S565" s="72"/>
      <c r="T565" s="72"/>
      <c r="U565" s="72"/>
      <c r="V565" s="72"/>
      <c r="W565" s="72"/>
      <c r="X565" s="72"/>
      <c r="Y565" s="72"/>
      <c r="Z565" s="72"/>
      <c r="AA565" s="79"/>
      <c r="AB565" s="79"/>
      <c r="AC565" s="79"/>
      <c r="AD565" s="79"/>
      <c r="AE565" s="79"/>
    </row>
    <row r="566" spans="1:31" ht="16.5" x14ac:dyDescent="0.35">
      <c r="A566" s="71">
        <v>560</v>
      </c>
      <c r="B566" s="72">
        <v>2005222065</v>
      </c>
      <c r="C566" s="80" t="s">
        <v>229</v>
      </c>
      <c r="D566" s="81" t="s">
        <v>230</v>
      </c>
      <c r="E566" s="72" t="s">
        <v>196</v>
      </c>
      <c r="F566" s="76">
        <v>2</v>
      </c>
      <c r="G566" s="72" t="s">
        <v>925</v>
      </c>
      <c r="H566" s="78">
        <v>45589</v>
      </c>
      <c r="I566" s="72" t="s">
        <v>1299</v>
      </c>
      <c r="J566" s="72">
        <v>6.5</v>
      </c>
      <c r="K566" s="72"/>
      <c r="L566" s="72" t="s">
        <v>1300</v>
      </c>
      <c r="M566" s="78">
        <v>45784</v>
      </c>
      <c r="N566" s="72" t="s">
        <v>1299</v>
      </c>
      <c r="O566" s="72">
        <v>8</v>
      </c>
      <c r="P566" s="72"/>
      <c r="Q566" s="72"/>
      <c r="R566" s="78"/>
      <c r="S566" s="72"/>
      <c r="T566" s="72"/>
      <c r="U566" s="72"/>
      <c r="V566" s="72"/>
      <c r="W566" s="72"/>
      <c r="X566" s="72"/>
      <c r="Y566" s="72"/>
      <c r="Z566" s="72"/>
      <c r="AA566" s="79"/>
      <c r="AB566" s="79"/>
      <c r="AC566" s="79"/>
      <c r="AD566" s="79"/>
      <c r="AE566" s="79"/>
    </row>
    <row r="567" spans="1:31" ht="16.5" x14ac:dyDescent="0.35">
      <c r="A567" s="71">
        <v>561</v>
      </c>
      <c r="B567" s="72">
        <v>2005222140</v>
      </c>
      <c r="C567" s="80" t="s">
        <v>231</v>
      </c>
      <c r="D567" s="81" t="s">
        <v>232</v>
      </c>
      <c r="E567" s="72" t="s">
        <v>196</v>
      </c>
      <c r="F567" s="76">
        <v>1</v>
      </c>
      <c r="G567" s="72" t="s">
        <v>924</v>
      </c>
      <c r="H567" s="78">
        <v>45817</v>
      </c>
      <c r="I567" s="72" t="s">
        <v>1299</v>
      </c>
      <c r="J567" s="72">
        <v>8.5</v>
      </c>
      <c r="K567" s="72"/>
      <c r="L567" s="72"/>
      <c r="M567" s="72"/>
      <c r="N567" s="72"/>
      <c r="O567" s="72"/>
      <c r="P567" s="72"/>
      <c r="Q567" s="72"/>
      <c r="R567" s="78"/>
      <c r="S567" s="72"/>
      <c r="T567" s="72"/>
      <c r="U567" s="72"/>
      <c r="V567" s="72"/>
      <c r="W567" s="72"/>
      <c r="X567" s="72"/>
      <c r="Y567" s="72"/>
      <c r="Z567" s="72"/>
      <c r="AA567" s="79"/>
      <c r="AB567" s="79"/>
      <c r="AC567" s="79"/>
      <c r="AD567" s="79"/>
      <c r="AE567" s="79"/>
    </row>
    <row r="568" spans="1:31" ht="16.5" x14ac:dyDescent="0.35">
      <c r="A568" s="71">
        <v>562</v>
      </c>
      <c r="B568" s="72">
        <v>2005222253</v>
      </c>
      <c r="C568" s="80" t="s">
        <v>201</v>
      </c>
      <c r="D568" s="81" t="s">
        <v>202</v>
      </c>
      <c r="E568" s="72" t="s">
        <v>196</v>
      </c>
      <c r="F568" s="76">
        <v>4</v>
      </c>
      <c r="G568" s="72" t="s">
        <v>1300</v>
      </c>
      <c r="H568" s="78">
        <v>45631</v>
      </c>
      <c r="I568" s="72" t="s">
        <v>1299</v>
      </c>
      <c r="J568" s="72">
        <v>6.5</v>
      </c>
      <c r="K568" s="72"/>
      <c r="L568" s="72" t="s">
        <v>1298</v>
      </c>
      <c r="M568" s="78">
        <v>45632</v>
      </c>
      <c r="N568" s="72" t="s">
        <v>1299</v>
      </c>
      <c r="O568" s="72">
        <v>8.5</v>
      </c>
      <c r="P568" s="72"/>
      <c r="Q568" s="72" t="s">
        <v>924</v>
      </c>
      <c r="R568" s="78">
        <v>45803</v>
      </c>
      <c r="S568" s="72" t="s">
        <v>1299</v>
      </c>
      <c r="T568" s="72">
        <v>9.5</v>
      </c>
      <c r="U568" s="72"/>
      <c r="V568" s="72" t="s">
        <v>2042</v>
      </c>
      <c r="W568" s="78">
        <v>45672</v>
      </c>
      <c r="X568" s="72" t="s">
        <v>1299</v>
      </c>
      <c r="Y568" s="72">
        <v>8.5</v>
      </c>
      <c r="Z568" s="72"/>
      <c r="AA568" s="79"/>
      <c r="AB568" s="79"/>
      <c r="AC568" s="79"/>
      <c r="AD568" s="79"/>
      <c r="AE568" s="79"/>
    </row>
    <row r="569" spans="1:31" ht="16.5" x14ac:dyDescent="0.35">
      <c r="A569" s="71">
        <v>563</v>
      </c>
      <c r="B569" s="72">
        <v>2005222347</v>
      </c>
      <c r="C569" s="80" t="s">
        <v>234</v>
      </c>
      <c r="D569" s="81" t="s">
        <v>29</v>
      </c>
      <c r="E569" s="72" t="s">
        <v>196</v>
      </c>
      <c r="F569" s="76">
        <v>2</v>
      </c>
      <c r="G569" s="72" t="s">
        <v>925</v>
      </c>
      <c r="H569" s="78">
        <v>45636</v>
      </c>
      <c r="I569" s="72" t="s">
        <v>1299</v>
      </c>
      <c r="J569" s="72">
        <v>8</v>
      </c>
      <c r="K569" s="72"/>
      <c r="L569" s="72" t="s">
        <v>1300</v>
      </c>
      <c r="M569" s="78">
        <v>45742</v>
      </c>
      <c r="N569" s="72" t="s">
        <v>1299</v>
      </c>
      <c r="O569" s="72">
        <v>8.5</v>
      </c>
      <c r="P569" s="72"/>
      <c r="Q569" s="72"/>
      <c r="R569" s="78"/>
      <c r="S569" s="72"/>
      <c r="T569" s="72"/>
      <c r="U569" s="72"/>
      <c r="V569" s="72"/>
      <c r="W569" s="72"/>
      <c r="X569" s="72"/>
      <c r="Y569" s="72"/>
      <c r="Z569" s="72"/>
      <c r="AA569" s="79"/>
      <c r="AB569" s="79"/>
      <c r="AC569" s="79"/>
      <c r="AD569" s="79"/>
      <c r="AE569" s="79"/>
    </row>
    <row r="570" spans="1:31" ht="16.5" x14ac:dyDescent="0.35">
      <c r="A570" s="71">
        <v>564</v>
      </c>
      <c r="B570" s="72">
        <v>2005222582</v>
      </c>
      <c r="C570" s="80" t="s">
        <v>236</v>
      </c>
      <c r="D570" s="81" t="s">
        <v>237</v>
      </c>
      <c r="E570" s="72" t="s">
        <v>196</v>
      </c>
      <c r="F570" s="76">
        <v>2</v>
      </c>
      <c r="G570" s="72" t="s">
        <v>925</v>
      </c>
      <c r="H570" s="78">
        <v>45433</v>
      </c>
      <c r="I570" s="72" t="s">
        <v>1299</v>
      </c>
      <c r="J570" s="72">
        <v>8</v>
      </c>
      <c r="K570" s="72"/>
      <c r="L570" s="72" t="s">
        <v>924</v>
      </c>
      <c r="M570" s="78">
        <v>45645</v>
      </c>
      <c r="N570" s="72" t="s">
        <v>1299</v>
      </c>
      <c r="O570" s="72">
        <v>8.5</v>
      </c>
      <c r="P570" s="72">
        <v>1</v>
      </c>
      <c r="Q570" s="72"/>
      <c r="R570" s="78"/>
      <c r="S570" s="72"/>
      <c r="T570" s="72"/>
      <c r="U570" s="72"/>
      <c r="V570" s="72"/>
      <c r="W570" s="72"/>
      <c r="X570" s="72"/>
      <c r="Y570" s="72"/>
      <c r="Z570" s="72"/>
      <c r="AA570" s="79"/>
      <c r="AB570" s="79"/>
      <c r="AC570" s="79"/>
      <c r="AD570" s="79"/>
      <c r="AE570" s="79"/>
    </row>
    <row r="571" spans="1:31" ht="16.5" x14ac:dyDescent="0.35">
      <c r="A571" s="71">
        <v>565</v>
      </c>
      <c r="B571" s="72">
        <v>2005222625</v>
      </c>
      <c r="C571" s="80" t="s">
        <v>238</v>
      </c>
      <c r="D571" s="81" t="s">
        <v>239</v>
      </c>
      <c r="E571" s="72" t="s">
        <v>196</v>
      </c>
      <c r="F571" s="76">
        <v>3</v>
      </c>
      <c r="G571" s="72" t="s">
        <v>925</v>
      </c>
      <c r="H571" s="78">
        <v>45398</v>
      </c>
      <c r="I571" s="72" t="s">
        <v>1299</v>
      </c>
      <c r="J571" s="72">
        <v>7</v>
      </c>
      <c r="K571" s="72"/>
      <c r="L571" s="72" t="s">
        <v>925</v>
      </c>
      <c r="M571" s="78">
        <v>45356</v>
      </c>
      <c r="N571" s="72" t="s">
        <v>1299</v>
      </c>
      <c r="O571" s="72">
        <v>5.5</v>
      </c>
      <c r="P571" s="72"/>
      <c r="Q571" s="72" t="s">
        <v>925</v>
      </c>
      <c r="R571" s="78">
        <v>45797</v>
      </c>
      <c r="S571" s="72" t="s">
        <v>1299</v>
      </c>
      <c r="T571" s="72">
        <v>6.5</v>
      </c>
      <c r="U571" s="72"/>
      <c r="V571" s="72"/>
      <c r="W571" s="72"/>
      <c r="X571" s="72"/>
      <c r="Y571" s="72"/>
      <c r="Z571" s="72"/>
      <c r="AA571" s="79"/>
      <c r="AB571" s="79"/>
      <c r="AC571" s="79"/>
      <c r="AD571" s="79"/>
      <c r="AE571" s="79"/>
    </row>
    <row r="572" spans="1:31" ht="16.5" x14ac:dyDescent="0.35">
      <c r="A572" s="71">
        <v>566</v>
      </c>
      <c r="B572" s="72">
        <v>2005222757</v>
      </c>
      <c r="C572" s="80" t="s">
        <v>272</v>
      </c>
      <c r="D572" s="81" t="s">
        <v>152</v>
      </c>
      <c r="E572" s="72" t="s">
        <v>196</v>
      </c>
      <c r="F572" s="76">
        <v>4</v>
      </c>
      <c r="G572" s="72" t="s">
        <v>1298</v>
      </c>
      <c r="H572" s="78">
        <v>45632</v>
      </c>
      <c r="I572" s="72" t="s">
        <v>1299</v>
      </c>
      <c r="J572" s="72">
        <v>9</v>
      </c>
      <c r="K572" s="72"/>
      <c r="L572" s="72" t="s">
        <v>1300</v>
      </c>
      <c r="M572" s="78">
        <v>45742</v>
      </c>
      <c r="N572" s="72" t="s">
        <v>1299</v>
      </c>
      <c r="O572" s="72">
        <v>8</v>
      </c>
      <c r="P572" s="72"/>
      <c r="Q572" s="72" t="s">
        <v>924</v>
      </c>
      <c r="R572" s="78">
        <v>45787</v>
      </c>
      <c r="S572" s="72" t="s">
        <v>1299</v>
      </c>
      <c r="T572" s="72">
        <v>9</v>
      </c>
      <c r="U572" s="72"/>
      <c r="V572" s="72" t="s">
        <v>2042</v>
      </c>
      <c r="W572" s="78">
        <v>45672</v>
      </c>
      <c r="X572" s="72" t="s">
        <v>1299</v>
      </c>
      <c r="Y572" s="72">
        <v>9</v>
      </c>
      <c r="Z572" s="72"/>
      <c r="AA572" s="79"/>
      <c r="AB572" s="79"/>
      <c r="AC572" s="79"/>
      <c r="AD572" s="79"/>
      <c r="AE572" s="79"/>
    </row>
    <row r="573" spans="1:31" ht="16.5" x14ac:dyDescent="0.35">
      <c r="A573" s="71">
        <v>567</v>
      </c>
      <c r="B573" s="72">
        <v>2005222992</v>
      </c>
      <c r="C573" s="80" t="s">
        <v>240</v>
      </c>
      <c r="D573" s="81" t="s">
        <v>241</v>
      </c>
      <c r="E573" s="72" t="s">
        <v>196</v>
      </c>
      <c r="F573" s="76">
        <v>2</v>
      </c>
      <c r="G573" s="72" t="s">
        <v>925</v>
      </c>
      <c r="H573" s="78">
        <v>45589</v>
      </c>
      <c r="I573" s="72" t="s">
        <v>1299</v>
      </c>
      <c r="J573" s="72">
        <v>7</v>
      </c>
      <c r="K573" s="72"/>
      <c r="L573" s="72" t="s">
        <v>1300</v>
      </c>
      <c r="M573" s="78">
        <v>45784</v>
      </c>
      <c r="N573" s="72" t="s">
        <v>1299</v>
      </c>
      <c r="O573" s="72">
        <v>5.5</v>
      </c>
      <c r="P573" s="72"/>
      <c r="Q573" s="72"/>
      <c r="R573" s="78"/>
      <c r="S573" s="72"/>
      <c r="T573" s="72"/>
      <c r="U573" s="72"/>
      <c r="V573" s="72"/>
      <c r="W573" s="72"/>
      <c r="X573" s="72"/>
      <c r="Y573" s="72"/>
      <c r="Z573" s="72"/>
      <c r="AA573" s="79"/>
      <c r="AB573" s="79"/>
      <c r="AC573" s="79"/>
      <c r="AD573" s="79"/>
      <c r="AE573" s="79"/>
    </row>
    <row r="574" spans="1:31" ht="16.5" x14ac:dyDescent="0.35">
      <c r="A574" s="71">
        <v>568</v>
      </c>
      <c r="B574" s="72">
        <v>2005223088</v>
      </c>
      <c r="C574" s="80" t="s">
        <v>242</v>
      </c>
      <c r="D574" s="81" t="s">
        <v>51</v>
      </c>
      <c r="E574" s="72" t="s">
        <v>196</v>
      </c>
      <c r="F574" s="76">
        <v>2</v>
      </c>
      <c r="G574" s="72" t="s">
        <v>1300</v>
      </c>
      <c r="H574" s="78">
        <v>45644</v>
      </c>
      <c r="I574" s="72" t="s">
        <v>1299</v>
      </c>
      <c r="J574" s="72">
        <v>9</v>
      </c>
      <c r="K574" s="72"/>
      <c r="L574" s="72" t="s">
        <v>924</v>
      </c>
      <c r="M574" s="78">
        <v>45776</v>
      </c>
      <c r="N574" s="72" t="s">
        <v>1299</v>
      </c>
      <c r="O574" s="72">
        <v>7</v>
      </c>
      <c r="P574" s="72"/>
      <c r="Q574" s="72"/>
      <c r="R574" s="78"/>
      <c r="S574" s="72"/>
      <c r="T574" s="72"/>
      <c r="U574" s="72"/>
      <c r="V574" s="72"/>
      <c r="W574" s="72"/>
      <c r="X574" s="72"/>
      <c r="Y574" s="72"/>
      <c r="Z574" s="72"/>
      <c r="AA574" s="79"/>
      <c r="AB574" s="79"/>
      <c r="AC574" s="79"/>
      <c r="AD574" s="79"/>
      <c r="AE574" s="79"/>
    </row>
    <row r="575" spans="1:31" ht="16.5" x14ac:dyDescent="0.35">
      <c r="A575" s="71">
        <v>569</v>
      </c>
      <c r="B575" s="72">
        <v>2005223092</v>
      </c>
      <c r="C575" s="80" t="s">
        <v>244</v>
      </c>
      <c r="D575" s="81" t="s">
        <v>51</v>
      </c>
      <c r="E575" s="72" t="s">
        <v>196</v>
      </c>
      <c r="F575" s="76">
        <v>2</v>
      </c>
      <c r="G575" s="72" t="s">
        <v>1300</v>
      </c>
      <c r="H575" s="78">
        <v>45448</v>
      </c>
      <c r="I575" s="72" t="s">
        <v>1299</v>
      </c>
      <c r="J575" s="72">
        <v>6.5</v>
      </c>
      <c r="K575" s="72"/>
      <c r="L575" s="72" t="s">
        <v>1304</v>
      </c>
      <c r="M575" s="78">
        <v>45628</v>
      </c>
      <c r="N575" s="72" t="s">
        <v>1299</v>
      </c>
      <c r="O575" s="72">
        <v>8.5</v>
      </c>
      <c r="P575" s="72"/>
      <c r="Q575" s="72"/>
      <c r="R575" s="78"/>
      <c r="S575" s="72"/>
      <c r="T575" s="72"/>
      <c r="U575" s="72"/>
      <c r="V575" s="72"/>
      <c r="W575" s="72"/>
      <c r="X575" s="72"/>
      <c r="Y575" s="72"/>
      <c r="Z575" s="72"/>
      <c r="AA575" s="79"/>
      <c r="AB575" s="79"/>
      <c r="AC575" s="79"/>
      <c r="AD575" s="79"/>
      <c r="AE575" s="79"/>
    </row>
    <row r="576" spans="1:31" ht="16.5" x14ac:dyDescent="0.35">
      <c r="A576" s="71">
        <v>570</v>
      </c>
      <c r="B576" s="72">
        <v>2005223089</v>
      </c>
      <c r="C576" s="80" t="s">
        <v>274</v>
      </c>
      <c r="D576" s="81" t="s">
        <v>51</v>
      </c>
      <c r="E576" s="72" t="s">
        <v>196</v>
      </c>
      <c r="F576" s="76">
        <v>2</v>
      </c>
      <c r="G576" s="72" t="s">
        <v>1300</v>
      </c>
      <c r="H576" s="78">
        <v>45742</v>
      </c>
      <c r="I576" s="72" t="s">
        <v>1299</v>
      </c>
      <c r="J576" s="72">
        <v>9</v>
      </c>
      <c r="K576" s="72"/>
      <c r="L576" s="72" t="s">
        <v>924</v>
      </c>
      <c r="M576" s="78">
        <v>45787</v>
      </c>
      <c r="N576" s="72" t="s">
        <v>1299</v>
      </c>
      <c r="O576" s="72">
        <v>9</v>
      </c>
      <c r="P576" s="72"/>
      <c r="Q576" s="72"/>
      <c r="R576" s="78"/>
      <c r="S576" s="72"/>
      <c r="T576" s="72"/>
      <c r="U576" s="72"/>
      <c r="V576" s="72"/>
      <c r="W576" s="72"/>
      <c r="X576" s="72"/>
      <c r="Y576" s="72"/>
      <c r="Z576" s="72"/>
      <c r="AA576" s="79"/>
      <c r="AB576" s="79"/>
      <c r="AC576" s="79"/>
      <c r="AD576" s="79"/>
      <c r="AE576" s="79"/>
    </row>
    <row r="577" spans="1:31" ht="16.5" x14ac:dyDescent="0.35">
      <c r="A577" s="71">
        <v>571</v>
      </c>
      <c r="B577" s="72">
        <v>2005223139</v>
      </c>
      <c r="C577" s="80" t="s">
        <v>204</v>
      </c>
      <c r="D577" s="81" t="s">
        <v>205</v>
      </c>
      <c r="E577" s="72" t="s">
        <v>196</v>
      </c>
      <c r="F577" s="76">
        <v>4</v>
      </c>
      <c r="G577" s="72" t="s">
        <v>1300</v>
      </c>
      <c r="H577" s="78">
        <v>45455</v>
      </c>
      <c r="I577" s="72" t="s">
        <v>1299</v>
      </c>
      <c r="J577" s="72">
        <v>6.5</v>
      </c>
      <c r="K577" s="72"/>
      <c r="L577" s="72" t="s">
        <v>1300</v>
      </c>
      <c r="M577" s="78">
        <v>45631</v>
      </c>
      <c r="N577" s="72" t="s">
        <v>1299</v>
      </c>
      <c r="O577" s="72">
        <v>7.5</v>
      </c>
      <c r="P577" s="72"/>
      <c r="Q577" s="72" t="s">
        <v>1298</v>
      </c>
      <c r="R577" s="78">
        <v>45632</v>
      </c>
      <c r="S577" s="72" t="s">
        <v>1299</v>
      </c>
      <c r="T577" s="72">
        <v>8</v>
      </c>
      <c r="U577" s="72"/>
      <c r="V577" s="72" t="s">
        <v>2042</v>
      </c>
      <c r="W577" s="78">
        <v>45672</v>
      </c>
      <c r="X577" s="72" t="s">
        <v>1299</v>
      </c>
      <c r="Y577" s="72">
        <v>8</v>
      </c>
      <c r="Z577" s="72"/>
      <c r="AA577" s="79"/>
      <c r="AB577" s="79"/>
      <c r="AC577" s="79"/>
      <c r="AD577" s="79"/>
      <c r="AE577" s="79"/>
    </row>
    <row r="578" spans="1:31" ht="16.5" x14ac:dyDescent="0.35">
      <c r="A578" s="71">
        <v>572</v>
      </c>
      <c r="B578" s="72">
        <v>2005223353</v>
      </c>
      <c r="C578" s="80" t="s">
        <v>1194</v>
      </c>
      <c r="D578" s="81" t="s">
        <v>76</v>
      </c>
      <c r="E578" s="72" t="s">
        <v>196</v>
      </c>
      <c r="F578" s="76">
        <v>0</v>
      </c>
      <c r="G578" s="72"/>
      <c r="H578" s="78"/>
      <c r="I578" s="72"/>
      <c r="J578" s="72"/>
      <c r="K578" s="72"/>
      <c r="L578" s="72"/>
      <c r="M578" s="72"/>
      <c r="N578" s="72"/>
      <c r="O578" s="72"/>
      <c r="P578" s="72"/>
      <c r="Q578" s="72"/>
      <c r="R578" s="78"/>
      <c r="S578" s="72"/>
      <c r="T578" s="72"/>
      <c r="U578" s="72"/>
      <c r="V578" s="72"/>
      <c r="W578" s="72"/>
      <c r="X578" s="72"/>
      <c r="Y578" s="72"/>
      <c r="Z578" s="72"/>
      <c r="AA578" s="79"/>
      <c r="AB578" s="79"/>
      <c r="AC578" s="79"/>
      <c r="AD578" s="79"/>
      <c r="AE578" s="79"/>
    </row>
    <row r="579" spans="1:31" ht="16.5" x14ac:dyDescent="0.35">
      <c r="A579" s="71">
        <v>573</v>
      </c>
      <c r="B579" s="72">
        <v>2005223322</v>
      </c>
      <c r="C579" s="80" t="s">
        <v>245</v>
      </c>
      <c r="D579" s="81" t="s">
        <v>76</v>
      </c>
      <c r="E579" s="72" t="s">
        <v>196</v>
      </c>
      <c r="F579" s="76">
        <v>2</v>
      </c>
      <c r="G579" s="72" t="s">
        <v>924</v>
      </c>
      <c r="H579" s="78">
        <v>45645</v>
      </c>
      <c r="I579" s="72" t="s">
        <v>1299</v>
      </c>
      <c r="J579" s="72">
        <v>6.5</v>
      </c>
      <c r="K579" s="72"/>
      <c r="L579" s="72" t="s">
        <v>925</v>
      </c>
      <c r="M579" s="78">
        <v>45797</v>
      </c>
      <c r="N579" s="72" t="s">
        <v>1299</v>
      </c>
      <c r="O579" s="72">
        <v>7.5</v>
      </c>
      <c r="P579" s="72"/>
      <c r="Q579" s="72"/>
      <c r="R579" s="78"/>
      <c r="S579" s="72"/>
      <c r="T579" s="72"/>
      <c r="U579" s="72"/>
      <c r="V579" s="72"/>
      <c r="W579" s="72"/>
      <c r="X579" s="72"/>
      <c r="Y579" s="72"/>
      <c r="Z579" s="72"/>
      <c r="AA579" s="79"/>
      <c r="AB579" s="79"/>
      <c r="AC579" s="79"/>
      <c r="AD579" s="79"/>
      <c r="AE579" s="79"/>
    </row>
    <row r="580" spans="1:31" ht="16.5" x14ac:dyDescent="0.35">
      <c r="A580" s="71">
        <v>574</v>
      </c>
      <c r="B580" s="72">
        <v>2005223327</v>
      </c>
      <c r="C580" s="80" t="s">
        <v>236</v>
      </c>
      <c r="D580" s="81" t="s">
        <v>76</v>
      </c>
      <c r="E580" s="72" t="s">
        <v>196</v>
      </c>
      <c r="F580" s="76">
        <v>2</v>
      </c>
      <c r="G580" s="72" t="s">
        <v>925</v>
      </c>
      <c r="H580" s="78">
        <v>45433</v>
      </c>
      <c r="I580" s="72" t="s">
        <v>1299</v>
      </c>
      <c r="J580" s="72">
        <v>8</v>
      </c>
      <c r="K580" s="72"/>
      <c r="L580" s="72" t="s">
        <v>924</v>
      </c>
      <c r="M580" s="78">
        <v>45776</v>
      </c>
      <c r="N580" s="72" t="s">
        <v>1299</v>
      </c>
      <c r="O580" s="72">
        <v>7</v>
      </c>
      <c r="P580" s="72"/>
      <c r="Q580" s="72"/>
      <c r="R580" s="78"/>
      <c r="S580" s="72"/>
      <c r="T580" s="72"/>
      <c r="U580" s="72"/>
      <c r="V580" s="72"/>
      <c r="W580" s="72"/>
      <c r="X580" s="72"/>
      <c r="Y580" s="72"/>
      <c r="Z580" s="72"/>
      <c r="AA580" s="79"/>
      <c r="AB580" s="79"/>
      <c r="AC580" s="79"/>
      <c r="AD580" s="79"/>
      <c r="AE580" s="79"/>
    </row>
    <row r="581" spans="1:31" ht="16.5" x14ac:dyDescent="0.35">
      <c r="A581" s="71">
        <v>575</v>
      </c>
      <c r="B581" s="72">
        <v>2005223365</v>
      </c>
      <c r="C581" s="80" t="s">
        <v>246</v>
      </c>
      <c r="D581" s="81" t="s">
        <v>76</v>
      </c>
      <c r="E581" s="72" t="s">
        <v>196</v>
      </c>
      <c r="F581" s="76">
        <v>2</v>
      </c>
      <c r="G581" s="72" t="s">
        <v>925</v>
      </c>
      <c r="H581" s="78">
        <v>45589</v>
      </c>
      <c r="I581" s="72" t="s">
        <v>1299</v>
      </c>
      <c r="J581" s="72">
        <v>7</v>
      </c>
      <c r="K581" s="72"/>
      <c r="L581" s="72" t="s">
        <v>1300</v>
      </c>
      <c r="M581" s="78">
        <v>45784</v>
      </c>
      <c r="N581" s="72" t="s">
        <v>1299</v>
      </c>
      <c r="O581" s="72">
        <v>6.5</v>
      </c>
      <c r="P581" s="72"/>
      <c r="Q581" s="72"/>
      <c r="R581" s="78"/>
      <c r="S581" s="72"/>
      <c r="T581" s="72"/>
      <c r="U581" s="72"/>
      <c r="V581" s="72"/>
      <c r="W581" s="72"/>
      <c r="X581" s="72"/>
      <c r="Y581" s="72"/>
      <c r="Z581" s="72"/>
      <c r="AA581" s="79"/>
      <c r="AB581" s="79"/>
      <c r="AC581" s="79"/>
      <c r="AD581" s="79"/>
      <c r="AE581" s="79"/>
    </row>
    <row r="582" spans="1:31" ht="16.5" x14ac:dyDescent="0.35">
      <c r="A582" s="71">
        <v>576</v>
      </c>
      <c r="B582" s="72">
        <v>2005223551</v>
      </c>
      <c r="C582" s="80" t="s">
        <v>277</v>
      </c>
      <c r="D582" s="81" t="s">
        <v>278</v>
      </c>
      <c r="E582" s="72" t="s">
        <v>196</v>
      </c>
      <c r="F582" s="76">
        <v>2</v>
      </c>
      <c r="G582" s="72" t="s">
        <v>1301</v>
      </c>
      <c r="H582" s="78">
        <v>45630</v>
      </c>
      <c r="I582" s="72" t="s">
        <v>1299</v>
      </c>
      <c r="J582" s="72">
        <v>8</v>
      </c>
      <c r="K582" s="72"/>
      <c r="L582" s="72" t="s">
        <v>924</v>
      </c>
      <c r="M582" s="78">
        <v>45776</v>
      </c>
      <c r="N582" s="72" t="s">
        <v>1299</v>
      </c>
      <c r="O582" s="72">
        <v>8</v>
      </c>
      <c r="P582" s="72"/>
      <c r="Q582" s="72"/>
      <c r="R582" s="78"/>
      <c r="S582" s="72"/>
      <c r="T582" s="72"/>
      <c r="U582" s="72"/>
      <c r="V582" s="72"/>
      <c r="W582" s="72"/>
      <c r="X582" s="72"/>
      <c r="Y582" s="72"/>
      <c r="Z582" s="72"/>
      <c r="AA582" s="79"/>
      <c r="AB582" s="79"/>
      <c r="AC582" s="79"/>
      <c r="AD582" s="79"/>
      <c r="AE582" s="79"/>
    </row>
    <row r="583" spans="1:31" ht="16.5" x14ac:dyDescent="0.35">
      <c r="A583" s="71">
        <v>577</v>
      </c>
      <c r="B583" s="72">
        <v>2005223568</v>
      </c>
      <c r="C583" s="80" t="s">
        <v>248</v>
      </c>
      <c r="D583" s="81" t="s">
        <v>249</v>
      </c>
      <c r="E583" s="72" t="s">
        <v>196</v>
      </c>
      <c r="F583" s="76">
        <v>2</v>
      </c>
      <c r="G583" s="72" t="s">
        <v>1300</v>
      </c>
      <c r="H583" s="78">
        <v>45756</v>
      </c>
      <c r="I583" s="72" t="s">
        <v>1299</v>
      </c>
      <c r="J583" s="72">
        <v>8.5</v>
      </c>
      <c r="K583" s="72"/>
      <c r="L583" s="72" t="s">
        <v>925</v>
      </c>
      <c r="M583" s="78">
        <v>45769</v>
      </c>
      <c r="N583" s="72" t="s">
        <v>1299</v>
      </c>
      <c r="O583" s="72">
        <v>9.5</v>
      </c>
      <c r="P583" s="72"/>
      <c r="Q583" s="72"/>
      <c r="R583" s="78"/>
      <c r="S583" s="72"/>
      <c r="T583" s="72"/>
      <c r="U583" s="72"/>
      <c r="V583" s="72"/>
      <c r="W583" s="72"/>
      <c r="X583" s="72"/>
      <c r="Y583" s="72"/>
      <c r="Z583" s="72"/>
      <c r="AA583" s="79"/>
      <c r="AB583" s="79"/>
      <c r="AC583" s="79"/>
      <c r="AD583" s="79"/>
      <c r="AE583" s="79"/>
    </row>
    <row r="584" spans="1:31" ht="16.5" x14ac:dyDescent="0.35">
      <c r="A584" s="71">
        <v>578</v>
      </c>
      <c r="B584" s="72">
        <v>2005223652</v>
      </c>
      <c r="C584" s="80" t="s">
        <v>223</v>
      </c>
      <c r="D584" s="81" t="s">
        <v>251</v>
      </c>
      <c r="E584" s="72" t="s">
        <v>196</v>
      </c>
      <c r="F584" s="76">
        <v>2</v>
      </c>
      <c r="G584" s="72" t="s">
        <v>924</v>
      </c>
      <c r="H584" s="78">
        <v>45637</v>
      </c>
      <c r="I584" s="72" t="s">
        <v>1299</v>
      </c>
      <c r="J584" s="72">
        <v>6</v>
      </c>
      <c r="K584" s="72"/>
      <c r="L584" s="72" t="s">
        <v>1301</v>
      </c>
      <c r="M584" s="78">
        <v>45785</v>
      </c>
      <c r="N584" s="72" t="s">
        <v>1299</v>
      </c>
      <c r="O584" s="72">
        <v>9</v>
      </c>
      <c r="P584" s="72"/>
      <c r="Q584" s="72"/>
      <c r="R584" s="78"/>
      <c r="S584" s="72"/>
      <c r="T584" s="72"/>
      <c r="U584" s="72"/>
      <c r="V584" s="72"/>
      <c r="W584" s="72"/>
      <c r="X584" s="72"/>
      <c r="Y584" s="72"/>
      <c r="Z584" s="72"/>
      <c r="AA584" s="79"/>
      <c r="AB584" s="79"/>
      <c r="AC584" s="79"/>
      <c r="AD584" s="79"/>
      <c r="AE584" s="79"/>
    </row>
    <row r="585" spans="1:31" ht="16.5" x14ac:dyDescent="0.35">
      <c r="A585" s="71">
        <v>579</v>
      </c>
      <c r="B585" s="72">
        <v>2005223855</v>
      </c>
      <c r="C585" s="80" t="s">
        <v>195</v>
      </c>
      <c r="D585" s="81" t="s">
        <v>31</v>
      </c>
      <c r="E585" s="72" t="s">
        <v>196</v>
      </c>
      <c r="F585" s="76">
        <v>2</v>
      </c>
      <c r="G585" s="72" t="s">
        <v>924</v>
      </c>
      <c r="H585" s="78">
        <v>45629</v>
      </c>
      <c r="I585" s="72" t="s">
        <v>1299</v>
      </c>
      <c r="J585" s="72">
        <v>7.5</v>
      </c>
      <c r="K585" s="72"/>
      <c r="L585" s="72" t="s">
        <v>1300</v>
      </c>
      <c r="M585" s="78">
        <v>45631</v>
      </c>
      <c r="N585" s="72" t="s">
        <v>1299</v>
      </c>
      <c r="O585" s="72">
        <v>8</v>
      </c>
      <c r="P585" s="72"/>
      <c r="Q585" s="72"/>
      <c r="R585" s="78"/>
      <c r="S585" s="72"/>
      <c r="T585" s="72"/>
      <c r="U585" s="72"/>
      <c r="V585" s="72"/>
      <c r="W585" s="72"/>
      <c r="X585" s="72"/>
      <c r="Y585" s="72"/>
      <c r="Z585" s="72"/>
      <c r="AA585" s="79"/>
      <c r="AB585" s="79"/>
      <c r="AC585" s="79"/>
      <c r="AD585" s="79"/>
      <c r="AE585" s="79"/>
    </row>
    <row r="586" spans="1:31" ht="16.5" x14ac:dyDescent="0.35">
      <c r="A586" s="71">
        <v>580</v>
      </c>
      <c r="B586" s="72">
        <v>2005223997</v>
      </c>
      <c r="C586" s="80" t="s">
        <v>198</v>
      </c>
      <c r="D586" s="81" t="s">
        <v>147</v>
      </c>
      <c r="E586" s="72" t="s">
        <v>196</v>
      </c>
      <c r="F586" s="76">
        <v>3</v>
      </c>
      <c r="G586" s="72" t="s">
        <v>1298</v>
      </c>
      <c r="H586" s="78">
        <v>45632</v>
      </c>
      <c r="I586" s="72" t="s">
        <v>1299</v>
      </c>
      <c r="J586" s="72">
        <v>9.5</v>
      </c>
      <c r="K586" s="72"/>
      <c r="L586" s="72" t="s">
        <v>1300</v>
      </c>
      <c r="M586" s="78">
        <v>45742</v>
      </c>
      <c r="N586" s="72" t="s">
        <v>1299</v>
      </c>
      <c r="O586" s="72">
        <v>9</v>
      </c>
      <c r="P586" s="72"/>
      <c r="Q586" s="72" t="s">
        <v>2042</v>
      </c>
      <c r="R586" s="78">
        <v>45672</v>
      </c>
      <c r="S586" s="72" t="s">
        <v>1299</v>
      </c>
      <c r="T586" s="72">
        <v>9.5</v>
      </c>
      <c r="U586" s="72"/>
      <c r="V586" s="72"/>
      <c r="W586" s="72"/>
      <c r="X586" s="72"/>
      <c r="Y586" s="72"/>
      <c r="Z586" s="72"/>
      <c r="AA586" s="79"/>
      <c r="AB586" s="79"/>
      <c r="AC586" s="79"/>
      <c r="AD586" s="79"/>
      <c r="AE586" s="79"/>
    </row>
    <row r="587" spans="1:31" ht="16.5" x14ac:dyDescent="0.35">
      <c r="A587" s="71">
        <v>581</v>
      </c>
      <c r="B587" s="72">
        <v>2005224071</v>
      </c>
      <c r="C587" s="80" t="s">
        <v>199</v>
      </c>
      <c r="D587" s="81" t="s">
        <v>65</v>
      </c>
      <c r="E587" s="72" t="s">
        <v>196</v>
      </c>
      <c r="F587" s="76">
        <v>3</v>
      </c>
      <c r="G587" s="72" t="s">
        <v>1300</v>
      </c>
      <c r="H587" s="78">
        <v>45784</v>
      </c>
      <c r="I587" s="72" t="s">
        <v>1299</v>
      </c>
      <c r="J587" s="72">
        <v>9.5</v>
      </c>
      <c r="K587" s="72"/>
      <c r="L587" s="72" t="s">
        <v>924</v>
      </c>
      <c r="M587" s="78">
        <v>45776</v>
      </c>
      <c r="N587" s="72" t="s">
        <v>1299</v>
      </c>
      <c r="O587" s="72">
        <v>9</v>
      </c>
      <c r="P587" s="72"/>
      <c r="Q587" s="72" t="s">
        <v>1300</v>
      </c>
      <c r="R587" s="78">
        <v>45744</v>
      </c>
      <c r="S587" s="72" t="s">
        <v>1299</v>
      </c>
      <c r="T587" s="72">
        <v>4.5</v>
      </c>
      <c r="U587" s="72"/>
      <c r="V587" s="72"/>
      <c r="W587" s="72"/>
      <c r="X587" s="72"/>
      <c r="Y587" s="72"/>
      <c r="Z587" s="72"/>
      <c r="AA587" s="79"/>
      <c r="AB587" s="79"/>
      <c r="AC587" s="79"/>
      <c r="AD587" s="79"/>
      <c r="AE587" s="79"/>
    </row>
    <row r="588" spans="1:31" ht="16.5" x14ac:dyDescent="0.35">
      <c r="A588" s="71">
        <v>582</v>
      </c>
      <c r="B588" s="72">
        <v>2005224093</v>
      </c>
      <c r="C588" s="80" t="s">
        <v>275</v>
      </c>
      <c r="D588" s="81" t="s">
        <v>65</v>
      </c>
      <c r="E588" s="72" t="s">
        <v>196</v>
      </c>
      <c r="F588" s="76">
        <v>3</v>
      </c>
      <c r="G588" s="72" t="s">
        <v>1298</v>
      </c>
      <c r="H588" s="78">
        <v>45632</v>
      </c>
      <c r="I588" s="72" t="s">
        <v>1299</v>
      </c>
      <c r="J588" s="72">
        <v>7</v>
      </c>
      <c r="K588" s="72"/>
      <c r="L588" s="72" t="s">
        <v>1300</v>
      </c>
      <c r="M588" s="78">
        <v>45756</v>
      </c>
      <c r="N588" s="72" t="s">
        <v>1299</v>
      </c>
      <c r="O588" s="72">
        <v>9</v>
      </c>
      <c r="P588" s="72"/>
      <c r="Q588" s="72" t="s">
        <v>924</v>
      </c>
      <c r="R588" s="78">
        <v>45798</v>
      </c>
      <c r="S588" s="72" t="s">
        <v>1299</v>
      </c>
      <c r="T588" s="72">
        <v>8.5</v>
      </c>
      <c r="U588" s="72"/>
      <c r="V588" s="72"/>
      <c r="W588" s="72"/>
      <c r="X588" s="72"/>
      <c r="Y588" s="72"/>
      <c r="Z588" s="72"/>
      <c r="AA588" s="79"/>
      <c r="AB588" s="79"/>
      <c r="AC588" s="79"/>
      <c r="AD588" s="79"/>
      <c r="AE588" s="79"/>
    </row>
    <row r="589" spans="1:31" ht="16.5" x14ac:dyDescent="0.35">
      <c r="A589" s="71">
        <v>583</v>
      </c>
      <c r="B589" s="72">
        <v>2005224086</v>
      </c>
      <c r="C589" s="80" t="s">
        <v>252</v>
      </c>
      <c r="D589" s="81" t="s">
        <v>65</v>
      </c>
      <c r="E589" s="72" t="s">
        <v>196</v>
      </c>
      <c r="F589" s="76">
        <v>2</v>
      </c>
      <c r="G589" s="72" t="s">
        <v>1300</v>
      </c>
      <c r="H589" s="78">
        <v>45644</v>
      </c>
      <c r="I589" s="72" t="s">
        <v>1299</v>
      </c>
      <c r="J589" s="72">
        <v>9</v>
      </c>
      <c r="K589" s="72"/>
      <c r="L589" s="72" t="s">
        <v>924</v>
      </c>
      <c r="M589" s="78">
        <v>45786</v>
      </c>
      <c r="N589" s="72" t="s">
        <v>1299</v>
      </c>
      <c r="O589" s="72">
        <v>7.5</v>
      </c>
      <c r="P589" s="72"/>
      <c r="Q589" s="72"/>
      <c r="R589" s="78"/>
      <c r="S589" s="72"/>
      <c r="T589" s="72"/>
      <c r="U589" s="72"/>
      <c r="V589" s="72"/>
      <c r="W589" s="72"/>
      <c r="X589" s="72"/>
      <c r="Y589" s="72"/>
      <c r="Z589" s="72"/>
      <c r="AA589" s="79"/>
      <c r="AB589" s="79"/>
      <c r="AC589" s="79"/>
      <c r="AD589" s="79"/>
      <c r="AE589" s="79"/>
    </row>
    <row r="590" spans="1:31" ht="16.5" x14ac:dyDescent="0.35">
      <c r="A590" s="71">
        <v>584</v>
      </c>
      <c r="B590" s="72">
        <v>2005224215</v>
      </c>
      <c r="C590" s="80" t="s">
        <v>82</v>
      </c>
      <c r="D590" s="81" t="s">
        <v>208</v>
      </c>
      <c r="E590" s="72" t="s">
        <v>196</v>
      </c>
      <c r="F590" s="76">
        <v>2</v>
      </c>
      <c r="G590" s="72" t="s">
        <v>1300</v>
      </c>
      <c r="H590" s="78">
        <v>45448</v>
      </c>
      <c r="I590" s="72" t="s">
        <v>1299</v>
      </c>
      <c r="J590" s="72">
        <v>9</v>
      </c>
      <c r="K590" s="72"/>
      <c r="L590" s="72" t="s">
        <v>924</v>
      </c>
      <c r="M590" s="78">
        <v>45776</v>
      </c>
      <c r="N590" s="72" t="s">
        <v>1299</v>
      </c>
      <c r="O590" s="72">
        <v>7.5</v>
      </c>
      <c r="P590" s="72"/>
      <c r="Q590" s="72"/>
      <c r="R590" s="78"/>
      <c r="S590" s="72"/>
      <c r="T590" s="72"/>
      <c r="U590" s="72"/>
      <c r="V590" s="72"/>
      <c r="W590" s="72"/>
      <c r="X590" s="72"/>
      <c r="Y590" s="72"/>
      <c r="Z590" s="72"/>
      <c r="AA590" s="79"/>
      <c r="AB590" s="79"/>
      <c r="AC590" s="79"/>
      <c r="AD590" s="79"/>
      <c r="AE590" s="79"/>
    </row>
    <row r="591" spans="1:31" ht="16.5" x14ac:dyDescent="0.35">
      <c r="A591" s="71">
        <v>585</v>
      </c>
      <c r="B591" s="72">
        <v>2005224214</v>
      </c>
      <c r="C591" s="80" t="s">
        <v>207</v>
      </c>
      <c r="D591" s="81" t="s">
        <v>208</v>
      </c>
      <c r="E591" s="72" t="s">
        <v>196</v>
      </c>
      <c r="F591" s="76">
        <v>2</v>
      </c>
      <c r="G591" s="72" t="s">
        <v>1300</v>
      </c>
      <c r="H591" s="78">
        <v>45631</v>
      </c>
      <c r="I591" s="72" t="s">
        <v>1299</v>
      </c>
      <c r="J591" s="72">
        <v>8</v>
      </c>
      <c r="K591" s="72"/>
      <c r="L591" s="72" t="s">
        <v>924</v>
      </c>
      <c r="M591" s="78">
        <v>45776</v>
      </c>
      <c r="N591" s="72" t="s">
        <v>1299</v>
      </c>
      <c r="O591" s="72">
        <v>7.5</v>
      </c>
      <c r="P591" s="72"/>
      <c r="Q591" s="72"/>
      <c r="R591" s="78"/>
      <c r="S591" s="72"/>
      <c r="T591" s="72"/>
      <c r="U591" s="72"/>
      <c r="V591" s="72"/>
      <c r="W591" s="72"/>
      <c r="X591" s="72"/>
      <c r="Y591" s="72"/>
      <c r="Z591" s="72"/>
      <c r="AA591" s="79"/>
      <c r="AB591" s="79"/>
      <c r="AC591" s="79"/>
      <c r="AD591" s="79"/>
      <c r="AE591" s="79"/>
    </row>
    <row r="592" spans="1:31" ht="16.5" x14ac:dyDescent="0.35">
      <c r="A592" s="71">
        <v>586</v>
      </c>
      <c r="B592" s="72">
        <v>2005224313</v>
      </c>
      <c r="C592" s="80" t="s">
        <v>1197</v>
      </c>
      <c r="D592" s="81" t="s">
        <v>1198</v>
      </c>
      <c r="E592" s="72" t="s">
        <v>196</v>
      </c>
      <c r="F592" s="76">
        <v>0</v>
      </c>
      <c r="G592" s="72"/>
      <c r="H592" s="78"/>
      <c r="I592" s="72"/>
      <c r="J592" s="72"/>
      <c r="K592" s="72"/>
      <c r="L592" s="72"/>
      <c r="M592" s="72"/>
      <c r="N592" s="72"/>
      <c r="O592" s="72"/>
      <c r="P592" s="72"/>
      <c r="Q592" s="72"/>
      <c r="R592" s="78"/>
      <c r="S592" s="72"/>
      <c r="T592" s="72"/>
      <c r="U592" s="72"/>
      <c r="V592" s="72"/>
      <c r="W592" s="72"/>
      <c r="X592" s="72"/>
      <c r="Y592" s="72"/>
      <c r="Z592" s="72"/>
      <c r="AA592" s="79"/>
      <c r="AB592" s="79"/>
      <c r="AC592" s="79"/>
      <c r="AD592" s="79"/>
      <c r="AE592" s="79"/>
    </row>
    <row r="593" spans="1:31" ht="16.5" x14ac:dyDescent="0.35">
      <c r="A593" s="71">
        <v>587</v>
      </c>
      <c r="B593" s="72">
        <v>2005224362</v>
      </c>
      <c r="C593" s="80" t="s">
        <v>156</v>
      </c>
      <c r="D593" s="81" t="s">
        <v>54</v>
      </c>
      <c r="E593" s="72" t="s">
        <v>196</v>
      </c>
      <c r="F593" s="76">
        <v>0</v>
      </c>
      <c r="G593" s="72"/>
      <c r="H593" s="78"/>
      <c r="I593" s="72"/>
      <c r="J593" s="72"/>
      <c r="K593" s="72"/>
      <c r="L593" s="72"/>
      <c r="M593" s="72"/>
      <c r="N593" s="72"/>
      <c r="O593" s="72"/>
      <c r="P593" s="72"/>
      <c r="Q593" s="72"/>
      <c r="R593" s="78"/>
      <c r="S593" s="72"/>
      <c r="T593" s="72"/>
      <c r="U593" s="72"/>
      <c r="V593" s="72"/>
      <c r="W593" s="72"/>
      <c r="X593" s="72"/>
      <c r="Y593" s="72"/>
      <c r="Z593" s="72"/>
      <c r="AA593" s="79"/>
      <c r="AB593" s="79"/>
      <c r="AC593" s="79"/>
      <c r="AD593" s="79"/>
      <c r="AE593" s="79"/>
    </row>
    <row r="594" spans="1:31" ht="16.5" x14ac:dyDescent="0.35">
      <c r="A594" s="71">
        <v>588</v>
      </c>
      <c r="B594" s="72">
        <v>2005224383</v>
      </c>
      <c r="C594" s="80" t="s">
        <v>1199</v>
      </c>
      <c r="D594" s="81" t="s">
        <v>1072</v>
      </c>
      <c r="E594" s="72" t="s">
        <v>196</v>
      </c>
      <c r="F594" s="76">
        <v>0</v>
      </c>
      <c r="G594" s="72"/>
      <c r="H594" s="78"/>
      <c r="I594" s="72"/>
      <c r="J594" s="72"/>
      <c r="K594" s="72"/>
      <c r="L594" s="72"/>
      <c r="M594" s="72"/>
      <c r="N594" s="72"/>
      <c r="O594" s="72"/>
      <c r="P594" s="72"/>
      <c r="Q594" s="72"/>
      <c r="R594" s="78"/>
      <c r="S594" s="72"/>
      <c r="T594" s="72"/>
      <c r="U594" s="72"/>
      <c r="V594" s="72"/>
      <c r="W594" s="72"/>
      <c r="X594" s="72"/>
      <c r="Y594" s="72"/>
      <c r="Z594" s="72"/>
      <c r="AA594" s="79"/>
      <c r="AB594" s="79"/>
      <c r="AC594" s="79"/>
      <c r="AD594" s="79"/>
      <c r="AE594" s="79"/>
    </row>
    <row r="595" spans="1:31" ht="16.5" x14ac:dyDescent="0.35">
      <c r="A595" s="71">
        <v>589</v>
      </c>
      <c r="B595" s="72">
        <v>2005224836</v>
      </c>
      <c r="C595" s="80" t="s">
        <v>223</v>
      </c>
      <c r="D595" s="81" t="s">
        <v>254</v>
      </c>
      <c r="E595" s="72" t="s">
        <v>196</v>
      </c>
      <c r="F595" s="76">
        <v>2</v>
      </c>
      <c r="G595" s="72" t="s">
        <v>925</v>
      </c>
      <c r="H595" s="78">
        <v>45433</v>
      </c>
      <c r="I595" s="72" t="s">
        <v>1299</v>
      </c>
      <c r="J595" s="72">
        <v>8</v>
      </c>
      <c r="K595" s="72"/>
      <c r="L595" s="72" t="s">
        <v>1300</v>
      </c>
      <c r="M595" s="78">
        <v>45448</v>
      </c>
      <c r="N595" s="72" t="s">
        <v>1299</v>
      </c>
      <c r="O595" s="72">
        <v>6.5</v>
      </c>
      <c r="P595" s="72"/>
      <c r="Q595" s="72"/>
      <c r="R595" s="78"/>
      <c r="S595" s="72"/>
      <c r="T595" s="72"/>
      <c r="U595" s="72"/>
      <c r="V595" s="72"/>
      <c r="W595" s="72"/>
      <c r="X595" s="72"/>
      <c r="Y595" s="72"/>
      <c r="Z595" s="72"/>
      <c r="AA595" s="79"/>
      <c r="AB595" s="79"/>
      <c r="AC595" s="79"/>
      <c r="AD595" s="79"/>
      <c r="AE595" s="79"/>
    </row>
    <row r="596" spans="1:31" ht="16.5" x14ac:dyDescent="0.35">
      <c r="A596" s="71">
        <v>590</v>
      </c>
      <c r="B596" s="72">
        <v>2005224932</v>
      </c>
      <c r="C596" s="80" t="s">
        <v>210</v>
      </c>
      <c r="D596" s="81" t="s">
        <v>211</v>
      </c>
      <c r="E596" s="72" t="s">
        <v>196</v>
      </c>
      <c r="F596" s="76">
        <v>3</v>
      </c>
      <c r="G596" s="72" t="s">
        <v>1298</v>
      </c>
      <c r="H596" s="78">
        <v>45632</v>
      </c>
      <c r="I596" s="72" t="s">
        <v>1299</v>
      </c>
      <c r="J596" s="72">
        <v>9</v>
      </c>
      <c r="K596" s="72"/>
      <c r="L596" s="72" t="s">
        <v>1300</v>
      </c>
      <c r="M596" s="78">
        <v>45756</v>
      </c>
      <c r="N596" s="72" t="s">
        <v>1299</v>
      </c>
      <c r="O596" s="72">
        <v>8.5</v>
      </c>
      <c r="P596" s="72"/>
      <c r="Q596" s="72" t="s">
        <v>2042</v>
      </c>
      <c r="R596" s="78">
        <v>45672</v>
      </c>
      <c r="S596" s="72" t="s">
        <v>1299</v>
      </c>
      <c r="T596" s="72">
        <v>9</v>
      </c>
      <c r="U596" s="72"/>
      <c r="V596" s="72"/>
      <c r="W596" s="72"/>
      <c r="X596" s="72"/>
      <c r="Y596" s="72"/>
      <c r="Z596" s="72"/>
      <c r="AA596" s="79"/>
      <c r="AB596" s="79"/>
      <c r="AC596" s="79"/>
      <c r="AD596" s="79"/>
      <c r="AE596" s="79"/>
    </row>
    <row r="597" spans="1:31" ht="16.5" x14ac:dyDescent="0.35">
      <c r="A597" s="71">
        <v>591</v>
      </c>
      <c r="B597" s="72">
        <v>2005225103</v>
      </c>
      <c r="C597" s="80" t="s">
        <v>256</v>
      </c>
      <c r="D597" s="81" t="s">
        <v>125</v>
      </c>
      <c r="E597" s="72" t="s">
        <v>196</v>
      </c>
      <c r="F597" s="76">
        <v>3</v>
      </c>
      <c r="G597" s="72" t="s">
        <v>924</v>
      </c>
      <c r="H597" s="78">
        <v>45629</v>
      </c>
      <c r="I597" s="72" t="s">
        <v>1299</v>
      </c>
      <c r="J597" s="72">
        <v>6</v>
      </c>
      <c r="K597" s="72"/>
      <c r="L597" s="72" t="s">
        <v>928</v>
      </c>
      <c r="M597" s="78">
        <v>45800</v>
      </c>
      <c r="N597" s="72" t="s">
        <v>1299</v>
      </c>
      <c r="O597" s="72">
        <v>8.5</v>
      </c>
      <c r="P597" s="72"/>
      <c r="Q597" s="72" t="s">
        <v>925</v>
      </c>
      <c r="R597" s="78">
        <v>45813</v>
      </c>
      <c r="S597" s="72" t="s">
        <v>1299</v>
      </c>
      <c r="T597" s="72">
        <v>7.5</v>
      </c>
      <c r="U597" s="72"/>
      <c r="V597" s="72"/>
      <c r="W597" s="72"/>
      <c r="X597" s="72"/>
      <c r="Y597" s="72"/>
      <c r="Z597" s="72"/>
      <c r="AA597" s="79"/>
      <c r="AB597" s="79"/>
      <c r="AC597" s="79"/>
      <c r="AD597" s="79"/>
      <c r="AE597" s="79"/>
    </row>
    <row r="598" spans="1:31" ht="16.5" x14ac:dyDescent="0.35">
      <c r="A598" s="71">
        <v>592</v>
      </c>
      <c r="B598" s="72">
        <v>2005225378</v>
      </c>
      <c r="C598" s="80" t="s">
        <v>257</v>
      </c>
      <c r="D598" s="81" t="s">
        <v>258</v>
      </c>
      <c r="E598" s="72" t="s">
        <v>196</v>
      </c>
      <c r="F598" s="76">
        <v>3</v>
      </c>
      <c r="G598" s="72" t="s">
        <v>1300</v>
      </c>
      <c r="H598" s="78">
        <v>45737</v>
      </c>
      <c r="I598" s="72" t="s">
        <v>1299</v>
      </c>
      <c r="J598" s="72">
        <v>8.5</v>
      </c>
      <c r="K598" s="72">
        <v>0.5</v>
      </c>
      <c r="L598" s="72" t="s">
        <v>1301</v>
      </c>
      <c r="M598" s="78">
        <v>45783</v>
      </c>
      <c r="N598" s="72" t="s">
        <v>1299</v>
      </c>
      <c r="O598" s="72">
        <v>9</v>
      </c>
      <c r="P598" s="72">
        <v>0.5</v>
      </c>
      <c r="Q598" s="72" t="s">
        <v>924</v>
      </c>
      <c r="R598" s="78">
        <v>45798</v>
      </c>
      <c r="S598" s="72" t="s">
        <v>1299</v>
      </c>
      <c r="T598" s="72">
        <v>8</v>
      </c>
      <c r="U598" s="72"/>
      <c r="V598" s="72"/>
      <c r="W598" s="72"/>
      <c r="X598" s="72"/>
      <c r="Y598" s="72"/>
      <c r="Z598" s="72"/>
      <c r="AA598" s="79"/>
      <c r="AB598" s="79"/>
      <c r="AC598" s="79"/>
      <c r="AD598" s="79"/>
      <c r="AE598" s="79"/>
    </row>
    <row r="599" spans="1:31" ht="16.5" x14ac:dyDescent="0.35">
      <c r="A599" s="71">
        <v>593</v>
      </c>
      <c r="B599" s="72">
        <v>2005225595</v>
      </c>
      <c r="C599" s="80" t="s">
        <v>259</v>
      </c>
      <c r="D599" s="81" t="s">
        <v>115</v>
      </c>
      <c r="E599" s="72" t="s">
        <v>196</v>
      </c>
      <c r="F599" s="76">
        <v>2</v>
      </c>
      <c r="G599" s="72" t="s">
        <v>925</v>
      </c>
      <c r="H599" s="78">
        <v>45433</v>
      </c>
      <c r="I599" s="72" t="s">
        <v>1299</v>
      </c>
      <c r="J599" s="72">
        <v>8</v>
      </c>
      <c r="K599" s="72"/>
      <c r="L599" s="72" t="s">
        <v>1300</v>
      </c>
      <c r="M599" s="78">
        <v>45448</v>
      </c>
      <c r="N599" s="72" t="s">
        <v>1299</v>
      </c>
      <c r="O599" s="72">
        <v>7</v>
      </c>
      <c r="P599" s="72"/>
      <c r="Q599" s="72"/>
      <c r="R599" s="78"/>
      <c r="S599" s="72"/>
      <c r="T599" s="72"/>
      <c r="U599" s="72"/>
      <c r="V599" s="72"/>
      <c r="W599" s="72"/>
      <c r="X599" s="72"/>
      <c r="Y599" s="72"/>
      <c r="Z599" s="72"/>
      <c r="AA599" s="79"/>
      <c r="AB599" s="79"/>
      <c r="AC599" s="79"/>
      <c r="AD599" s="79"/>
      <c r="AE599" s="79"/>
    </row>
    <row r="600" spans="1:31" ht="16.5" x14ac:dyDescent="0.35">
      <c r="A600" s="71">
        <v>594</v>
      </c>
      <c r="B600" s="72">
        <v>2005225743</v>
      </c>
      <c r="C600" s="80" t="s">
        <v>279</v>
      </c>
      <c r="D600" s="81" t="s">
        <v>280</v>
      </c>
      <c r="E600" s="72" t="s">
        <v>196</v>
      </c>
      <c r="F600" s="76">
        <v>2</v>
      </c>
      <c r="G600" s="72" t="s">
        <v>925</v>
      </c>
      <c r="H600" s="78">
        <v>45433</v>
      </c>
      <c r="I600" s="72" t="s">
        <v>1299</v>
      </c>
      <c r="J600" s="72">
        <v>8</v>
      </c>
      <c r="K600" s="72"/>
      <c r="L600" s="72" t="s">
        <v>924</v>
      </c>
      <c r="M600" s="78">
        <v>45629</v>
      </c>
      <c r="N600" s="72" t="s">
        <v>1299</v>
      </c>
      <c r="O600" s="72">
        <v>6.5</v>
      </c>
      <c r="P600" s="72"/>
      <c r="Q600" s="72"/>
      <c r="R600" s="78"/>
      <c r="S600" s="72"/>
      <c r="T600" s="72"/>
      <c r="U600" s="72"/>
      <c r="V600" s="72"/>
      <c r="W600" s="72"/>
      <c r="X600" s="72"/>
      <c r="Y600" s="72"/>
      <c r="Z600" s="72"/>
      <c r="AA600" s="79"/>
      <c r="AB600" s="79"/>
      <c r="AC600" s="79"/>
      <c r="AD600" s="79"/>
      <c r="AE600" s="79"/>
    </row>
    <row r="601" spans="1:31" ht="16.5" x14ac:dyDescent="0.35">
      <c r="A601" s="71">
        <v>595</v>
      </c>
      <c r="B601" s="72">
        <v>2005225793</v>
      </c>
      <c r="C601" s="80" t="s">
        <v>261</v>
      </c>
      <c r="D601" s="81" t="s">
        <v>262</v>
      </c>
      <c r="E601" s="72" t="s">
        <v>196</v>
      </c>
      <c r="F601" s="76">
        <v>3</v>
      </c>
      <c r="G601" s="72" t="s">
        <v>925</v>
      </c>
      <c r="H601" s="78">
        <v>45433</v>
      </c>
      <c r="I601" s="72" t="s">
        <v>1299</v>
      </c>
      <c r="J601" s="72">
        <v>8</v>
      </c>
      <c r="K601" s="72"/>
      <c r="L601" s="72" t="s">
        <v>1298</v>
      </c>
      <c r="M601" s="78">
        <v>45632</v>
      </c>
      <c r="N601" s="72" t="s">
        <v>1299</v>
      </c>
      <c r="O601" s="72">
        <v>9</v>
      </c>
      <c r="P601" s="72"/>
      <c r="Q601" s="72" t="s">
        <v>1300</v>
      </c>
      <c r="R601" s="78">
        <v>45744</v>
      </c>
      <c r="S601" s="72" t="s">
        <v>1299</v>
      </c>
      <c r="T601" s="72">
        <v>8</v>
      </c>
      <c r="U601" s="72"/>
      <c r="V601" s="72" t="s">
        <v>2042</v>
      </c>
      <c r="W601" s="78">
        <v>45672</v>
      </c>
      <c r="X601" s="72" t="s">
        <v>1299</v>
      </c>
      <c r="Y601" s="72">
        <v>9</v>
      </c>
      <c r="Z601" s="72"/>
      <c r="AA601" s="79"/>
      <c r="AB601" s="79"/>
      <c r="AC601" s="79"/>
      <c r="AD601" s="79"/>
      <c r="AE601" s="79"/>
    </row>
    <row r="602" spans="1:31" ht="16.5" x14ac:dyDescent="0.35">
      <c r="A602" s="71">
        <v>596</v>
      </c>
      <c r="B602" s="72">
        <v>2005225998</v>
      </c>
      <c r="C602" s="80" t="s">
        <v>281</v>
      </c>
      <c r="D602" s="81" t="s">
        <v>56</v>
      </c>
      <c r="E602" s="72" t="s">
        <v>196</v>
      </c>
      <c r="F602" s="76">
        <v>2</v>
      </c>
      <c r="G602" s="72" t="s">
        <v>1300</v>
      </c>
      <c r="H602" s="78">
        <v>45749</v>
      </c>
      <c r="I602" s="86" t="s">
        <v>1299</v>
      </c>
      <c r="J602" s="72">
        <v>7.5</v>
      </c>
      <c r="K602" s="72"/>
      <c r="L602" s="72" t="s">
        <v>1301</v>
      </c>
      <c r="M602" s="78">
        <v>45783</v>
      </c>
      <c r="N602" s="72" t="s">
        <v>1299</v>
      </c>
      <c r="O602" s="72">
        <v>8</v>
      </c>
      <c r="P602" s="72"/>
      <c r="Q602" s="72"/>
      <c r="R602" s="78"/>
      <c r="S602" s="72"/>
      <c r="T602" s="72"/>
      <c r="U602" s="72"/>
      <c r="V602" s="72"/>
      <c r="W602" s="72"/>
      <c r="X602" s="72"/>
      <c r="Y602" s="72"/>
      <c r="Z602" s="72"/>
      <c r="AA602" s="79"/>
      <c r="AB602" s="79"/>
      <c r="AC602" s="79"/>
      <c r="AD602" s="79"/>
      <c r="AE602" s="79"/>
    </row>
    <row r="603" spans="1:31" ht="16.5" x14ac:dyDescent="0.35">
      <c r="A603" s="71">
        <v>597</v>
      </c>
      <c r="B603" s="72">
        <v>2005226119</v>
      </c>
      <c r="C603" s="80" t="s">
        <v>264</v>
      </c>
      <c r="D603" s="81" t="s">
        <v>135</v>
      </c>
      <c r="E603" s="72" t="s">
        <v>196</v>
      </c>
      <c r="F603" s="76">
        <v>4</v>
      </c>
      <c r="G603" s="72" t="s">
        <v>1298</v>
      </c>
      <c r="H603" s="78">
        <v>45632</v>
      </c>
      <c r="I603" s="72" t="s">
        <v>1299</v>
      </c>
      <c r="J603" s="72">
        <v>9.5</v>
      </c>
      <c r="K603" s="72"/>
      <c r="L603" s="72" t="s">
        <v>1300</v>
      </c>
      <c r="M603" s="78">
        <v>45742</v>
      </c>
      <c r="N603" s="72" t="s">
        <v>1299</v>
      </c>
      <c r="O603" s="72">
        <v>8.5</v>
      </c>
      <c r="P603" s="72"/>
      <c r="Q603" s="72" t="s">
        <v>2042</v>
      </c>
      <c r="R603" s="78">
        <v>45672</v>
      </c>
      <c r="S603" s="72" t="s">
        <v>1299</v>
      </c>
      <c r="T603" s="72">
        <v>9.5</v>
      </c>
      <c r="U603" s="72"/>
      <c r="V603" s="72"/>
      <c r="W603" s="72"/>
      <c r="X603" s="72"/>
      <c r="Y603" s="72"/>
      <c r="Z603" s="72"/>
      <c r="AA603" s="79"/>
      <c r="AB603" s="79"/>
      <c r="AC603" s="79"/>
      <c r="AD603" s="79"/>
      <c r="AE603" s="79"/>
    </row>
    <row r="604" spans="1:31" ht="16.5" x14ac:dyDescent="0.35">
      <c r="A604" s="71">
        <v>598</v>
      </c>
      <c r="B604" s="72">
        <v>2005220251</v>
      </c>
      <c r="C604" s="80" t="s">
        <v>95</v>
      </c>
      <c r="D604" s="81" t="s">
        <v>170</v>
      </c>
      <c r="E604" s="72" t="s">
        <v>283</v>
      </c>
      <c r="F604" s="76">
        <v>3</v>
      </c>
      <c r="G604" s="72" t="s">
        <v>1301</v>
      </c>
      <c r="H604" s="78">
        <v>45630</v>
      </c>
      <c r="I604" s="72" t="s">
        <v>1299</v>
      </c>
      <c r="J604" s="72">
        <v>8.5</v>
      </c>
      <c r="K604" s="72"/>
      <c r="L604" s="72" t="s">
        <v>924</v>
      </c>
      <c r="M604" s="78">
        <v>45637</v>
      </c>
      <c r="N604" s="72" t="s">
        <v>1299</v>
      </c>
      <c r="O604" s="72">
        <v>7.5</v>
      </c>
      <c r="P604" s="72"/>
      <c r="Q604" s="72" t="s">
        <v>928</v>
      </c>
      <c r="R604" s="78">
        <v>45800</v>
      </c>
      <c r="S604" s="72" t="s">
        <v>1299</v>
      </c>
      <c r="T604" s="72">
        <v>9.5</v>
      </c>
      <c r="U604" s="72"/>
      <c r="V604" s="72"/>
      <c r="W604" s="72"/>
      <c r="X604" s="72"/>
      <c r="Y604" s="72"/>
      <c r="Z604" s="72"/>
      <c r="AA604" s="79"/>
      <c r="AB604" s="79"/>
      <c r="AC604" s="79"/>
      <c r="AD604" s="79"/>
      <c r="AE604" s="79"/>
    </row>
    <row r="605" spans="1:31" ht="16.5" x14ac:dyDescent="0.35">
      <c r="A605" s="71">
        <v>599</v>
      </c>
      <c r="B605" s="72">
        <v>2005220377</v>
      </c>
      <c r="C605" s="80" t="s">
        <v>1200</v>
      </c>
      <c r="D605" s="81" t="s">
        <v>570</v>
      </c>
      <c r="E605" s="72" t="s">
        <v>283</v>
      </c>
      <c r="F605" s="76">
        <v>0</v>
      </c>
      <c r="G605" s="72"/>
      <c r="H605" s="78"/>
      <c r="I605" s="72"/>
      <c r="J605" s="72"/>
      <c r="K605" s="72"/>
      <c r="L605" s="72"/>
      <c r="M605" s="78"/>
      <c r="N605" s="72"/>
      <c r="O605" s="72"/>
      <c r="P605" s="72"/>
      <c r="Q605" s="72"/>
      <c r="R605" s="78"/>
      <c r="S605" s="72"/>
      <c r="T605" s="72"/>
      <c r="U605" s="72"/>
      <c r="V605" s="72"/>
      <c r="W605" s="72"/>
      <c r="X605" s="72"/>
      <c r="Y605" s="72"/>
      <c r="Z605" s="72"/>
      <c r="AA605" s="79"/>
      <c r="AB605" s="79"/>
      <c r="AC605" s="79"/>
      <c r="AD605" s="79"/>
      <c r="AE605" s="79"/>
    </row>
    <row r="606" spans="1:31" ht="16.5" x14ac:dyDescent="0.35">
      <c r="A606" s="71">
        <v>600</v>
      </c>
      <c r="B606" s="72">
        <v>2005220785</v>
      </c>
      <c r="C606" s="80" t="s">
        <v>1206</v>
      </c>
      <c r="D606" s="81" t="s">
        <v>84</v>
      </c>
      <c r="E606" s="72" t="s">
        <v>283</v>
      </c>
      <c r="F606" s="76">
        <v>2</v>
      </c>
      <c r="G606" s="72" t="s">
        <v>925</v>
      </c>
      <c r="H606" s="78">
        <v>45559</v>
      </c>
      <c r="I606" s="72" t="s">
        <v>1299</v>
      </c>
      <c r="J606" s="72">
        <v>7.5</v>
      </c>
      <c r="K606" s="72"/>
      <c r="L606" s="72" t="s">
        <v>924</v>
      </c>
      <c r="M606" s="78">
        <v>45602</v>
      </c>
      <c r="N606" s="72" t="s">
        <v>1299</v>
      </c>
      <c r="O606" s="72">
        <v>7</v>
      </c>
      <c r="P606" s="72"/>
      <c r="Q606" s="72"/>
      <c r="R606" s="78"/>
      <c r="S606" s="72"/>
      <c r="T606" s="72"/>
      <c r="U606" s="72"/>
      <c r="V606" s="72"/>
      <c r="W606" s="72"/>
      <c r="X606" s="72"/>
      <c r="Y606" s="72"/>
      <c r="Z606" s="72"/>
      <c r="AA606" s="79"/>
      <c r="AB606" s="79"/>
      <c r="AC606" s="79"/>
      <c r="AD606" s="79"/>
      <c r="AE606" s="79"/>
    </row>
    <row r="607" spans="1:31" ht="16.5" x14ac:dyDescent="0.35">
      <c r="A607" s="71">
        <v>601</v>
      </c>
      <c r="B607" s="72">
        <v>2005220812</v>
      </c>
      <c r="C607" s="80" t="s">
        <v>614</v>
      </c>
      <c r="D607" s="81" t="s">
        <v>271</v>
      </c>
      <c r="E607" s="72" t="s">
        <v>283</v>
      </c>
      <c r="F607" s="76">
        <v>1</v>
      </c>
      <c r="G607" s="72" t="s">
        <v>1300</v>
      </c>
      <c r="H607" s="78">
        <v>45448</v>
      </c>
      <c r="I607" s="72" t="s">
        <v>1299</v>
      </c>
      <c r="J607" s="72">
        <v>7.5</v>
      </c>
      <c r="K607" s="72"/>
      <c r="L607" s="72"/>
      <c r="M607" s="72"/>
      <c r="N607" s="72"/>
      <c r="O607" s="72"/>
      <c r="P607" s="72"/>
      <c r="Q607" s="72"/>
      <c r="R607" s="78"/>
      <c r="S607" s="72"/>
      <c r="T607" s="72"/>
      <c r="U607" s="72"/>
      <c r="V607" s="72"/>
      <c r="W607" s="72"/>
      <c r="X607" s="72"/>
      <c r="Y607" s="72"/>
      <c r="Z607" s="72"/>
      <c r="AA607" s="79"/>
      <c r="AB607" s="79"/>
      <c r="AC607" s="79"/>
      <c r="AD607" s="79"/>
      <c r="AE607" s="79"/>
    </row>
    <row r="608" spans="1:31" ht="16.5" x14ac:dyDescent="0.35">
      <c r="A608" s="71">
        <v>602</v>
      </c>
      <c r="B608" s="72">
        <v>2005220875</v>
      </c>
      <c r="C608" s="80" t="s">
        <v>284</v>
      </c>
      <c r="D608" s="81" t="s">
        <v>10</v>
      </c>
      <c r="E608" s="72" t="s">
        <v>283</v>
      </c>
      <c r="F608" s="76">
        <v>3</v>
      </c>
      <c r="G608" s="72" t="s">
        <v>924</v>
      </c>
      <c r="H608" s="78">
        <v>45602</v>
      </c>
      <c r="I608" s="72" t="s">
        <v>1299</v>
      </c>
      <c r="J608" s="72">
        <v>8</v>
      </c>
      <c r="K608" s="72">
        <v>1</v>
      </c>
      <c r="L608" s="72" t="s">
        <v>1301</v>
      </c>
      <c r="M608" s="78">
        <v>45629</v>
      </c>
      <c r="N608" s="72" t="s">
        <v>1299</v>
      </c>
      <c r="O608" s="72">
        <v>8</v>
      </c>
      <c r="P608" s="72"/>
      <c r="Q608" s="72" t="s">
        <v>1300</v>
      </c>
      <c r="R608" s="78">
        <v>45631</v>
      </c>
      <c r="S608" s="72" t="s">
        <v>1299</v>
      </c>
      <c r="T608" s="72">
        <v>8</v>
      </c>
      <c r="U608" s="72"/>
      <c r="V608" s="72"/>
      <c r="W608" s="72"/>
      <c r="X608" s="72"/>
      <c r="Y608" s="72"/>
      <c r="Z608" s="72"/>
      <c r="AA608" s="79"/>
      <c r="AB608" s="79"/>
      <c r="AC608" s="79"/>
      <c r="AD608" s="79"/>
      <c r="AE608" s="79"/>
    </row>
    <row r="609" spans="1:31" ht="16.5" x14ac:dyDescent="0.35">
      <c r="A609" s="71">
        <v>603</v>
      </c>
      <c r="B609" s="72">
        <v>2005220908</v>
      </c>
      <c r="C609" s="80" t="s">
        <v>1201</v>
      </c>
      <c r="D609" s="81" t="s">
        <v>10</v>
      </c>
      <c r="E609" s="72" t="s">
        <v>283</v>
      </c>
      <c r="F609" s="76">
        <v>0</v>
      </c>
      <c r="G609" s="72"/>
      <c r="H609" s="78"/>
      <c r="I609" s="72"/>
      <c r="J609" s="72"/>
      <c r="K609" s="72"/>
      <c r="L609" s="72"/>
      <c r="M609" s="78"/>
      <c r="N609" s="72"/>
      <c r="O609" s="72"/>
      <c r="P609" s="72"/>
      <c r="Q609" s="72"/>
      <c r="R609" s="78"/>
      <c r="S609" s="72"/>
      <c r="T609" s="72"/>
      <c r="U609" s="72"/>
      <c r="V609" s="72"/>
      <c r="W609" s="72"/>
      <c r="X609" s="72"/>
      <c r="Y609" s="72"/>
      <c r="Z609" s="72"/>
      <c r="AA609" s="79"/>
      <c r="AB609" s="79"/>
      <c r="AC609" s="79"/>
      <c r="AD609" s="79"/>
      <c r="AE609" s="79"/>
    </row>
    <row r="610" spans="1:31" ht="16.5" x14ac:dyDescent="0.35">
      <c r="A610" s="71">
        <v>604</v>
      </c>
      <c r="B610" s="72">
        <v>2005220925</v>
      </c>
      <c r="C610" s="80" t="s">
        <v>1203</v>
      </c>
      <c r="D610" s="81" t="s">
        <v>10</v>
      </c>
      <c r="E610" s="72" t="s">
        <v>283</v>
      </c>
      <c r="F610" s="76">
        <v>0</v>
      </c>
      <c r="G610" s="72"/>
      <c r="H610" s="78"/>
      <c r="I610" s="72"/>
      <c r="J610" s="72"/>
      <c r="K610" s="72"/>
      <c r="L610" s="72"/>
      <c r="M610" s="72"/>
      <c r="N610" s="72"/>
      <c r="O610" s="72"/>
      <c r="P610" s="72"/>
      <c r="Q610" s="72"/>
      <c r="R610" s="78"/>
      <c r="S610" s="72"/>
      <c r="T610" s="72"/>
      <c r="U610" s="72"/>
      <c r="V610" s="72"/>
      <c r="W610" s="72"/>
      <c r="X610" s="72"/>
      <c r="Y610" s="72"/>
      <c r="Z610" s="72"/>
      <c r="AA610" s="79"/>
      <c r="AB610" s="79"/>
      <c r="AC610" s="79"/>
      <c r="AD610" s="79"/>
      <c r="AE610" s="79"/>
    </row>
    <row r="611" spans="1:31" ht="16.5" x14ac:dyDescent="0.35">
      <c r="A611" s="71">
        <v>605</v>
      </c>
      <c r="B611" s="72">
        <v>2005221012</v>
      </c>
      <c r="C611" s="80" t="s">
        <v>1205</v>
      </c>
      <c r="D611" s="81" t="s">
        <v>770</v>
      </c>
      <c r="E611" s="72" t="s">
        <v>283</v>
      </c>
      <c r="F611" s="76">
        <v>0</v>
      </c>
      <c r="G611" s="72"/>
      <c r="H611" s="78"/>
      <c r="I611" s="72"/>
      <c r="J611" s="72"/>
      <c r="K611" s="72"/>
      <c r="L611" s="72"/>
      <c r="M611" s="72"/>
      <c r="N611" s="72"/>
      <c r="O611" s="72"/>
      <c r="P611" s="72"/>
      <c r="Q611" s="72"/>
      <c r="R611" s="78"/>
      <c r="S611" s="72"/>
      <c r="T611" s="72"/>
      <c r="U611" s="72"/>
      <c r="V611" s="72"/>
      <c r="W611" s="72"/>
      <c r="X611" s="72"/>
      <c r="Y611" s="72"/>
      <c r="Z611" s="72"/>
      <c r="AA611" s="79"/>
      <c r="AB611" s="79"/>
      <c r="AC611" s="79"/>
      <c r="AD611" s="79"/>
      <c r="AE611" s="79"/>
    </row>
    <row r="612" spans="1:31" ht="16.5" x14ac:dyDescent="0.35">
      <c r="A612" s="71">
        <v>606</v>
      </c>
      <c r="B612" s="72">
        <v>2005221274</v>
      </c>
      <c r="C612" s="80" t="s">
        <v>1207</v>
      </c>
      <c r="D612" s="81" t="s">
        <v>172</v>
      </c>
      <c r="E612" s="72" t="s">
        <v>283</v>
      </c>
      <c r="F612" s="76">
        <v>0</v>
      </c>
      <c r="G612" s="72"/>
      <c r="H612" s="78"/>
      <c r="I612" s="72"/>
      <c r="J612" s="72"/>
      <c r="K612" s="72"/>
      <c r="L612" s="72"/>
      <c r="M612" s="72"/>
      <c r="N612" s="72"/>
      <c r="O612" s="72"/>
      <c r="P612" s="72"/>
      <c r="Q612" s="72"/>
      <c r="R612" s="78"/>
      <c r="S612" s="72"/>
      <c r="T612" s="72"/>
      <c r="U612" s="72"/>
      <c r="V612" s="72"/>
      <c r="W612" s="72"/>
      <c r="X612" s="72"/>
      <c r="Y612" s="72"/>
      <c r="Z612" s="72"/>
      <c r="AA612" s="79"/>
      <c r="AB612" s="79"/>
      <c r="AC612" s="79"/>
      <c r="AD612" s="79"/>
      <c r="AE612" s="79"/>
    </row>
    <row r="613" spans="1:31" ht="16.5" x14ac:dyDescent="0.35">
      <c r="A613" s="71">
        <v>607</v>
      </c>
      <c r="B613" s="72">
        <v>2005221364</v>
      </c>
      <c r="C613" s="80" t="s">
        <v>45</v>
      </c>
      <c r="D613" s="81" t="s">
        <v>105</v>
      </c>
      <c r="E613" s="72" t="s">
        <v>283</v>
      </c>
      <c r="F613" s="76">
        <v>3</v>
      </c>
      <c r="G613" s="72" t="s">
        <v>1301</v>
      </c>
      <c r="H613" s="78">
        <v>45757</v>
      </c>
      <c r="I613" s="72" t="s">
        <v>1299</v>
      </c>
      <c r="J613" s="72">
        <v>9.5</v>
      </c>
      <c r="K613" s="72"/>
      <c r="L613" s="72" t="s">
        <v>1300</v>
      </c>
      <c r="M613" s="78">
        <v>45784</v>
      </c>
      <c r="N613" s="72" t="s">
        <v>1299</v>
      </c>
      <c r="O613" s="72">
        <v>9</v>
      </c>
      <c r="P613" s="72"/>
      <c r="Q613" s="72" t="s">
        <v>925</v>
      </c>
      <c r="R613" s="78">
        <v>45813</v>
      </c>
      <c r="S613" s="72" t="s">
        <v>1299</v>
      </c>
      <c r="T613" s="72">
        <v>9.5</v>
      </c>
      <c r="U613" s="72"/>
      <c r="V613" s="72"/>
      <c r="W613" s="72"/>
      <c r="X613" s="72"/>
      <c r="Y613" s="72"/>
      <c r="Z613" s="72"/>
      <c r="AA613" s="79"/>
      <c r="AB613" s="79"/>
      <c r="AC613" s="79"/>
      <c r="AD613" s="79"/>
      <c r="AE613" s="79"/>
    </row>
    <row r="614" spans="1:31" ht="16.5" x14ac:dyDescent="0.35">
      <c r="A614" s="71">
        <v>608</v>
      </c>
      <c r="B614" s="72">
        <v>2005221545</v>
      </c>
      <c r="C614" s="80" t="s">
        <v>1208</v>
      </c>
      <c r="D614" s="81" t="s">
        <v>1209</v>
      </c>
      <c r="E614" s="72" t="s">
        <v>283</v>
      </c>
      <c r="F614" s="76">
        <v>0</v>
      </c>
      <c r="G614" s="72"/>
      <c r="H614" s="78"/>
      <c r="I614" s="72"/>
      <c r="J614" s="72"/>
      <c r="K614" s="72"/>
      <c r="L614" s="72"/>
      <c r="M614" s="72"/>
      <c r="N614" s="72"/>
      <c r="O614" s="72"/>
      <c r="P614" s="72"/>
      <c r="Q614" s="72"/>
      <c r="R614" s="78"/>
      <c r="S614" s="72"/>
      <c r="T614" s="72"/>
      <c r="U614" s="72"/>
      <c r="V614" s="72"/>
      <c r="W614" s="72"/>
      <c r="X614" s="72"/>
      <c r="Y614" s="72"/>
      <c r="Z614" s="72"/>
      <c r="AA614" s="79"/>
      <c r="AB614" s="79"/>
      <c r="AC614" s="79"/>
      <c r="AD614" s="79"/>
      <c r="AE614" s="79"/>
    </row>
    <row r="615" spans="1:31" ht="16.5" x14ac:dyDescent="0.35">
      <c r="A615" s="71">
        <v>609</v>
      </c>
      <c r="B615" s="72">
        <v>2005221587</v>
      </c>
      <c r="C615" s="80" t="s">
        <v>286</v>
      </c>
      <c r="D615" s="81" t="s">
        <v>120</v>
      </c>
      <c r="E615" s="72" t="s">
        <v>283</v>
      </c>
      <c r="F615" s="76">
        <v>2</v>
      </c>
      <c r="G615" s="72" t="s">
        <v>925</v>
      </c>
      <c r="H615" s="78">
        <v>45589</v>
      </c>
      <c r="I615" s="72" t="s">
        <v>1299</v>
      </c>
      <c r="J615" s="72">
        <v>8.5</v>
      </c>
      <c r="K615" s="72"/>
      <c r="L615" s="72" t="s">
        <v>924</v>
      </c>
      <c r="M615" s="78">
        <v>45786</v>
      </c>
      <c r="N615" s="72" t="s">
        <v>1299</v>
      </c>
      <c r="O615" s="72">
        <v>7.5</v>
      </c>
      <c r="P615" s="72"/>
      <c r="Q615" s="72"/>
      <c r="R615" s="78"/>
      <c r="S615" s="72"/>
      <c r="T615" s="72"/>
      <c r="U615" s="72"/>
      <c r="V615" s="72"/>
      <c r="W615" s="72"/>
      <c r="X615" s="72"/>
      <c r="Y615" s="72"/>
      <c r="Z615" s="72"/>
      <c r="AA615" s="79"/>
      <c r="AB615" s="79"/>
      <c r="AC615" s="79"/>
      <c r="AD615" s="79"/>
      <c r="AE615" s="79"/>
    </row>
    <row r="616" spans="1:31" ht="16.5" x14ac:dyDescent="0.35">
      <c r="A616" s="71">
        <v>610</v>
      </c>
      <c r="B616" s="72">
        <v>2005221866</v>
      </c>
      <c r="C616" s="80" t="s">
        <v>288</v>
      </c>
      <c r="D616" s="81" t="s">
        <v>289</v>
      </c>
      <c r="E616" s="72" t="s">
        <v>283</v>
      </c>
      <c r="F616" s="76">
        <v>3</v>
      </c>
      <c r="G616" s="72" t="s">
        <v>925</v>
      </c>
      <c r="H616" s="78">
        <v>45589</v>
      </c>
      <c r="I616" s="72" t="s">
        <v>1299</v>
      </c>
      <c r="J616" s="72">
        <v>7</v>
      </c>
      <c r="K616" s="72"/>
      <c r="L616" s="72" t="s">
        <v>924</v>
      </c>
      <c r="M616" s="78">
        <v>45629</v>
      </c>
      <c r="N616" s="72" t="s">
        <v>1299</v>
      </c>
      <c r="O616" s="72">
        <v>9</v>
      </c>
      <c r="P616" s="72"/>
      <c r="Q616" s="72" t="s">
        <v>1300</v>
      </c>
      <c r="R616" s="78">
        <v>45744</v>
      </c>
      <c r="S616" s="72" t="s">
        <v>1299</v>
      </c>
      <c r="T616" s="72">
        <v>8</v>
      </c>
      <c r="U616" s="72"/>
      <c r="V616" s="72"/>
      <c r="W616" s="72"/>
      <c r="X616" s="72"/>
      <c r="Y616" s="72"/>
      <c r="Z616" s="72"/>
      <c r="AA616" s="79"/>
      <c r="AB616" s="79"/>
      <c r="AC616" s="79"/>
      <c r="AD616" s="79"/>
      <c r="AE616" s="79"/>
    </row>
    <row r="617" spans="1:31" ht="16.5" x14ac:dyDescent="0.35">
      <c r="A617" s="71">
        <v>611</v>
      </c>
      <c r="B617" s="72">
        <v>2005221940</v>
      </c>
      <c r="C617" s="80" t="s">
        <v>836</v>
      </c>
      <c r="D617" s="81" t="s">
        <v>904</v>
      </c>
      <c r="E617" s="72" t="s">
        <v>283</v>
      </c>
      <c r="F617" s="76">
        <v>3</v>
      </c>
      <c r="G617" s="72" t="s">
        <v>1298</v>
      </c>
      <c r="H617" s="78">
        <v>45632</v>
      </c>
      <c r="I617" s="72" t="s">
        <v>1299</v>
      </c>
      <c r="J617" s="72">
        <v>9</v>
      </c>
      <c r="K617" s="72"/>
      <c r="L617" s="72" t="s">
        <v>1300</v>
      </c>
      <c r="M617" s="78">
        <v>45742</v>
      </c>
      <c r="N617" s="72" t="s">
        <v>1299</v>
      </c>
      <c r="O617" s="72">
        <v>9.5</v>
      </c>
      <c r="P617" s="72"/>
      <c r="Q617" s="72" t="s">
        <v>2042</v>
      </c>
      <c r="R617" s="78">
        <v>45672</v>
      </c>
      <c r="S617" s="72" t="s">
        <v>1299</v>
      </c>
      <c r="T617" s="72">
        <v>9</v>
      </c>
      <c r="U617" s="72"/>
      <c r="V617" s="72"/>
      <c r="W617" s="72"/>
      <c r="X617" s="72"/>
      <c r="Y617" s="72"/>
      <c r="Z617" s="72"/>
      <c r="AA617" s="79"/>
      <c r="AB617" s="79"/>
      <c r="AC617" s="79"/>
      <c r="AD617" s="79"/>
      <c r="AE617" s="79"/>
    </row>
    <row r="618" spans="1:31" ht="16.5" x14ac:dyDescent="0.35">
      <c r="A618" s="71">
        <v>612</v>
      </c>
      <c r="B618" s="72">
        <v>2005221990</v>
      </c>
      <c r="C618" s="80" t="s">
        <v>1210</v>
      </c>
      <c r="D618" s="81" t="s">
        <v>47</v>
      </c>
      <c r="E618" s="72" t="s">
        <v>283</v>
      </c>
      <c r="F618" s="76">
        <v>0</v>
      </c>
      <c r="G618" s="72"/>
      <c r="H618" s="78"/>
      <c r="I618" s="72"/>
      <c r="J618" s="72"/>
      <c r="K618" s="72"/>
      <c r="L618" s="72"/>
      <c r="M618" s="72"/>
      <c r="N618" s="72"/>
      <c r="O618" s="72"/>
      <c r="P618" s="72"/>
      <c r="Q618" s="72"/>
      <c r="R618" s="78"/>
      <c r="S618" s="72"/>
      <c r="T618" s="72"/>
      <c r="U618" s="72"/>
      <c r="V618" s="72"/>
      <c r="W618" s="72"/>
      <c r="X618" s="72"/>
      <c r="Y618" s="72"/>
      <c r="Z618" s="72"/>
      <c r="AA618" s="79"/>
      <c r="AB618" s="79"/>
      <c r="AC618" s="79"/>
      <c r="AD618" s="79"/>
      <c r="AE618" s="79"/>
    </row>
    <row r="619" spans="1:31" ht="16.5" x14ac:dyDescent="0.35">
      <c r="A619" s="71">
        <v>613</v>
      </c>
      <c r="B619" s="72">
        <v>2005222108</v>
      </c>
      <c r="C619" s="80" t="s">
        <v>1212</v>
      </c>
      <c r="D619" s="81" t="s">
        <v>747</v>
      </c>
      <c r="E619" s="72" t="s">
        <v>283</v>
      </c>
      <c r="F619" s="76">
        <v>0</v>
      </c>
      <c r="G619" s="72"/>
      <c r="H619" s="78"/>
      <c r="I619" s="72"/>
      <c r="J619" s="72"/>
      <c r="K619" s="72"/>
      <c r="L619" s="72"/>
      <c r="M619" s="72"/>
      <c r="N619" s="72"/>
      <c r="O619" s="72"/>
      <c r="P619" s="72"/>
      <c r="Q619" s="72"/>
      <c r="R619" s="78"/>
      <c r="S619" s="72"/>
      <c r="T619" s="72"/>
      <c r="U619" s="72"/>
      <c r="V619" s="72"/>
      <c r="W619" s="72"/>
      <c r="X619" s="72"/>
      <c r="Y619" s="72"/>
      <c r="Z619" s="72"/>
      <c r="AA619" s="79"/>
      <c r="AB619" s="79"/>
      <c r="AC619" s="79"/>
      <c r="AD619" s="79"/>
      <c r="AE619" s="79"/>
    </row>
    <row r="620" spans="1:31" ht="16.5" x14ac:dyDescent="0.35">
      <c r="A620" s="71">
        <v>614</v>
      </c>
      <c r="B620" s="72">
        <v>2005222576</v>
      </c>
      <c r="C620" s="80" t="s">
        <v>290</v>
      </c>
      <c r="D620" s="81" t="s">
        <v>237</v>
      </c>
      <c r="E620" s="72" t="s">
        <v>283</v>
      </c>
      <c r="F620" s="76">
        <v>2</v>
      </c>
      <c r="G620" s="72" t="s">
        <v>925</v>
      </c>
      <c r="H620" s="78">
        <v>45405</v>
      </c>
      <c r="I620" s="72" t="s">
        <v>1299</v>
      </c>
      <c r="J620" s="72">
        <v>6.5</v>
      </c>
      <c r="K620" s="72"/>
      <c r="L620" s="72" t="s">
        <v>1300</v>
      </c>
      <c r="M620" s="78">
        <v>45742</v>
      </c>
      <c r="N620" s="72" t="s">
        <v>1299</v>
      </c>
      <c r="O620" s="72">
        <v>9</v>
      </c>
      <c r="P620" s="72"/>
      <c r="Q620" s="72"/>
      <c r="R620" s="78"/>
      <c r="S620" s="72"/>
      <c r="T620" s="72"/>
      <c r="U620" s="72"/>
      <c r="V620" s="72"/>
      <c r="W620" s="72"/>
      <c r="X620" s="72"/>
      <c r="Y620" s="72"/>
      <c r="Z620" s="72"/>
      <c r="AA620" s="79"/>
      <c r="AB620" s="79"/>
      <c r="AC620" s="79"/>
      <c r="AD620" s="79"/>
      <c r="AE620" s="79"/>
    </row>
    <row r="621" spans="1:31" ht="16.5" x14ac:dyDescent="0.35">
      <c r="A621" s="71">
        <v>615</v>
      </c>
      <c r="B621" s="72">
        <v>2005222810</v>
      </c>
      <c r="C621" s="80" t="s">
        <v>299</v>
      </c>
      <c r="D621" s="81" t="s">
        <v>639</v>
      </c>
      <c r="E621" s="72" t="s">
        <v>283</v>
      </c>
      <c r="F621" s="76">
        <v>2</v>
      </c>
      <c r="G621" s="72" t="s">
        <v>924</v>
      </c>
      <c r="H621" s="78">
        <v>45637</v>
      </c>
      <c r="I621" s="72" t="s">
        <v>1299</v>
      </c>
      <c r="J621" s="72">
        <v>9</v>
      </c>
      <c r="K621" s="72"/>
      <c r="L621" s="72" t="s">
        <v>1300</v>
      </c>
      <c r="M621" s="78">
        <v>45644</v>
      </c>
      <c r="N621" s="72" t="s">
        <v>1299</v>
      </c>
      <c r="O621" s="72">
        <v>9</v>
      </c>
      <c r="P621" s="72"/>
      <c r="Q621" s="72"/>
      <c r="R621" s="78"/>
      <c r="S621" s="72"/>
      <c r="T621" s="72"/>
      <c r="U621" s="72"/>
      <c r="V621" s="72"/>
      <c r="W621" s="72"/>
      <c r="X621" s="72"/>
      <c r="Y621" s="72"/>
      <c r="Z621" s="72"/>
      <c r="AA621" s="79"/>
      <c r="AB621" s="79"/>
      <c r="AC621" s="79"/>
      <c r="AD621" s="79"/>
      <c r="AE621" s="79"/>
    </row>
    <row r="622" spans="1:31" ht="16.5" x14ac:dyDescent="0.35">
      <c r="A622" s="71">
        <v>616</v>
      </c>
      <c r="B622" s="72">
        <v>2005222886</v>
      </c>
      <c r="C622" s="80" t="s">
        <v>293</v>
      </c>
      <c r="D622" s="81" t="s">
        <v>92</v>
      </c>
      <c r="E622" s="72" t="s">
        <v>283</v>
      </c>
      <c r="F622" s="76">
        <v>2</v>
      </c>
      <c r="G622" s="72" t="s">
        <v>924</v>
      </c>
      <c r="H622" s="78">
        <v>45637</v>
      </c>
      <c r="I622" s="72" t="s">
        <v>1299</v>
      </c>
      <c r="J622" s="72">
        <v>8.5</v>
      </c>
      <c r="K622" s="72"/>
      <c r="L622" s="72" t="s">
        <v>1301</v>
      </c>
      <c r="M622" s="78">
        <v>45785</v>
      </c>
      <c r="N622" s="72" t="s">
        <v>1299</v>
      </c>
      <c r="O622" s="72">
        <v>8</v>
      </c>
      <c r="P622" s="72"/>
      <c r="Q622" s="72"/>
      <c r="R622" s="78"/>
      <c r="S622" s="72"/>
      <c r="T622" s="72"/>
      <c r="U622" s="72"/>
      <c r="V622" s="72"/>
      <c r="W622" s="72"/>
      <c r="X622" s="72"/>
      <c r="Y622" s="72"/>
      <c r="Z622" s="72"/>
      <c r="AA622" s="79"/>
      <c r="AB622" s="79"/>
      <c r="AC622" s="79"/>
      <c r="AD622" s="79"/>
      <c r="AE622" s="79"/>
    </row>
    <row r="623" spans="1:31" ht="16.5" x14ac:dyDescent="0.35">
      <c r="A623" s="71">
        <v>617</v>
      </c>
      <c r="B623" s="72">
        <v>2005222870</v>
      </c>
      <c r="C623" s="80" t="s">
        <v>95</v>
      </c>
      <c r="D623" s="81" t="s">
        <v>92</v>
      </c>
      <c r="E623" s="72" t="s">
        <v>283</v>
      </c>
      <c r="F623" s="76">
        <v>3</v>
      </c>
      <c r="G623" s="72" t="s">
        <v>1300</v>
      </c>
      <c r="H623" s="78">
        <v>45631</v>
      </c>
      <c r="I623" s="72" t="s">
        <v>1299</v>
      </c>
      <c r="J623" s="72">
        <v>8.5</v>
      </c>
      <c r="K623" s="72"/>
      <c r="L623" s="72" t="s">
        <v>928</v>
      </c>
      <c r="M623" s="78">
        <v>45800</v>
      </c>
      <c r="N623" s="72" t="s">
        <v>1299</v>
      </c>
      <c r="O623" s="72">
        <v>10</v>
      </c>
      <c r="P623" s="72"/>
      <c r="Q623" s="72" t="s">
        <v>924</v>
      </c>
      <c r="R623" s="78">
        <v>45776</v>
      </c>
      <c r="S623" s="72" t="s">
        <v>1299</v>
      </c>
      <c r="T623" s="72">
        <v>8.5</v>
      </c>
      <c r="U623" s="72"/>
      <c r="V623" s="72"/>
      <c r="W623" s="72"/>
      <c r="X623" s="72"/>
      <c r="Y623" s="72"/>
      <c r="Z623" s="72"/>
      <c r="AA623" s="79"/>
      <c r="AB623" s="79"/>
      <c r="AC623" s="79"/>
      <c r="AD623" s="79"/>
      <c r="AE623" s="79"/>
    </row>
    <row r="624" spans="1:31" ht="16.5" x14ac:dyDescent="0.35">
      <c r="A624" s="71">
        <v>618</v>
      </c>
      <c r="B624" s="72">
        <v>2005222893</v>
      </c>
      <c r="C624" s="80" t="s">
        <v>292</v>
      </c>
      <c r="D624" s="81" t="s">
        <v>92</v>
      </c>
      <c r="E624" s="72" t="s">
        <v>283</v>
      </c>
      <c r="F624" s="76">
        <v>3</v>
      </c>
      <c r="G624" s="72" t="s">
        <v>1300</v>
      </c>
      <c r="H624" s="78">
        <v>45448</v>
      </c>
      <c r="I624" s="72" t="s">
        <v>1299</v>
      </c>
      <c r="J624" s="72">
        <v>8</v>
      </c>
      <c r="K624" s="72"/>
      <c r="L624" s="72" t="s">
        <v>1300</v>
      </c>
      <c r="M624" s="78">
        <v>45784</v>
      </c>
      <c r="N624" s="72" t="s">
        <v>1299</v>
      </c>
      <c r="O624" s="72">
        <v>9.5</v>
      </c>
      <c r="P624" s="72"/>
      <c r="Q624" s="72" t="s">
        <v>924</v>
      </c>
      <c r="R624" s="78">
        <v>45776</v>
      </c>
      <c r="S624" s="72" t="s">
        <v>1299</v>
      </c>
      <c r="T624" s="72">
        <v>8.5</v>
      </c>
      <c r="U624" s="72"/>
      <c r="V624" s="72"/>
      <c r="W624" s="72"/>
      <c r="X624" s="72"/>
      <c r="Y624" s="72"/>
      <c r="Z624" s="72"/>
      <c r="AA624" s="79"/>
      <c r="AB624" s="79"/>
      <c r="AC624" s="79"/>
      <c r="AD624" s="79"/>
      <c r="AE624" s="79"/>
    </row>
    <row r="625" spans="1:31" ht="16.5" x14ac:dyDescent="0.35">
      <c r="A625" s="71">
        <v>619</v>
      </c>
      <c r="B625" s="72">
        <v>2005222897</v>
      </c>
      <c r="C625" s="80" t="s">
        <v>293</v>
      </c>
      <c r="D625" s="81" t="s">
        <v>92</v>
      </c>
      <c r="E625" s="72" t="s">
        <v>283</v>
      </c>
      <c r="F625" s="76">
        <v>2</v>
      </c>
      <c r="G625" s="72" t="s">
        <v>1300</v>
      </c>
      <c r="H625" s="78">
        <v>45721</v>
      </c>
      <c r="I625" s="72" t="s">
        <v>1299</v>
      </c>
      <c r="J625" s="72">
        <v>6</v>
      </c>
      <c r="K625" s="72"/>
      <c r="L625" s="72" t="s">
        <v>925</v>
      </c>
      <c r="M625" s="78">
        <v>45757</v>
      </c>
      <c r="N625" s="72" t="s">
        <v>1299</v>
      </c>
      <c r="O625" s="72">
        <v>8.5</v>
      </c>
      <c r="P625" s="72"/>
      <c r="Q625" s="72"/>
      <c r="R625" s="78"/>
      <c r="S625" s="72"/>
      <c r="T625" s="72"/>
      <c r="U625" s="72"/>
      <c r="V625" s="72"/>
      <c r="W625" s="72"/>
      <c r="X625" s="72"/>
      <c r="Y625" s="72"/>
      <c r="Z625" s="79"/>
      <c r="AA625" s="79"/>
      <c r="AB625" s="79"/>
      <c r="AC625" s="79"/>
      <c r="AD625" s="79"/>
      <c r="AE625" s="79"/>
    </row>
    <row r="626" spans="1:31" ht="16.5" x14ac:dyDescent="0.35">
      <c r="A626" s="71">
        <v>620</v>
      </c>
      <c r="B626" s="72">
        <v>2005222876</v>
      </c>
      <c r="C626" s="80" t="s">
        <v>635</v>
      </c>
      <c r="D626" s="81" t="s">
        <v>92</v>
      </c>
      <c r="E626" s="72" t="s">
        <v>283</v>
      </c>
      <c r="F626" s="76">
        <v>3</v>
      </c>
      <c r="G626" s="72" t="s">
        <v>1300</v>
      </c>
      <c r="H626" s="78">
        <v>45448</v>
      </c>
      <c r="I626" s="72" t="s">
        <v>1299</v>
      </c>
      <c r="J626" s="72">
        <v>8.5</v>
      </c>
      <c r="K626" s="72"/>
      <c r="L626" s="72" t="s">
        <v>1300</v>
      </c>
      <c r="M626" s="78">
        <v>45784</v>
      </c>
      <c r="N626" s="72" t="s">
        <v>1299</v>
      </c>
      <c r="O626" s="72">
        <v>9</v>
      </c>
      <c r="P626" s="72"/>
      <c r="Q626" s="72" t="s">
        <v>924</v>
      </c>
      <c r="R626" s="78">
        <v>45776</v>
      </c>
      <c r="S626" s="72" t="s">
        <v>1299</v>
      </c>
      <c r="T626" s="72">
        <v>8.5</v>
      </c>
      <c r="U626" s="72"/>
      <c r="V626" s="72"/>
      <c r="W626" s="72"/>
      <c r="X626" s="72"/>
      <c r="Y626" s="72"/>
      <c r="Z626" s="72"/>
      <c r="AA626" s="79"/>
      <c r="AB626" s="79"/>
      <c r="AC626" s="79"/>
      <c r="AD626" s="79"/>
      <c r="AE626" s="79"/>
    </row>
    <row r="627" spans="1:31" ht="16.5" x14ac:dyDescent="0.35">
      <c r="A627" s="71">
        <v>621</v>
      </c>
      <c r="B627" s="72">
        <v>2005223187</v>
      </c>
      <c r="C627" s="80" t="s">
        <v>636</v>
      </c>
      <c r="D627" s="81" t="s">
        <v>637</v>
      </c>
      <c r="E627" s="72" t="s">
        <v>283</v>
      </c>
      <c r="F627" s="76">
        <v>3</v>
      </c>
      <c r="G627" s="72" t="s">
        <v>925</v>
      </c>
      <c r="H627" s="78">
        <v>45769</v>
      </c>
      <c r="I627" s="72" t="s">
        <v>1299</v>
      </c>
      <c r="J627" s="72">
        <v>8.5</v>
      </c>
      <c r="K627" s="72"/>
      <c r="L627" s="72" t="s">
        <v>924</v>
      </c>
      <c r="M627" s="78">
        <v>45798</v>
      </c>
      <c r="N627" s="72" t="s">
        <v>1299</v>
      </c>
      <c r="O627" s="72">
        <v>8</v>
      </c>
      <c r="P627" s="72"/>
      <c r="Q627" s="72" t="s">
        <v>928</v>
      </c>
      <c r="R627" s="78">
        <v>45800</v>
      </c>
      <c r="S627" s="72" t="s">
        <v>1299</v>
      </c>
      <c r="T627" s="72">
        <v>9.5</v>
      </c>
      <c r="U627" s="72"/>
      <c r="V627" s="72"/>
      <c r="W627" s="72"/>
      <c r="X627" s="72"/>
      <c r="Y627" s="72"/>
      <c r="Z627" s="72"/>
      <c r="AA627" s="79"/>
      <c r="AB627" s="79"/>
      <c r="AC627" s="79"/>
      <c r="AD627" s="79"/>
      <c r="AE627" s="79"/>
    </row>
    <row r="628" spans="1:31" ht="16.5" x14ac:dyDescent="0.35">
      <c r="A628" s="71">
        <v>622</v>
      </c>
      <c r="B628" s="72">
        <v>2005223358</v>
      </c>
      <c r="C628" s="80" t="s">
        <v>638</v>
      </c>
      <c r="D628" s="81" t="s">
        <v>76</v>
      </c>
      <c r="E628" s="72" t="s">
        <v>283</v>
      </c>
      <c r="F628" s="76">
        <v>2</v>
      </c>
      <c r="G628" s="72" t="s">
        <v>924</v>
      </c>
      <c r="H628" s="78">
        <v>45637</v>
      </c>
      <c r="I628" s="72" t="s">
        <v>1299</v>
      </c>
      <c r="J628" s="72">
        <v>6</v>
      </c>
      <c r="K628" s="72"/>
      <c r="L628" s="72" t="s">
        <v>1300</v>
      </c>
      <c r="M628" s="78">
        <v>45742</v>
      </c>
      <c r="N628" s="72" t="s">
        <v>1299</v>
      </c>
      <c r="O628" s="72">
        <v>9</v>
      </c>
      <c r="P628" s="72"/>
      <c r="Q628" s="72"/>
      <c r="R628" s="78"/>
      <c r="S628" s="72"/>
      <c r="T628" s="72"/>
      <c r="U628" s="72"/>
      <c r="V628" s="72"/>
      <c r="W628" s="72"/>
      <c r="X628" s="72"/>
      <c r="Y628" s="72"/>
      <c r="Z628" s="72"/>
      <c r="AA628" s="79"/>
      <c r="AB628" s="79"/>
      <c r="AC628" s="79"/>
      <c r="AD628" s="79"/>
      <c r="AE628" s="79"/>
    </row>
    <row r="629" spans="1:31" ht="16.5" x14ac:dyDescent="0.35">
      <c r="A629" s="71">
        <v>623</v>
      </c>
      <c r="B629" s="72">
        <v>2005223352</v>
      </c>
      <c r="C629" s="80" t="s">
        <v>223</v>
      </c>
      <c r="D629" s="81" t="s">
        <v>76</v>
      </c>
      <c r="E629" s="72" t="s">
        <v>283</v>
      </c>
      <c r="F629" s="76">
        <v>3</v>
      </c>
      <c r="G629" s="72" t="s">
        <v>1301</v>
      </c>
      <c r="H629" s="78">
        <v>45630</v>
      </c>
      <c r="I629" s="72" t="s">
        <v>1299</v>
      </c>
      <c r="J629" s="72">
        <v>8.5</v>
      </c>
      <c r="K629" s="72"/>
      <c r="L629" s="72" t="s">
        <v>925</v>
      </c>
      <c r="M629" s="78">
        <v>45757</v>
      </c>
      <c r="N629" s="72" t="s">
        <v>1299</v>
      </c>
      <c r="O629" s="72">
        <v>8</v>
      </c>
      <c r="P629" s="72"/>
      <c r="Q629" s="72" t="s">
        <v>928</v>
      </c>
      <c r="R629" s="78">
        <v>45800</v>
      </c>
      <c r="S629" s="72" t="s">
        <v>1299</v>
      </c>
      <c r="T629" s="72">
        <v>9.5</v>
      </c>
      <c r="U629" s="72"/>
      <c r="V629" s="72"/>
      <c r="W629" s="72"/>
      <c r="X629" s="72"/>
      <c r="Y629" s="72"/>
      <c r="Z629" s="72"/>
      <c r="AA629" s="79"/>
      <c r="AB629" s="79"/>
      <c r="AC629" s="79"/>
      <c r="AD629" s="79"/>
      <c r="AE629" s="79"/>
    </row>
    <row r="630" spans="1:31" ht="16.5" x14ac:dyDescent="0.35">
      <c r="A630" s="71">
        <v>624</v>
      </c>
      <c r="B630" s="72">
        <v>2005223666</v>
      </c>
      <c r="C630" s="80" t="s">
        <v>665</v>
      </c>
      <c r="D630" s="81" t="s">
        <v>97</v>
      </c>
      <c r="E630" s="72" t="s">
        <v>283</v>
      </c>
      <c r="F630" s="76">
        <v>2</v>
      </c>
      <c r="G630" s="72" t="s">
        <v>1301</v>
      </c>
      <c r="H630" s="78">
        <v>45630</v>
      </c>
      <c r="I630" s="72" t="s">
        <v>1299</v>
      </c>
      <c r="J630" s="72">
        <v>8.5</v>
      </c>
      <c r="K630" s="72"/>
      <c r="L630" s="72" t="s">
        <v>925</v>
      </c>
      <c r="M630" s="78">
        <v>45757</v>
      </c>
      <c r="N630" s="72" t="s">
        <v>1299</v>
      </c>
      <c r="O630" s="72">
        <v>8</v>
      </c>
      <c r="P630" s="72"/>
      <c r="Q630" s="72"/>
      <c r="R630" s="78"/>
      <c r="S630" s="72"/>
      <c r="T630" s="72"/>
      <c r="U630" s="72"/>
      <c r="V630" s="72"/>
      <c r="W630" s="72"/>
      <c r="X630" s="72"/>
      <c r="Y630" s="72"/>
      <c r="Z630" s="72"/>
      <c r="AA630" s="79"/>
      <c r="AB630" s="79"/>
      <c r="AC630" s="79"/>
      <c r="AD630" s="79"/>
      <c r="AE630" s="79"/>
    </row>
    <row r="631" spans="1:31" ht="16.5" x14ac:dyDescent="0.35">
      <c r="A631" s="71">
        <v>625</v>
      </c>
      <c r="B631" s="72">
        <v>2005223802</v>
      </c>
      <c r="C631" s="80" t="s">
        <v>641</v>
      </c>
      <c r="D631" s="81" t="s">
        <v>642</v>
      </c>
      <c r="E631" s="72" t="s">
        <v>283</v>
      </c>
      <c r="F631" s="76">
        <v>3</v>
      </c>
      <c r="G631" s="72" t="s">
        <v>1300</v>
      </c>
      <c r="H631" s="78">
        <v>45436</v>
      </c>
      <c r="I631" s="72" t="s">
        <v>1299</v>
      </c>
      <c r="J631" s="72">
        <v>8</v>
      </c>
      <c r="K631" s="72"/>
      <c r="L631" s="72" t="s">
        <v>924</v>
      </c>
      <c r="M631" s="78">
        <v>45645</v>
      </c>
      <c r="N631" s="72" t="s">
        <v>1299</v>
      </c>
      <c r="O631" s="72">
        <v>8.5</v>
      </c>
      <c r="P631" s="72"/>
      <c r="Q631" s="72" t="s">
        <v>1300</v>
      </c>
      <c r="R631" s="78">
        <v>45791</v>
      </c>
      <c r="S631" s="72" t="s">
        <v>1299</v>
      </c>
      <c r="T631" s="72">
        <v>7.5</v>
      </c>
      <c r="U631" s="72"/>
      <c r="V631" s="72"/>
      <c r="W631" s="72"/>
      <c r="X631" s="72"/>
      <c r="Y631" s="72"/>
      <c r="Z631" s="72"/>
      <c r="AA631" s="79"/>
      <c r="AB631" s="79"/>
      <c r="AC631" s="79"/>
      <c r="AD631" s="79"/>
      <c r="AE631" s="79"/>
    </row>
    <row r="632" spans="1:31" ht="16.5" x14ac:dyDescent="0.35">
      <c r="A632" s="71">
        <v>626</v>
      </c>
      <c r="B632" s="72">
        <v>2005223862</v>
      </c>
      <c r="C632" s="80" t="s">
        <v>199</v>
      </c>
      <c r="D632" s="81" t="s">
        <v>31</v>
      </c>
      <c r="E632" s="72" t="s">
        <v>283</v>
      </c>
      <c r="F632" s="76">
        <v>3</v>
      </c>
      <c r="G632" s="72" t="s">
        <v>1301</v>
      </c>
      <c r="H632" s="78">
        <v>45630</v>
      </c>
      <c r="I632" s="72" t="s">
        <v>1299</v>
      </c>
      <c r="J632" s="72">
        <v>8</v>
      </c>
      <c r="K632" s="72"/>
      <c r="L632" s="72" t="s">
        <v>925</v>
      </c>
      <c r="M632" s="78">
        <v>45757</v>
      </c>
      <c r="N632" s="72" t="s">
        <v>1299</v>
      </c>
      <c r="O632" s="72">
        <v>8.5</v>
      </c>
      <c r="P632" s="72"/>
      <c r="Q632" s="72" t="s">
        <v>1300</v>
      </c>
      <c r="R632" s="78">
        <v>45784</v>
      </c>
      <c r="S632" s="72" t="s">
        <v>1299</v>
      </c>
      <c r="T632" s="72">
        <v>9.5</v>
      </c>
      <c r="U632" s="72"/>
      <c r="V632" s="72"/>
      <c r="W632" s="72"/>
      <c r="X632" s="72"/>
      <c r="Y632" s="72"/>
      <c r="Z632" s="72"/>
      <c r="AA632" s="79"/>
      <c r="AB632" s="79"/>
      <c r="AC632" s="79"/>
      <c r="AD632" s="79"/>
      <c r="AE632" s="79"/>
    </row>
    <row r="633" spans="1:31" ht="16.5" x14ac:dyDescent="0.35">
      <c r="A633" s="71">
        <v>627</v>
      </c>
      <c r="B633" s="72">
        <v>2005224143</v>
      </c>
      <c r="C633" s="80" t="s">
        <v>644</v>
      </c>
      <c r="D633" s="81" t="s">
        <v>422</v>
      </c>
      <c r="E633" s="72" t="s">
        <v>283</v>
      </c>
      <c r="F633" s="76">
        <v>2</v>
      </c>
      <c r="G633" s="72" t="s">
        <v>1300</v>
      </c>
      <c r="H633" s="78">
        <v>45721</v>
      </c>
      <c r="I633" s="72" t="s">
        <v>1299</v>
      </c>
      <c r="J633" s="72">
        <v>8.5</v>
      </c>
      <c r="K633" s="72"/>
      <c r="L633" s="72" t="s">
        <v>1301</v>
      </c>
      <c r="M633" s="78">
        <v>45757</v>
      </c>
      <c r="N633" s="72" t="s">
        <v>1299</v>
      </c>
      <c r="O633" s="72">
        <v>8</v>
      </c>
      <c r="P633" s="72"/>
      <c r="Q633" s="72"/>
      <c r="R633" s="78"/>
      <c r="S633" s="72"/>
      <c r="T633" s="72"/>
      <c r="U633" s="72"/>
      <c r="V633" s="72"/>
      <c r="W633" s="72"/>
      <c r="X633" s="72"/>
      <c r="Y633" s="72"/>
      <c r="Z633" s="72"/>
      <c r="AA633" s="79"/>
      <c r="AB633" s="79"/>
      <c r="AC633" s="79"/>
      <c r="AD633" s="79"/>
      <c r="AE633" s="79"/>
    </row>
    <row r="634" spans="1:31" ht="16.5" x14ac:dyDescent="0.35">
      <c r="A634" s="71">
        <v>628</v>
      </c>
      <c r="B634" s="72">
        <v>2005224269</v>
      </c>
      <c r="C634" s="80" t="s">
        <v>646</v>
      </c>
      <c r="D634" s="81" t="s">
        <v>142</v>
      </c>
      <c r="E634" s="72" t="s">
        <v>283</v>
      </c>
      <c r="F634" s="76">
        <v>2</v>
      </c>
      <c r="G634" s="72" t="s">
        <v>924</v>
      </c>
      <c r="H634" s="78">
        <v>45637</v>
      </c>
      <c r="I634" s="72" t="s">
        <v>1299</v>
      </c>
      <c r="J634" s="72">
        <v>9</v>
      </c>
      <c r="K634" s="72"/>
      <c r="L634" s="72" t="s">
        <v>1301</v>
      </c>
      <c r="M634" s="78">
        <v>45785</v>
      </c>
      <c r="N634" s="72" t="s">
        <v>1299</v>
      </c>
      <c r="O634" s="72">
        <v>8.5</v>
      </c>
      <c r="P634" s="72"/>
      <c r="Q634" s="72"/>
      <c r="R634" s="78"/>
      <c r="S634" s="72"/>
      <c r="T634" s="72"/>
      <c r="U634" s="72"/>
      <c r="V634" s="72"/>
      <c r="W634" s="72"/>
      <c r="X634" s="72"/>
      <c r="Y634" s="72"/>
      <c r="Z634" s="72"/>
      <c r="AA634" s="79"/>
      <c r="AB634" s="79"/>
      <c r="AC634" s="79"/>
      <c r="AD634" s="79"/>
      <c r="AE634" s="79"/>
    </row>
    <row r="635" spans="1:31" ht="16.5" x14ac:dyDescent="0.35">
      <c r="A635" s="71">
        <v>629</v>
      </c>
      <c r="B635" s="72">
        <v>2005224780</v>
      </c>
      <c r="C635" s="80" t="s">
        <v>95</v>
      </c>
      <c r="D635" s="81" t="s">
        <v>102</v>
      </c>
      <c r="E635" s="72" t="s">
        <v>283</v>
      </c>
      <c r="F635" s="76">
        <v>4</v>
      </c>
      <c r="G635" s="72" t="s">
        <v>1300</v>
      </c>
      <c r="H635" s="78">
        <v>45448</v>
      </c>
      <c r="I635" s="72" t="s">
        <v>1299</v>
      </c>
      <c r="J635" s="72">
        <v>8.5</v>
      </c>
      <c r="K635" s="72"/>
      <c r="L635" s="72" t="s">
        <v>1301</v>
      </c>
      <c r="M635" s="78">
        <v>45630</v>
      </c>
      <c r="N635" s="72" t="s">
        <v>1299</v>
      </c>
      <c r="O635" s="72">
        <v>8.5</v>
      </c>
      <c r="P635" s="72"/>
      <c r="Q635" s="72" t="s">
        <v>924</v>
      </c>
      <c r="R635" s="78">
        <v>45637</v>
      </c>
      <c r="S635" s="72" t="s">
        <v>1299</v>
      </c>
      <c r="T635" s="72">
        <v>9</v>
      </c>
      <c r="U635" s="72"/>
      <c r="V635" s="72" t="s">
        <v>928</v>
      </c>
      <c r="W635" s="78">
        <v>45800</v>
      </c>
      <c r="X635" s="72" t="s">
        <v>1299</v>
      </c>
      <c r="Y635" s="72">
        <v>9</v>
      </c>
      <c r="Z635" s="72"/>
      <c r="AA635" s="79"/>
      <c r="AB635" s="79"/>
      <c r="AC635" s="79"/>
      <c r="AD635" s="79"/>
      <c r="AE635" s="79"/>
    </row>
    <row r="636" spans="1:31" ht="16.5" x14ac:dyDescent="0.35">
      <c r="A636" s="71">
        <v>630</v>
      </c>
      <c r="B636" s="72">
        <v>2005224747</v>
      </c>
      <c r="C636" s="80" t="s">
        <v>293</v>
      </c>
      <c r="D636" s="81" t="s">
        <v>102</v>
      </c>
      <c r="E636" s="72" t="s">
        <v>283</v>
      </c>
      <c r="F636" s="76">
        <v>2</v>
      </c>
      <c r="G636" s="72" t="s">
        <v>1300</v>
      </c>
      <c r="H636" s="78">
        <v>45756</v>
      </c>
      <c r="I636" s="72" t="s">
        <v>1299</v>
      </c>
      <c r="J636" s="72">
        <v>9</v>
      </c>
      <c r="K636" s="72"/>
      <c r="L636" s="72" t="s">
        <v>925</v>
      </c>
      <c r="M636" s="78">
        <v>45769</v>
      </c>
      <c r="N636" s="72" t="s">
        <v>1299</v>
      </c>
      <c r="O636" s="72">
        <v>8</v>
      </c>
      <c r="P636" s="72"/>
      <c r="Q636" s="72"/>
      <c r="R636" s="78"/>
      <c r="S636" s="72"/>
      <c r="T636" s="72"/>
      <c r="U636" s="72"/>
      <c r="V636" s="72"/>
      <c r="W636" s="72"/>
      <c r="X636" s="72"/>
      <c r="Y636" s="72"/>
      <c r="Z636" s="72"/>
      <c r="AA636" s="79"/>
      <c r="AB636" s="79"/>
      <c r="AC636" s="79"/>
      <c r="AD636" s="79"/>
      <c r="AE636" s="79"/>
    </row>
    <row r="637" spans="1:31" ht="16.5" x14ac:dyDescent="0.35">
      <c r="A637" s="71">
        <v>631</v>
      </c>
      <c r="B637" s="72">
        <v>2005224899</v>
      </c>
      <c r="C637" s="80" t="s">
        <v>37</v>
      </c>
      <c r="D637" s="81" t="s">
        <v>344</v>
      </c>
      <c r="E637" s="72" t="s">
        <v>283</v>
      </c>
      <c r="F637" s="76">
        <v>0</v>
      </c>
      <c r="G637" s="72"/>
      <c r="H637" s="78"/>
      <c r="I637" s="72"/>
      <c r="J637" s="72"/>
      <c r="K637" s="72"/>
      <c r="L637" s="72"/>
      <c r="M637" s="72"/>
      <c r="N637" s="72"/>
      <c r="O637" s="72"/>
      <c r="P637" s="72"/>
      <c r="Q637" s="72"/>
      <c r="R637" s="78"/>
      <c r="S637" s="72"/>
      <c r="T637" s="72"/>
      <c r="U637" s="72"/>
      <c r="V637" s="72"/>
      <c r="W637" s="72"/>
      <c r="X637" s="72"/>
      <c r="Y637" s="72"/>
      <c r="Z637" s="72"/>
      <c r="AA637" s="79"/>
      <c r="AB637" s="79"/>
      <c r="AC637" s="79"/>
      <c r="AD637" s="79"/>
      <c r="AE637" s="79"/>
    </row>
    <row r="638" spans="1:31" ht="16.5" x14ac:dyDescent="0.35">
      <c r="A638" s="71">
        <v>632</v>
      </c>
      <c r="B638" s="72">
        <v>2005224981</v>
      </c>
      <c r="C638" s="80" t="s">
        <v>1215</v>
      </c>
      <c r="D638" s="81" t="s">
        <v>1216</v>
      </c>
      <c r="E638" s="72" t="s">
        <v>283</v>
      </c>
      <c r="F638" s="76">
        <v>0</v>
      </c>
      <c r="G638" s="72"/>
      <c r="H638" s="78"/>
      <c r="I638" s="72"/>
      <c r="J638" s="72"/>
      <c r="K638" s="72"/>
      <c r="L638" s="72"/>
      <c r="M638" s="72"/>
      <c r="N638" s="72"/>
      <c r="O638" s="72"/>
      <c r="P638" s="72"/>
      <c r="Q638" s="72"/>
      <c r="R638" s="78"/>
      <c r="S638" s="72"/>
      <c r="T638" s="72"/>
      <c r="U638" s="72"/>
      <c r="V638" s="72"/>
      <c r="W638" s="72"/>
      <c r="X638" s="72"/>
      <c r="Y638" s="72"/>
      <c r="Z638" s="72"/>
      <c r="AA638" s="79"/>
      <c r="AB638" s="79"/>
      <c r="AC638" s="79"/>
      <c r="AD638" s="79"/>
      <c r="AE638" s="79"/>
    </row>
    <row r="639" spans="1:31" ht="16.5" x14ac:dyDescent="0.35">
      <c r="A639" s="71">
        <v>633</v>
      </c>
      <c r="B639" s="72">
        <v>2005225107</v>
      </c>
      <c r="C639" s="80" t="s">
        <v>364</v>
      </c>
      <c r="D639" s="81" t="s">
        <v>125</v>
      </c>
      <c r="E639" s="72" t="s">
        <v>283</v>
      </c>
      <c r="F639" s="76">
        <v>3</v>
      </c>
      <c r="G639" s="72" t="s">
        <v>925</v>
      </c>
      <c r="H639" s="78">
        <v>45559</v>
      </c>
      <c r="I639" s="72" t="s">
        <v>1299</v>
      </c>
      <c r="J639" s="72">
        <v>8</v>
      </c>
      <c r="K639" s="72"/>
      <c r="L639" s="72" t="s">
        <v>1300</v>
      </c>
      <c r="M639" s="78">
        <v>45436</v>
      </c>
      <c r="N639" s="72" t="s">
        <v>1299</v>
      </c>
      <c r="O639" s="72">
        <v>8</v>
      </c>
      <c r="P639" s="72"/>
      <c r="Q639" s="72" t="s">
        <v>924</v>
      </c>
      <c r="R639" s="78">
        <v>45645</v>
      </c>
      <c r="S639" s="72" t="s">
        <v>1299</v>
      </c>
      <c r="T639" s="72">
        <v>7</v>
      </c>
      <c r="U639" s="72"/>
      <c r="V639" s="72"/>
      <c r="W639" s="72"/>
      <c r="X639" s="72"/>
      <c r="Y639" s="72"/>
      <c r="Z639" s="72"/>
      <c r="AA639" s="79"/>
      <c r="AB639" s="79"/>
      <c r="AC639" s="79"/>
      <c r="AD639" s="79"/>
      <c r="AE639" s="79"/>
    </row>
    <row r="640" spans="1:31" ht="16.5" x14ac:dyDescent="0.35">
      <c r="A640" s="71">
        <v>634</v>
      </c>
      <c r="B640" s="72">
        <v>2005225105</v>
      </c>
      <c r="C640" s="80" t="s">
        <v>650</v>
      </c>
      <c r="D640" s="81" t="s">
        <v>125</v>
      </c>
      <c r="E640" s="72" t="s">
        <v>283</v>
      </c>
      <c r="F640" s="76">
        <v>2</v>
      </c>
      <c r="G640" s="72" t="s">
        <v>1300</v>
      </c>
      <c r="H640" s="78">
        <v>45749</v>
      </c>
      <c r="I640" s="86" t="s">
        <v>1299</v>
      </c>
      <c r="J640" s="72">
        <v>8</v>
      </c>
      <c r="K640" s="72"/>
      <c r="L640" s="72" t="s">
        <v>924</v>
      </c>
      <c r="M640" s="78">
        <v>45786</v>
      </c>
      <c r="N640" s="72" t="s">
        <v>1299</v>
      </c>
      <c r="O640" s="72">
        <v>9</v>
      </c>
      <c r="P640" s="72"/>
      <c r="Q640" s="72"/>
      <c r="R640" s="78"/>
      <c r="S640" s="72"/>
      <c r="T640" s="72"/>
      <c r="U640" s="72"/>
      <c r="V640" s="72"/>
      <c r="W640" s="72"/>
      <c r="X640" s="72"/>
      <c r="Y640" s="72"/>
      <c r="Z640" s="72"/>
      <c r="AA640" s="79"/>
      <c r="AB640" s="79"/>
      <c r="AC640" s="79"/>
      <c r="AD640" s="79"/>
      <c r="AE640" s="79"/>
    </row>
    <row r="641" spans="1:31" ht="16.5" x14ac:dyDescent="0.35">
      <c r="A641" s="71">
        <v>635</v>
      </c>
      <c r="B641" s="72">
        <v>2005225122</v>
      </c>
      <c r="C641" s="80" t="s">
        <v>727</v>
      </c>
      <c r="D641" s="81" t="s">
        <v>515</v>
      </c>
      <c r="E641" s="72" t="s">
        <v>283</v>
      </c>
      <c r="F641" s="76">
        <v>0</v>
      </c>
      <c r="G641" s="72"/>
      <c r="H641" s="78"/>
      <c r="I641" s="72"/>
      <c r="J641" s="72"/>
      <c r="K641" s="72"/>
      <c r="L641" s="72"/>
      <c r="M641" s="78"/>
      <c r="N641" s="72"/>
      <c r="O641" s="72"/>
      <c r="P641" s="72"/>
      <c r="Q641" s="72"/>
      <c r="R641" s="78"/>
      <c r="S641" s="72"/>
      <c r="T641" s="72"/>
      <c r="U641" s="72"/>
      <c r="V641" s="72"/>
      <c r="W641" s="72"/>
      <c r="X641" s="72"/>
      <c r="Y641" s="72"/>
      <c r="Z641" s="72"/>
      <c r="AA641" s="79"/>
      <c r="AB641" s="79"/>
      <c r="AC641" s="79"/>
      <c r="AD641" s="79"/>
      <c r="AE641" s="79"/>
    </row>
    <row r="642" spans="1:31" ht="16.5" x14ac:dyDescent="0.35">
      <c r="A642" s="71">
        <v>636</v>
      </c>
      <c r="B642" s="72">
        <v>2005225126</v>
      </c>
      <c r="C642" s="80" t="s">
        <v>649</v>
      </c>
      <c r="D642" s="81" t="s">
        <v>515</v>
      </c>
      <c r="E642" s="72" t="s">
        <v>283</v>
      </c>
      <c r="F642" s="76">
        <v>4</v>
      </c>
      <c r="G642" s="72" t="s">
        <v>1298</v>
      </c>
      <c r="H642" s="78">
        <v>45632</v>
      </c>
      <c r="I642" s="72" t="s">
        <v>1299</v>
      </c>
      <c r="J642" s="72">
        <v>9</v>
      </c>
      <c r="K642" s="72"/>
      <c r="L642" s="72" t="s">
        <v>1300</v>
      </c>
      <c r="M642" s="78">
        <v>45644</v>
      </c>
      <c r="N642" s="72" t="s">
        <v>1299</v>
      </c>
      <c r="O642" s="72">
        <v>9.5</v>
      </c>
      <c r="P642" s="72"/>
      <c r="Q642" s="72" t="s">
        <v>1300</v>
      </c>
      <c r="R642" s="78">
        <v>45644</v>
      </c>
      <c r="S642" s="72" t="s">
        <v>1299</v>
      </c>
      <c r="T642" s="72">
        <v>9.5</v>
      </c>
      <c r="U642" s="72"/>
      <c r="V642" s="72" t="s">
        <v>2042</v>
      </c>
      <c r="W642" s="78">
        <v>45672</v>
      </c>
      <c r="X642" s="72" t="s">
        <v>1299</v>
      </c>
      <c r="Y642" s="72">
        <v>9</v>
      </c>
      <c r="Z642" s="72"/>
      <c r="AA642" s="79"/>
      <c r="AB642" s="79"/>
      <c r="AC642" s="79"/>
      <c r="AD642" s="79"/>
      <c r="AE642" s="79"/>
    </row>
    <row r="643" spans="1:31" ht="16.5" x14ac:dyDescent="0.35">
      <c r="A643" s="71">
        <v>637</v>
      </c>
      <c r="B643" s="72">
        <v>2005225214</v>
      </c>
      <c r="C643" s="80" t="s">
        <v>565</v>
      </c>
      <c r="D643" s="81" t="s">
        <v>123</v>
      </c>
      <c r="E643" s="72" t="s">
        <v>283</v>
      </c>
      <c r="F643" s="76">
        <v>3</v>
      </c>
      <c r="G643" s="72" t="s">
        <v>925</v>
      </c>
      <c r="H643" s="78">
        <v>45769</v>
      </c>
      <c r="I643" s="72" t="s">
        <v>1299</v>
      </c>
      <c r="J643" s="72">
        <v>9.5</v>
      </c>
      <c r="K643" s="72"/>
      <c r="L643" s="72" t="s">
        <v>924</v>
      </c>
      <c r="M643" s="78">
        <v>45798</v>
      </c>
      <c r="N643" s="72" t="s">
        <v>1299</v>
      </c>
      <c r="O643" s="72">
        <v>8.5</v>
      </c>
      <c r="P643" s="72"/>
      <c r="Q643" s="72" t="s">
        <v>928</v>
      </c>
      <c r="R643" s="78">
        <v>45800</v>
      </c>
      <c r="S643" s="72" t="s">
        <v>1299</v>
      </c>
      <c r="T643" s="72">
        <v>9.5</v>
      </c>
      <c r="U643" s="72"/>
      <c r="V643" s="72"/>
      <c r="W643" s="72"/>
      <c r="X643" s="72"/>
      <c r="Y643" s="72"/>
      <c r="Z643" s="72"/>
      <c r="AA643" s="79"/>
      <c r="AB643" s="79"/>
      <c r="AC643" s="79"/>
      <c r="AD643" s="79"/>
      <c r="AE643" s="79"/>
    </row>
    <row r="644" spans="1:31" ht="16.5" x14ac:dyDescent="0.35">
      <c r="A644" s="71">
        <v>638</v>
      </c>
      <c r="B644" s="72">
        <v>2005225186</v>
      </c>
      <c r="C644" s="80" t="s">
        <v>647</v>
      </c>
      <c r="D644" s="81" t="s">
        <v>123</v>
      </c>
      <c r="E644" s="72" t="s">
        <v>283</v>
      </c>
      <c r="F644" s="76">
        <v>2</v>
      </c>
      <c r="G644" s="72" t="s">
        <v>925</v>
      </c>
      <c r="H644" s="78">
        <v>45405</v>
      </c>
      <c r="I644" s="72" t="s">
        <v>1299</v>
      </c>
      <c r="J644" s="72">
        <v>6.5</v>
      </c>
      <c r="K644" s="72"/>
      <c r="L644" s="72" t="s">
        <v>1300</v>
      </c>
      <c r="M644" s="78">
        <v>45742</v>
      </c>
      <c r="N644" s="72" t="s">
        <v>1299</v>
      </c>
      <c r="O644" s="72">
        <v>9</v>
      </c>
      <c r="P644" s="72"/>
      <c r="Q644" s="72"/>
      <c r="R644" s="78"/>
      <c r="S644" s="72"/>
      <c r="T644" s="72"/>
      <c r="U644" s="72"/>
      <c r="V644" s="72"/>
      <c r="W644" s="72"/>
      <c r="X644" s="72"/>
      <c r="Y644" s="72"/>
      <c r="Z644" s="72"/>
      <c r="AA644" s="79"/>
      <c r="AB644" s="79"/>
      <c r="AC644" s="79"/>
      <c r="AD644" s="79"/>
      <c r="AE644" s="79"/>
    </row>
    <row r="645" spans="1:31" ht="16.5" x14ac:dyDescent="0.35">
      <c r="A645" s="71">
        <v>639</v>
      </c>
      <c r="B645" s="72">
        <v>2005225346</v>
      </c>
      <c r="C645" s="80" t="s">
        <v>657</v>
      </c>
      <c r="D645" s="81" t="s">
        <v>258</v>
      </c>
      <c r="E645" s="72" t="s">
        <v>283</v>
      </c>
      <c r="F645" s="76">
        <v>3</v>
      </c>
      <c r="G645" s="72" t="s">
        <v>1300</v>
      </c>
      <c r="H645" s="78">
        <v>45737</v>
      </c>
      <c r="I645" s="72" t="s">
        <v>1299</v>
      </c>
      <c r="J645" s="72">
        <v>8.5</v>
      </c>
      <c r="K645" s="72">
        <v>0.5</v>
      </c>
      <c r="L645" s="72" t="s">
        <v>925</v>
      </c>
      <c r="M645" s="78">
        <v>45757</v>
      </c>
      <c r="N645" s="72" t="s">
        <v>1299</v>
      </c>
      <c r="O645" s="72">
        <v>8.5</v>
      </c>
      <c r="P645" s="72"/>
      <c r="Q645" s="72" t="s">
        <v>924</v>
      </c>
      <c r="R645" s="78">
        <v>45786</v>
      </c>
      <c r="S645" s="72" t="s">
        <v>1299</v>
      </c>
      <c r="T645" s="72">
        <v>8.5</v>
      </c>
      <c r="U645" s="72"/>
      <c r="V645" s="72"/>
      <c r="W645" s="72"/>
      <c r="X645" s="72"/>
      <c r="Y645" s="72"/>
      <c r="Z645" s="72"/>
      <c r="AA645" s="79"/>
      <c r="AB645" s="79"/>
      <c r="AC645" s="79"/>
      <c r="AD645" s="79"/>
      <c r="AE645" s="79"/>
    </row>
    <row r="646" spans="1:31" ht="16.5" x14ac:dyDescent="0.35">
      <c r="A646" s="71">
        <v>640</v>
      </c>
      <c r="B646" s="72">
        <v>2005225431</v>
      </c>
      <c r="C646" s="80" t="s">
        <v>652</v>
      </c>
      <c r="D646" s="81" t="s">
        <v>138</v>
      </c>
      <c r="E646" s="72" t="s">
        <v>283</v>
      </c>
      <c r="F646" s="76">
        <v>2</v>
      </c>
      <c r="G646" s="72" t="s">
        <v>925</v>
      </c>
      <c r="H646" s="78">
        <v>45410</v>
      </c>
      <c r="I646" s="72" t="s">
        <v>1299</v>
      </c>
      <c r="J646" s="72">
        <v>7</v>
      </c>
      <c r="K646" s="72"/>
      <c r="L646" s="72" t="s">
        <v>1300</v>
      </c>
      <c r="M646" s="78">
        <v>45436</v>
      </c>
      <c r="N646" s="72" t="s">
        <v>1299</v>
      </c>
      <c r="O646" s="72">
        <v>6</v>
      </c>
      <c r="P646" s="72"/>
      <c r="Q646" s="72"/>
      <c r="R646" s="78"/>
      <c r="S646" s="72"/>
      <c r="T646" s="72"/>
      <c r="U646" s="72"/>
      <c r="V646" s="72"/>
      <c r="W646" s="72"/>
      <c r="X646" s="72"/>
      <c r="Y646" s="72"/>
      <c r="Z646" s="72"/>
      <c r="AA646" s="79"/>
      <c r="AB646" s="79"/>
      <c r="AC646" s="79"/>
      <c r="AD646" s="79"/>
      <c r="AE646" s="79"/>
    </row>
    <row r="647" spans="1:31" ht="16.5" x14ac:dyDescent="0.35">
      <c r="A647" s="71">
        <v>641</v>
      </c>
      <c r="B647" s="72">
        <v>2005225447</v>
      </c>
      <c r="C647" s="80" t="s">
        <v>654</v>
      </c>
      <c r="D647" s="81" t="s">
        <v>138</v>
      </c>
      <c r="E647" s="72" t="s">
        <v>283</v>
      </c>
      <c r="F647" s="76">
        <v>2</v>
      </c>
      <c r="G647" s="72" t="s">
        <v>1300</v>
      </c>
      <c r="H647" s="78">
        <v>45756</v>
      </c>
      <c r="I647" s="72" t="s">
        <v>1299</v>
      </c>
      <c r="J647" s="72">
        <v>8.5</v>
      </c>
      <c r="K647" s="72"/>
      <c r="L647" s="72" t="s">
        <v>924</v>
      </c>
      <c r="M647" s="78">
        <v>45776</v>
      </c>
      <c r="N647" s="72" t="s">
        <v>1299</v>
      </c>
      <c r="O647" s="72">
        <v>8</v>
      </c>
      <c r="P647" s="72"/>
      <c r="Q647" s="72"/>
      <c r="R647" s="78"/>
      <c r="S647" s="72"/>
      <c r="T647" s="72"/>
      <c r="U647" s="72"/>
      <c r="V647" s="72"/>
      <c r="W647" s="72"/>
      <c r="X647" s="72"/>
      <c r="Y647" s="72"/>
      <c r="Z647" s="72"/>
      <c r="AA647" s="79"/>
      <c r="AB647" s="79"/>
      <c r="AC647" s="79"/>
      <c r="AD647" s="79"/>
      <c r="AE647" s="79"/>
    </row>
    <row r="648" spans="1:31" ht="16.5" x14ac:dyDescent="0.35">
      <c r="A648" s="71">
        <v>642</v>
      </c>
      <c r="B648" s="72">
        <v>2005225491</v>
      </c>
      <c r="C648" s="80" t="s">
        <v>655</v>
      </c>
      <c r="D648" s="81" t="s">
        <v>168</v>
      </c>
      <c r="E648" s="72" t="s">
        <v>283</v>
      </c>
      <c r="F648" s="76">
        <v>3</v>
      </c>
      <c r="G648" s="72" t="s">
        <v>925</v>
      </c>
      <c r="H648" s="78">
        <v>45769</v>
      </c>
      <c r="I648" s="72" t="s">
        <v>1299</v>
      </c>
      <c r="J648" s="72">
        <v>9.5</v>
      </c>
      <c r="K648" s="72"/>
      <c r="L648" s="72" t="s">
        <v>924</v>
      </c>
      <c r="M648" s="78">
        <v>45798</v>
      </c>
      <c r="N648" s="72" t="s">
        <v>1299</v>
      </c>
      <c r="O648" s="72">
        <v>8.5</v>
      </c>
      <c r="P648" s="72"/>
      <c r="Q648" s="72" t="s">
        <v>928</v>
      </c>
      <c r="R648" s="78">
        <v>45800</v>
      </c>
      <c r="S648" s="72" t="s">
        <v>1299</v>
      </c>
      <c r="T648" s="72">
        <v>9</v>
      </c>
      <c r="U648" s="72"/>
      <c r="V648" s="72"/>
      <c r="W648" s="72"/>
      <c r="X648" s="72"/>
      <c r="Y648" s="72"/>
      <c r="Z648" s="72"/>
      <c r="AA648" s="79"/>
      <c r="AB648" s="79"/>
      <c r="AC648" s="79"/>
      <c r="AD648" s="79"/>
      <c r="AE648" s="79"/>
    </row>
    <row r="649" spans="1:31" ht="16.5" x14ac:dyDescent="0.35">
      <c r="A649" s="71">
        <v>643</v>
      </c>
      <c r="B649" s="72">
        <v>2005225573</v>
      </c>
      <c r="C649" s="80" t="s">
        <v>315</v>
      </c>
      <c r="D649" s="81" t="s">
        <v>1217</v>
      </c>
      <c r="E649" s="72" t="s">
        <v>283</v>
      </c>
      <c r="F649" s="76">
        <v>2</v>
      </c>
      <c r="G649" s="72" t="s">
        <v>1298</v>
      </c>
      <c r="H649" s="78">
        <v>45632</v>
      </c>
      <c r="I649" s="72" t="s">
        <v>1299</v>
      </c>
      <c r="J649" s="72">
        <v>9</v>
      </c>
      <c r="K649" s="72"/>
      <c r="L649" s="72" t="s">
        <v>2042</v>
      </c>
      <c r="M649" s="78">
        <v>45672</v>
      </c>
      <c r="N649" s="72" t="s">
        <v>1299</v>
      </c>
      <c r="O649" s="72">
        <v>9</v>
      </c>
      <c r="P649" s="72"/>
      <c r="Q649" s="72"/>
      <c r="R649" s="78"/>
      <c r="S649" s="72"/>
      <c r="T649" s="72"/>
      <c r="U649" s="72"/>
      <c r="V649" s="72"/>
      <c r="W649" s="72"/>
      <c r="X649" s="72"/>
      <c r="Y649" s="72"/>
      <c r="Z649" s="72"/>
      <c r="AA649" s="79"/>
      <c r="AB649" s="79"/>
      <c r="AC649" s="79"/>
      <c r="AD649" s="79"/>
      <c r="AE649" s="79"/>
    </row>
    <row r="650" spans="1:31" ht="16.5" x14ac:dyDescent="0.35">
      <c r="A650" s="71">
        <v>644</v>
      </c>
      <c r="B650" s="72">
        <v>2005225599</v>
      </c>
      <c r="C650" s="80" t="s">
        <v>44</v>
      </c>
      <c r="D650" s="81" t="s">
        <v>115</v>
      </c>
      <c r="E650" s="72" t="s">
        <v>283</v>
      </c>
      <c r="F650" s="76">
        <v>3</v>
      </c>
      <c r="G650" s="72" t="s">
        <v>1301</v>
      </c>
      <c r="H650" s="78">
        <v>45783</v>
      </c>
      <c r="I650" s="72" t="s">
        <v>1299</v>
      </c>
      <c r="J650" s="72">
        <v>9.5</v>
      </c>
      <c r="K650" s="72"/>
      <c r="L650" s="72" t="s">
        <v>925</v>
      </c>
      <c r="M650" s="78">
        <v>45797</v>
      </c>
      <c r="N650" s="72" t="s">
        <v>1299</v>
      </c>
      <c r="O650" s="72">
        <v>8.5</v>
      </c>
      <c r="P650" s="72"/>
      <c r="Q650" s="72" t="s">
        <v>928</v>
      </c>
      <c r="R650" s="78">
        <v>45800</v>
      </c>
      <c r="S650" s="72" t="s">
        <v>1299</v>
      </c>
      <c r="T650" s="72">
        <v>9.5</v>
      </c>
      <c r="U650" s="72"/>
      <c r="V650" s="72"/>
      <c r="W650" s="72"/>
      <c r="X650" s="72"/>
      <c r="Y650" s="72"/>
      <c r="Z650" s="72"/>
      <c r="AA650" s="79"/>
      <c r="AB650" s="79"/>
      <c r="AC650" s="79"/>
      <c r="AD650" s="79"/>
      <c r="AE650" s="79"/>
    </row>
    <row r="651" spans="1:31" ht="16.5" x14ac:dyDescent="0.35">
      <c r="A651" s="71">
        <v>645</v>
      </c>
      <c r="B651" s="72">
        <v>2005225893</v>
      </c>
      <c r="C651" s="80" t="s">
        <v>667</v>
      </c>
      <c r="D651" s="81" t="s">
        <v>316</v>
      </c>
      <c r="E651" s="72" t="s">
        <v>283</v>
      </c>
      <c r="F651" s="76">
        <v>3</v>
      </c>
      <c r="G651" s="72" t="s">
        <v>1300</v>
      </c>
      <c r="H651" s="78">
        <v>45744</v>
      </c>
      <c r="I651" s="72" t="s">
        <v>1299</v>
      </c>
      <c r="J651" s="72">
        <v>8</v>
      </c>
      <c r="K651" s="72"/>
      <c r="L651" s="72" t="s">
        <v>924</v>
      </c>
      <c r="M651" s="78">
        <v>45786</v>
      </c>
      <c r="N651" s="72" t="s">
        <v>1299</v>
      </c>
      <c r="O651" s="72">
        <v>8</v>
      </c>
      <c r="P651" s="72"/>
      <c r="Q651" s="79" t="s">
        <v>928</v>
      </c>
      <c r="R651" s="83">
        <v>45799</v>
      </c>
      <c r="S651" s="79" t="s">
        <v>1299</v>
      </c>
      <c r="T651" s="72">
        <v>8.5</v>
      </c>
      <c r="U651" s="72"/>
      <c r="V651" s="72"/>
      <c r="W651" s="72"/>
      <c r="X651" s="72"/>
      <c r="Y651" s="72"/>
      <c r="Z651" s="72"/>
      <c r="AA651" s="79"/>
      <c r="AB651" s="79"/>
      <c r="AC651" s="79"/>
      <c r="AD651" s="79"/>
      <c r="AE651" s="79"/>
    </row>
    <row r="652" spans="1:31" ht="16.5" x14ac:dyDescent="0.35">
      <c r="A652" s="71">
        <v>646</v>
      </c>
      <c r="B652" s="72">
        <v>2005225937</v>
      </c>
      <c r="C652" s="80" t="s">
        <v>661</v>
      </c>
      <c r="D652" s="81" t="s">
        <v>56</v>
      </c>
      <c r="E652" s="72" t="s">
        <v>283</v>
      </c>
      <c r="F652" s="76">
        <v>3</v>
      </c>
      <c r="G652" s="72" t="s">
        <v>1298</v>
      </c>
      <c r="H652" s="78">
        <v>45632</v>
      </c>
      <c r="I652" s="72" t="s">
        <v>1299</v>
      </c>
      <c r="J652" s="72">
        <v>9</v>
      </c>
      <c r="K652" s="72"/>
      <c r="L652" s="72" t="s">
        <v>1300</v>
      </c>
      <c r="M652" s="78">
        <v>45644</v>
      </c>
      <c r="N652" s="72" t="s">
        <v>1299</v>
      </c>
      <c r="O652" s="72">
        <v>9</v>
      </c>
      <c r="P652" s="72"/>
      <c r="Q652" s="72" t="s">
        <v>2042</v>
      </c>
      <c r="R652" s="78">
        <v>45672</v>
      </c>
      <c r="S652" s="72" t="s">
        <v>1299</v>
      </c>
      <c r="T652" s="72">
        <v>9</v>
      </c>
      <c r="U652" s="72"/>
      <c r="V652" s="72"/>
      <c r="W652" s="72"/>
      <c r="X652" s="72"/>
      <c r="Y652" s="72"/>
      <c r="Z652" s="72"/>
      <c r="AA652" s="79"/>
      <c r="AB652" s="79"/>
      <c r="AC652" s="79"/>
      <c r="AD652" s="79"/>
      <c r="AE652" s="79"/>
    </row>
    <row r="653" spans="1:31" ht="16.5" x14ac:dyDescent="0.35">
      <c r="A653" s="71">
        <v>647</v>
      </c>
      <c r="B653" s="72">
        <v>2005225988</v>
      </c>
      <c r="C653" s="80" t="s">
        <v>659</v>
      </c>
      <c r="D653" s="81" t="s">
        <v>56</v>
      </c>
      <c r="E653" s="72" t="s">
        <v>283</v>
      </c>
      <c r="F653" s="76">
        <v>2</v>
      </c>
      <c r="G653" s="72" t="s">
        <v>924</v>
      </c>
      <c r="H653" s="78">
        <v>45637</v>
      </c>
      <c r="I653" s="72" t="s">
        <v>1299</v>
      </c>
      <c r="J653" s="72">
        <v>9</v>
      </c>
      <c r="K653" s="72"/>
      <c r="L653" s="72" t="s">
        <v>1301</v>
      </c>
      <c r="M653" s="78">
        <v>45785</v>
      </c>
      <c r="N653" s="72" t="s">
        <v>1299</v>
      </c>
      <c r="O653" s="72">
        <v>8.5</v>
      </c>
      <c r="P653" s="72"/>
      <c r="Q653" s="72"/>
      <c r="R653" s="78"/>
      <c r="S653" s="72"/>
      <c r="T653" s="72"/>
      <c r="U653" s="72"/>
      <c r="V653" s="72"/>
      <c r="W653" s="72"/>
      <c r="X653" s="72"/>
      <c r="Y653" s="72"/>
      <c r="Z653" s="72"/>
      <c r="AA653" s="79"/>
      <c r="AB653" s="79"/>
      <c r="AC653" s="79"/>
      <c r="AD653" s="79"/>
      <c r="AE653" s="79"/>
    </row>
    <row r="654" spans="1:31" ht="16.5" x14ac:dyDescent="0.35">
      <c r="A654" s="71">
        <v>648</v>
      </c>
      <c r="B654" s="72">
        <v>2005225989</v>
      </c>
      <c r="C654" s="80" t="s">
        <v>660</v>
      </c>
      <c r="D654" s="81" t="s">
        <v>56</v>
      </c>
      <c r="E654" s="72" t="s">
        <v>283</v>
      </c>
      <c r="F654" s="76">
        <v>3</v>
      </c>
      <c r="G654" s="72" t="s">
        <v>925</v>
      </c>
      <c r="H654" s="78">
        <v>45405</v>
      </c>
      <c r="I654" s="72" t="s">
        <v>1299</v>
      </c>
      <c r="J654" s="72">
        <v>6.5</v>
      </c>
      <c r="K654" s="72"/>
      <c r="L654" s="72" t="s">
        <v>1300</v>
      </c>
      <c r="M654" s="78">
        <v>45721</v>
      </c>
      <c r="N654" s="72" t="s">
        <v>1299</v>
      </c>
      <c r="O654" s="72">
        <v>6.5</v>
      </c>
      <c r="P654" s="72"/>
      <c r="Q654" s="72" t="s">
        <v>924</v>
      </c>
      <c r="R654" s="78">
        <v>45787</v>
      </c>
      <c r="S654" s="72" t="s">
        <v>1299</v>
      </c>
      <c r="T654" s="72">
        <v>8.5</v>
      </c>
      <c r="U654" s="72"/>
      <c r="V654" s="72"/>
      <c r="W654" s="72"/>
      <c r="X654" s="72"/>
      <c r="Y654" s="72"/>
      <c r="Z654" s="72"/>
      <c r="AA654" s="79"/>
      <c r="AB654" s="79"/>
      <c r="AC654" s="79"/>
      <c r="AD654" s="79"/>
      <c r="AE654" s="79"/>
    </row>
    <row r="655" spans="1:31" ht="16.5" x14ac:dyDescent="0.35">
      <c r="A655" s="71">
        <v>649</v>
      </c>
      <c r="B655" s="72">
        <v>2005226116</v>
      </c>
      <c r="C655" s="80" t="s">
        <v>663</v>
      </c>
      <c r="D655" s="81" t="s">
        <v>135</v>
      </c>
      <c r="E655" s="72" t="s">
        <v>283</v>
      </c>
      <c r="F655" s="76">
        <v>3</v>
      </c>
      <c r="G655" s="72" t="s">
        <v>1298</v>
      </c>
      <c r="H655" s="78">
        <v>45632</v>
      </c>
      <c r="I655" s="72" t="s">
        <v>1299</v>
      </c>
      <c r="J655" s="72">
        <v>9</v>
      </c>
      <c r="K655" s="72"/>
      <c r="L655" s="72" t="s">
        <v>924</v>
      </c>
      <c r="M655" s="78">
        <v>45776</v>
      </c>
      <c r="N655" s="72" t="s">
        <v>1299</v>
      </c>
      <c r="O655" s="72">
        <v>9</v>
      </c>
      <c r="P655" s="72"/>
      <c r="Q655" s="72" t="s">
        <v>2042</v>
      </c>
      <c r="R655" s="78">
        <v>45672</v>
      </c>
      <c r="S655" s="72" t="s">
        <v>1299</v>
      </c>
      <c r="T655" s="72">
        <v>9</v>
      </c>
      <c r="U655" s="72"/>
      <c r="V655" s="72"/>
      <c r="W655" s="72"/>
      <c r="X655" s="72"/>
      <c r="Y655" s="72"/>
      <c r="Z655" s="72"/>
      <c r="AA655" s="79"/>
      <c r="AB655" s="79"/>
      <c r="AC655" s="79"/>
      <c r="AD655" s="79"/>
      <c r="AE655" s="79"/>
    </row>
    <row r="656" spans="1:31" ht="16.5" x14ac:dyDescent="0.35">
      <c r="A656" s="71">
        <v>650</v>
      </c>
      <c r="B656" s="72">
        <v>2005220034</v>
      </c>
      <c r="C656" s="80" t="s">
        <v>1219</v>
      </c>
      <c r="D656" s="81" t="s">
        <v>71</v>
      </c>
      <c r="E656" s="72" t="s">
        <v>337</v>
      </c>
      <c r="F656" s="76">
        <v>0</v>
      </c>
      <c r="G656" s="72"/>
      <c r="H656" s="78"/>
      <c r="I656" s="72"/>
      <c r="J656" s="72"/>
      <c r="K656" s="72"/>
      <c r="L656" s="72"/>
      <c r="M656" s="72"/>
      <c r="N656" s="72"/>
      <c r="O656" s="72"/>
      <c r="P656" s="72"/>
      <c r="Q656" s="72"/>
      <c r="R656" s="78"/>
      <c r="S656" s="72"/>
      <c r="T656" s="72"/>
      <c r="U656" s="72"/>
      <c r="V656" s="72"/>
      <c r="W656" s="72"/>
      <c r="X656" s="72"/>
      <c r="Y656" s="72"/>
      <c r="Z656" s="72"/>
      <c r="AA656" s="79"/>
      <c r="AB656" s="79"/>
      <c r="AC656" s="79"/>
      <c r="AD656" s="79"/>
      <c r="AE656" s="79"/>
    </row>
    <row r="657" spans="1:31" ht="16.5" x14ac:dyDescent="0.35">
      <c r="A657" s="71">
        <v>651</v>
      </c>
      <c r="B657" s="72">
        <v>2005220172</v>
      </c>
      <c r="C657" s="80" t="s">
        <v>55</v>
      </c>
      <c r="D657" s="81" t="s">
        <v>36</v>
      </c>
      <c r="E657" s="72" t="s">
        <v>337</v>
      </c>
      <c r="F657" s="76">
        <v>2</v>
      </c>
      <c r="G657" s="72" t="s">
        <v>1300</v>
      </c>
      <c r="H657" s="78">
        <v>45744</v>
      </c>
      <c r="I657" s="72" t="s">
        <v>1299</v>
      </c>
      <c r="J657" s="72">
        <v>7</v>
      </c>
      <c r="K657" s="72"/>
      <c r="L657" s="72" t="s">
        <v>924</v>
      </c>
      <c r="M657" s="78">
        <v>45776</v>
      </c>
      <c r="N657" s="72" t="s">
        <v>1299</v>
      </c>
      <c r="O657" s="72">
        <v>9</v>
      </c>
      <c r="P657" s="72"/>
      <c r="Q657" s="72"/>
      <c r="R657" s="78"/>
      <c r="S657" s="72"/>
      <c r="T657" s="72"/>
      <c r="U657" s="72"/>
      <c r="V657" s="72"/>
      <c r="W657" s="72"/>
      <c r="X657" s="72"/>
      <c r="Y657" s="72"/>
      <c r="Z657" s="72"/>
      <c r="AA657" s="79"/>
      <c r="AB657" s="79"/>
      <c r="AC657" s="79"/>
      <c r="AD657" s="79"/>
      <c r="AE657" s="79"/>
    </row>
    <row r="658" spans="1:31" ht="16.5" x14ac:dyDescent="0.35">
      <c r="A658" s="71">
        <v>652</v>
      </c>
      <c r="B658" s="72">
        <v>2005220254</v>
      </c>
      <c r="C658" s="80" t="s">
        <v>178</v>
      </c>
      <c r="D658" s="81" t="s">
        <v>170</v>
      </c>
      <c r="E658" s="72" t="s">
        <v>337</v>
      </c>
      <c r="F658" s="76">
        <v>3</v>
      </c>
      <c r="G658" s="72" t="s">
        <v>1300</v>
      </c>
      <c r="H658" s="78">
        <v>45742</v>
      </c>
      <c r="I658" s="72" t="s">
        <v>1299</v>
      </c>
      <c r="J658" s="72">
        <v>9</v>
      </c>
      <c r="K658" s="72"/>
      <c r="L658" s="72" t="s">
        <v>928</v>
      </c>
      <c r="M658" s="78">
        <v>45800</v>
      </c>
      <c r="N658" s="72" t="s">
        <v>1299</v>
      </c>
      <c r="O658" s="72">
        <v>8</v>
      </c>
      <c r="P658" s="72"/>
      <c r="Q658" s="72" t="s">
        <v>924</v>
      </c>
      <c r="R658" s="78">
        <v>45803</v>
      </c>
      <c r="S658" s="72" t="s">
        <v>1299</v>
      </c>
      <c r="T658" s="72">
        <v>7</v>
      </c>
      <c r="U658" s="72"/>
      <c r="V658" s="72"/>
      <c r="W658" s="72"/>
      <c r="X658" s="72"/>
      <c r="Y658" s="72"/>
      <c r="Z658" s="72"/>
      <c r="AA658" s="79"/>
      <c r="AB658" s="79"/>
      <c r="AC658" s="79"/>
      <c r="AD658" s="79"/>
      <c r="AE658" s="79"/>
    </row>
    <row r="659" spans="1:31" ht="16.5" x14ac:dyDescent="0.35">
      <c r="A659" s="71">
        <v>653</v>
      </c>
      <c r="B659" s="72">
        <v>2005220333</v>
      </c>
      <c r="C659" s="80" t="s">
        <v>267</v>
      </c>
      <c r="D659" s="81" t="s">
        <v>268</v>
      </c>
      <c r="E659" s="72" t="s">
        <v>337</v>
      </c>
      <c r="F659" s="76">
        <v>2</v>
      </c>
      <c r="G659" s="72" t="s">
        <v>1300</v>
      </c>
      <c r="H659" s="78">
        <v>45756</v>
      </c>
      <c r="I659" s="72" t="s">
        <v>1299</v>
      </c>
      <c r="J659" s="72">
        <v>9</v>
      </c>
      <c r="K659" s="72"/>
      <c r="L659" s="72" t="s">
        <v>924</v>
      </c>
      <c r="M659" s="78">
        <v>45787</v>
      </c>
      <c r="N659" s="72" t="s">
        <v>1299</v>
      </c>
      <c r="O659" s="72">
        <v>9</v>
      </c>
      <c r="P659" s="72"/>
      <c r="Q659" s="72"/>
      <c r="R659" s="78"/>
      <c r="S659" s="72"/>
      <c r="T659" s="72"/>
      <c r="U659" s="72"/>
      <c r="V659" s="72"/>
      <c r="W659" s="72"/>
      <c r="X659" s="72"/>
      <c r="Y659" s="72"/>
      <c r="Z659" s="72"/>
      <c r="AA659" s="79"/>
      <c r="AB659" s="79"/>
      <c r="AC659" s="79"/>
      <c r="AD659" s="79"/>
      <c r="AE659" s="79"/>
    </row>
    <row r="660" spans="1:31" ht="16.5" x14ac:dyDescent="0.35">
      <c r="A660" s="71">
        <v>654</v>
      </c>
      <c r="B660" s="72">
        <v>2005220296</v>
      </c>
      <c r="C660" s="80" t="s">
        <v>121</v>
      </c>
      <c r="D660" s="81" t="s">
        <v>268</v>
      </c>
      <c r="E660" s="72" t="s">
        <v>337</v>
      </c>
      <c r="F660" s="76">
        <v>2</v>
      </c>
      <c r="G660" s="72" t="s">
        <v>1300</v>
      </c>
      <c r="H660" s="78">
        <v>45744</v>
      </c>
      <c r="I660" s="72" t="s">
        <v>1299</v>
      </c>
      <c r="J660" s="72">
        <v>9</v>
      </c>
      <c r="K660" s="72"/>
      <c r="L660" s="72" t="s">
        <v>924</v>
      </c>
      <c r="M660" s="78">
        <v>45786</v>
      </c>
      <c r="N660" s="72" t="s">
        <v>1299</v>
      </c>
      <c r="O660" s="72">
        <v>8.5</v>
      </c>
      <c r="P660" s="72"/>
      <c r="Q660" s="72"/>
      <c r="R660" s="78"/>
      <c r="S660" s="72"/>
      <c r="T660" s="72"/>
      <c r="U660" s="72"/>
      <c r="V660" s="72"/>
      <c r="W660" s="72"/>
      <c r="X660" s="72"/>
      <c r="Y660" s="72"/>
      <c r="Z660" s="72"/>
      <c r="AA660" s="79"/>
      <c r="AB660" s="79"/>
      <c r="AC660" s="79"/>
      <c r="AD660" s="79"/>
      <c r="AE660" s="79"/>
    </row>
    <row r="661" spans="1:31" ht="16.5" x14ac:dyDescent="0.35">
      <c r="A661" s="71">
        <v>655</v>
      </c>
      <c r="B661" s="72">
        <v>2005220415</v>
      </c>
      <c r="C661" s="80" t="s">
        <v>673</v>
      </c>
      <c r="D661" s="81" t="s">
        <v>674</v>
      </c>
      <c r="E661" s="72" t="s">
        <v>337</v>
      </c>
      <c r="F661" s="76">
        <v>2</v>
      </c>
      <c r="G661" s="72" t="s">
        <v>1300</v>
      </c>
      <c r="H661" s="78">
        <v>45784</v>
      </c>
      <c r="I661" s="72" t="s">
        <v>1299</v>
      </c>
      <c r="J661" s="72">
        <v>9</v>
      </c>
      <c r="K661" s="72">
        <v>0.5</v>
      </c>
      <c r="L661" s="72" t="s">
        <v>1301</v>
      </c>
      <c r="M661" s="78">
        <v>45785</v>
      </c>
      <c r="N661" s="72" t="s">
        <v>1299</v>
      </c>
      <c r="O661" s="72">
        <v>9</v>
      </c>
      <c r="P661" s="72"/>
      <c r="Q661" s="72"/>
      <c r="R661" s="78"/>
      <c r="S661" s="72"/>
      <c r="T661" s="72"/>
      <c r="U661" s="72"/>
      <c r="V661" s="72"/>
      <c r="W661" s="72"/>
      <c r="X661" s="72"/>
      <c r="Y661" s="72"/>
      <c r="Z661" s="72"/>
      <c r="AA661" s="79"/>
      <c r="AB661" s="79"/>
      <c r="AC661" s="79"/>
      <c r="AD661" s="79"/>
      <c r="AE661" s="79"/>
    </row>
    <row r="662" spans="1:31" ht="16.5" x14ac:dyDescent="0.35">
      <c r="A662" s="71">
        <v>656</v>
      </c>
      <c r="B662" s="72">
        <v>2005220453</v>
      </c>
      <c r="C662" s="80" t="s">
        <v>519</v>
      </c>
      <c r="D662" s="81" t="s">
        <v>324</v>
      </c>
      <c r="E662" s="72" t="s">
        <v>337</v>
      </c>
      <c r="F662" s="76">
        <v>2</v>
      </c>
      <c r="G662" s="72" t="s">
        <v>1300</v>
      </c>
      <c r="H662" s="78">
        <v>45744</v>
      </c>
      <c r="I662" s="72" t="s">
        <v>1299</v>
      </c>
      <c r="J662" s="72">
        <v>7</v>
      </c>
      <c r="K662" s="72"/>
      <c r="L662" s="72" t="s">
        <v>1301</v>
      </c>
      <c r="M662" s="78">
        <v>45785</v>
      </c>
      <c r="N662" s="72" t="s">
        <v>1299</v>
      </c>
      <c r="O662" s="72">
        <v>8.5</v>
      </c>
      <c r="P662" s="72"/>
      <c r="Q662" s="72"/>
      <c r="R662" s="78"/>
      <c r="S662" s="72"/>
      <c r="T662" s="72"/>
      <c r="U662" s="72"/>
      <c r="V662" s="72"/>
      <c r="W662" s="72"/>
      <c r="X662" s="72"/>
      <c r="Y662" s="72"/>
      <c r="Z662" s="72"/>
      <c r="AA662" s="79"/>
      <c r="AB662" s="79"/>
      <c r="AC662" s="79"/>
      <c r="AD662" s="79"/>
      <c r="AE662" s="79"/>
    </row>
    <row r="663" spans="1:31" ht="16.5" x14ac:dyDescent="0.35">
      <c r="A663" s="71">
        <v>657</v>
      </c>
      <c r="B663" s="72">
        <v>2005220612</v>
      </c>
      <c r="C663" s="80" t="s">
        <v>703</v>
      </c>
      <c r="D663" s="81" t="s">
        <v>704</v>
      </c>
      <c r="E663" s="72" t="s">
        <v>337</v>
      </c>
      <c r="F663" s="76">
        <v>2</v>
      </c>
      <c r="G663" s="72" t="s">
        <v>1300</v>
      </c>
      <c r="H663" s="78">
        <v>45721</v>
      </c>
      <c r="I663" s="72" t="s">
        <v>1299</v>
      </c>
      <c r="J663" s="72">
        <v>6.5</v>
      </c>
      <c r="K663" s="72"/>
      <c r="L663" s="72" t="s">
        <v>925</v>
      </c>
      <c r="M663" s="78">
        <v>45757</v>
      </c>
      <c r="N663" s="72" t="s">
        <v>1299</v>
      </c>
      <c r="O663" s="72">
        <v>8</v>
      </c>
      <c r="P663" s="72"/>
      <c r="Q663" s="72"/>
      <c r="R663" s="78"/>
      <c r="S663" s="72"/>
      <c r="T663" s="72"/>
      <c r="U663" s="72"/>
      <c r="V663" s="72"/>
      <c r="W663" s="72"/>
      <c r="X663" s="72"/>
      <c r="Y663" s="72"/>
      <c r="Z663" s="72"/>
      <c r="AA663" s="79"/>
      <c r="AB663" s="79"/>
      <c r="AC663" s="79"/>
      <c r="AD663" s="79"/>
      <c r="AE663" s="79"/>
    </row>
    <row r="664" spans="1:31" ht="16.5" x14ac:dyDescent="0.35">
      <c r="A664" s="71">
        <v>658</v>
      </c>
      <c r="B664" s="72">
        <v>2005220626</v>
      </c>
      <c r="C664" s="80" t="s">
        <v>386</v>
      </c>
      <c r="D664" s="81" t="s">
        <v>1224</v>
      </c>
      <c r="E664" s="72" t="s">
        <v>337</v>
      </c>
      <c r="F664" s="76">
        <v>0</v>
      </c>
      <c r="G664" s="72"/>
      <c r="H664" s="78"/>
      <c r="I664" s="72"/>
      <c r="J664" s="72"/>
      <c r="K664" s="72"/>
      <c r="L664" s="72"/>
      <c r="M664" s="72"/>
      <c r="N664" s="72"/>
      <c r="O664" s="72"/>
      <c r="P664" s="72"/>
      <c r="Q664" s="72"/>
      <c r="R664" s="78"/>
      <c r="S664" s="72"/>
      <c r="T664" s="72"/>
      <c r="U664" s="72"/>
      <c r="V664" s="72"/>
      <c r="W664" s="72"/>
      <c r="X664" s="72"/>
      <c r="Y664" s="72"/>
      <c r="Z664" s="72"/>
      <c r="AA664" s="79"/>
      <c r="AB664" s="79"/>
      <c r="AC664" s="79"/>
      <c r="AD664" s="79"/>
      <c r="AE664" s="79"/>
    </row>
    <row r="665" spans="1:31" ht="16.5" x14ac:dyDescent="0.35">
      <c r="A665" s="71">
        <v>659</v>
      </c>
      <c r="B665" s="72">
        <v>2005220638</v>
      </c>
      <c r="C665" s="80" t="s">
        <v>675</v>
      </c>
      <c r="D665" s="81" t="s">
        <v>676</v>
      </c>
      <c r="E665" s="72" t="s">
        <v>337</v>
      </c>
      <c r="F665" s="76">
        <v>2</v>
      </c>
      <c r="G665" s="72" t="s">
        <v>1300</v>
      </c>
      <c r="H665" s="78">
        <v>45644</v>
      </c>
      <c r="I665" s="72" t="s">
        <v>1299</v>
      </c>
      <c r="J665" s="72">
        <v>7.5</v>
      </c>
      <c r="K665" s="72"/>
      <c r="L665" s="72" t="s">
        <v>925</v>
      </c>
      <c r="M665" s="78">
        <v>45757</v>
      </c>
      <c r="N665" s="72" t="s">
        <v>1299</v>
      </c>
      <c r="O665" s="72">
        <v>8.5</v>
      </c>
      <c r="P665" s="72"/>
      <c r="Q665" s="72"/>
      <c r="R665" s="78"/>
      <c r="S665" s="72"/>
      <c r="T665" s="72"/>
      <c r="U665" s="72"/>
      <c r="V665" s="72"/>
      <c r="W665" s="72"/>
      <c r="X665" s="72"/>
      <c r="Y665" s="72"/>
      <c r="Z665" s="72"/>
      <c r="AA665" s="79"/>
      <c r="AB665" s="79"/>
      <c r="AC665" s="79"/>
      <c r="AD665" s="79"/>
      <c r="AE665" s="79"/>
    </row>
    <row r="666" spans="1:31" ht="16.5" x14ac:dyDescent="0.35">
      <c r="A666" s="71">
        <v>660</v>
      </c>
      <c r="B666" s="72">
        <v>2005220765</v>
      </c>
      <c r="C666" s="80" t="s">
        <v>670</v>
      </c>
      <c r="D666" s="81" t="s">
        <v>84</v>
      </c>
      <c r="E666" s="72" t="s">
        <v>337</v>
      </c>
      <c r="F666" s="76">
        <v>2</v>
      </c>
      <c r="G666" s="72" t="s">
        <v>1300</v>
      </c>
      <c r="H666" s="78">
        <v>45744</v>
      </c>
      <c r="I666" s="72" t="s">
        <v>1299</v>
      </c>
      <c r="J666" s="72">
        <v>8</v>
      </c>
      <c r="K666" s="72"/>
      <c r="L666" s="72" t="s">
        <v>924</v>
      </c>
      <c r="M666" s="78">
        <v>45776</v>
      </c>
      <c r="N666" s="72" t="s">
        <v>1299</v>
      </c>
      <c r="O666" s="72">
        <v>9</v>
      </c>
      <c r="P666" s="72"/>
      <c r="Q666" s="72"/>
      <c r="R666" s="78"/>
      <c r="S666" s="72"/>
      <c r="T666" s="72"/>
      <c r="U666" s="72"/>
      <c r="V666" s="72"/>
      <c r="W666" s="72"/>
      <c r="X666" s="72"/>
      <c r="Y666" s="72"/>
      <c r="Z666" s="72"/>
      <c r="AA666" s="79"/>
      <c r="AB666" s="79"/>
      <c r="AC666" s="79"/>
      <c r="AD666" s="79"/>
      <c r="AE666" s="79"/>
    </row>
    <row r="667" spans="1:31" ht="16.5" x14ac:dyDescent="0.35">
      <c r="A667" s="71">
        <v>661</v>
      </c>
      <c r="B667" s="72">
        <v>2005220850</v>
      </c>
      <c r="C667" s="80" t="s">
        <v>1221</v>
      </c>
      <c r="D667" s="81" t="s">
        <v>1222</v>
      </c>
      <c r="E667" s="72" t="s">
        <v>337</v>
      </c>
      <c r="F667" s="76">
        <v>0</v>
      </c>
      <c r="G667" s="72"/>
      <c r="H667" s="78"/>
      <c r="I667" s="72"/>
      <c r="J667" s="72"/>
      <c r="K667" s="72"/>
      <c r="L667" s="72"/>
      <c r="M667" s="72"/>
      <c r="N667" s="72"/>
      <c r="O667" s="72"/>
      <c r="P667" s="72"/>
      <c r="Q667" s="72"/>
      <c r="R667" s="78"/>
      <c r="S667" s="72"/>
      <c r="T667" s="72"/>
      <c r="U667" s="72"/>
      <c r="V667" s="72"/>
      <c r="W667" s="72"/>
      <c r="X667" s="72"/>
      <c r="Y667" s="72"/>
      <c r="Z667" s="72"/>
      <c r="AA667" s="79"/>
      <c r="AB667" s="79"/>
      <c r="AC667" s="79"/>
      <c r="AD667" s="79"/>
      <c r="AE667" s="79"/>
    </row>
    <row r="668" spans="1:31" ht="16.5" x14ac:dyDescent="0.35">
      <c r="A668" s="71">
        <v>662</v>
      </c>
      <c r="B668" s="72">
        <v>2005220913</v>
      </c>
      <c r="C668" s="80" t="s">
        <v>901</v>
      </c>
      <c r="D668" s="81" t="s">
        <v>10</v>
      </c>
      <c r="E668" s="72" t="s">
        <v>337</v>
      </c>
      <c r="F668" s="76">
        <v>0</v>
      </c>
      <c r="G668" s="72"/>
      <c r="H668" s="78"/>
      <c r="I668" s="72"/>
      <c r="J668" s="72"/>
      <c r="K668" s="72"/>
      <c r="L668" s="72"/>
      <c r="M668" s="72"/>
      <c r="N668" s="72"/>
      <c r="O668" s="72"/>
      <c r="P668" s="72"/>
      <c r="Q668" s="72"/>
      <c r="R668" s="78"/>
      <c r="S668" s="72"/>
      <c r="T668" s="72"/>
      <c r="U668" s="72"/>
      <c r="V668" s="72"/>
      <c r="W668" s="72"/>
      <c r="X668" s="72"/>
      <c r="Y668" s="72"/>
      <c r="Z668" s="72"/>
      <c r="AA668" s="79"/>
      <c r="AB668" s="79"/>
      <c r="AC668" s="79"/>
      <c r="AD668" s="79"/>
      <c r="AE668" s="79"/>
    </row>
    <row r="669" spans="1:31" ht="16.5" x14ac:dyDescent="0.35">
      <c r="A669" s="71">
        <v>663</v>
      </c>
      <c r="B669" s="72">
        <v>2005220924</v>
      </c>
      <c r="C669" s="80" t="s">
        <v>119</v>
      </c>
      <c r="D669" s="81" t="s">
        <v>10</v>
      </c>
      <c r="E669" s="72" t="s">
        <v>337</v>
      </c>
      <c r="F669" s="76">
        <v>2</v>
      </c>
      <c r="G669" s="72" t="s">
        <v>1300</v>
      </c>
      <c r="H669" s="78">
        <v>45644</v>
      </c>
      <c r="I669" s="72" t="s">
        <v>1299</v>
      </c>
      <c r="J669" s="72">
        <v>9.5</v>
      </c>
      <c r="K669" s="72"/>
      <c r="L669" s="72" t="s">
        <v>924</v>
      </c>
      <c r="M669" s="78">
        <v>45787</v>
      </c>
      <c r="N669" s="72" t="s">
        <v>1299</v>
      </c>
      <c r="O669" s="72">
        <v>9.5</v>
      </c>
      <c r="P669" s="72"/>
      <c r="Q669" s="72"/>
      <c r="R669" s="78"/>
      <c r="S669" s="72"/>
      <c r="T669" s="72"/>
      <c r="U669" s="72"/>
      <c r="V669" s="72"/>
      <c r="W669" s="72"/>
      <c r="X669" s="72"/>
      <c r="Y669" s="72"/>
      <c r="Z669" s="72"/>
      <c r="AA669" s="79"/>
      <c r="AB669" s="79"/>
      <c r="AC669" s="79"/>
      <c r="AD669" s="79"/>
      <c r="AE669" s="79"/>
    </row>
    <row r="670" spans="1:31" ht="16.5" x14ac:dyDescent="0.35">
      <c r="A670" s="71">
        <v>664</v>
      </c>
      <c r="B670" s="72">
        <v>2005226167</v>
      </c>
      <c r="C670" s="80" t="s">
        <v>680</v>
      </c>
      <c r="D670" s="81" t="s">
        <v>475</v>
      </c>
      <c r="E670" s="72" t="s">
        <v>337</v>
      </c>
      <c r="F670" s="76">
        <v>2</v>
      </c>
      <c r="G670" s="72" t="s">
        <v>925</v>
      </c>
      <c r="H670" s="78">
        <v>45769</v>
      </c>
      <c r="I670" s="72" t="s">
        <v>1299</v>
      </c>
      <c r="J670" s="72">
        <v>9</v>
      </c>
      <c r="K670" s="72"/>
      <c r="L670" s="72" t="s">
        <v>924</v>
      </c>
      <c r="M670" s="78">
        <v>45803</v>
      </c>
      <c r="N670" s="72" t="s">
        <v>1299</v>
      </c>
      <c r="O670" s="72">
        <v>9</v>
      </c>
      <c r="P670" s="72">
        <v>0.5</v>
      </c>
      <c r="Q670" s="72"/>
      <c r="R670" s="78"/>
      <c r="S670" s="72"/>
      <c r="T670" s="72"/>
      <c r="U670" s="72"/>
      <c r="V670" s="72"/>
      <c r="W670" s="72"/>
      <c r="X670" s="72"/>
      <c r="Y670" s="72"/>
      <c r="Z670" s="72"/>
      <c r="AA670" s="79"/>
      <c r="AB670" s="79"/>
      <c r="AC670" s="79"/>
      <c r="AD670" s="79"/>
      <c r="AE670" s="79"/>
    </row>
    <row r="671" spans="1:31" ht="16.5" x14ac:dyDescent="0.35">
      <c r="A671" s="71">
        <v>665</v>
      </c>
      <c r="B671" s="72">
        <v>2005221205</v>
      </c>
      <c r="C671" s="80" t="s">
        <v>668</v>
      </c>
      <c r="D671" s="81" t="s">
        <v>669</v>
      </c>
      <c r="E671" s="72" t="s">
        <v>337</v>
      </c>
      <c r="F671" s="76">
        <v>2</v>
      </c>
      <c r="G671" s="72" t="s">
        <v>1300</v>
      </c>
      <c r="H671" s="78">
        <v>45744</v>
      </c>
      <c r="I671" s="72" t="s">
        <v>1299</v>
      </c>
      <c r="J671" s="72">
        <v>9</v>
      </c>
      <c r="K671" s="72"/>
      <c r="L671" s="72" t="s">
        <v>924</v>
      </c>
      <c r="M671" s="78">
        <v>45776</v>
      </c>
      <c r="N671" s="72" t="s">
        <v>1299</v>
      </c>
      <c r="O671" s="72">
        <v>9</v>
      </c>
      <c r="P671" s="72"/>
      <c r="Q671" s="72"/>
      <c r="R671" s="78"/>
      <c r="S671" s="72"/>
      <c r="T671" s="72"/>
      <c r="U671" s="72"/>
      <c r="V671" s="72"/>
      <c r="W671" s="72"/>
      <c r="X671" s="72"/>
      <c r="Y671" s="72"/>
      <c r="Z671" s="72"/>
      <c r="AA671" s="79"/>
      <c r="AB671" s="79"/>
      <c r="AC671" s="79"/>
      <c r="AD671" s="79"/>
      <c r="AE671" s="79"/>
    </row>
    <row r="672" spans="1:31" ht="16.5" x14ac:dyDescent="0.35">
      <c r="A672" s="71">
        <v>666</v>
      </c>
      <c r="B672" s="72">
        <v>2005221286</v>
      </c>
      <c r="C672" s="80" t="s">
        <v>678</v>
      </c>
      <c r="D672" s="81" t="s">
        <v>679</v>
      </c>
      <c r="E672" s="72" t="s">
        <v>337</v>
      </c>
      <c r="F672" s="76">
        <v>2</v>
      </c>
      <c r="G672" s="72" t="s">
        <v>1300</v>
      </c>
      <c r="H672" s="78">
        <v>45436</v>
      </c>
      <c r="I672" s="72" t="s">
        <v>1299</v>
      </c>
      <c r="J672" s="72">
        <v>8.5</v>
      </c>
      <c r="K672" s="72"/>
      <c r="L672" s="72" t="s">
        <v>925</v>
      </c>
      <c r="M672" s="78">
        <v>45769</v>
      </c>
      <c r="N672" s="72" t="s">
        <v>1299</v>
      </c>
      <c r="O672" s="72">
        <v>9.5</v>
      </c>
      <c r="P672" s="72"/>
      <c r="Q672" s="72"/>
      <c r="R672" s="78"/>
      <c r="S672" s="72"/>
      <c r="T672" s="72"/>
      <c r="U672" s="72"/>
      <c r="V672" s="72"/>
      <c r="W672" s="72"/>
      <c r="X672" s="72"/>
      <c r="Y672" s="72"/>
      <c r="Z672" s="72"/>
      <c r="AA672" s="79"/>
      <c r="AB672" s="79"/>
      <c r="AC672" s="79"/>
      <c r="AD672" s="79"/>
      <c r="AE672" s="79"/>
    </row>
    <row r="673" spans="1:31" ht="16.5" x14ac:dyDescent="0.35">
      <c r="A673" s="71">
        <v>667</v>
      </c>
      <c r="B673" s="72">
        <v>2005221389</v>
      </c>
      <c r="C673" s="80" t="s">
        <v>706</v>
      </c>
      <c r="D673" s="81" t="s">
        <v>707</v>
      </c>
      <c r="E673" s="72" t="s">
        <v>337</v>
      </c>
      <c r="F673" s="76">
        <v>2</v>
      </c>
      <c r="G673" s="72" t="s">
        <v>925</v>
      </c>
      <c r="H673" s="78">
        <v>45440</v>
      </c>
      <c r="I673" s="72" t="s">
        <v>1299</v>
      </c>
      <c r="J673" s="72">
        <v>7.5</v>
      </c>
      <c r="K673" s="72">
        <v>1</v>
      </c>
      <c r="L673" s="72" t="s">
        <v>1300</v>
      </c>
      <c r="M673" s="78">
        <v>45436</v>
      </c>
      <c r="N673" s="72" t="s">
        <v>1299</v>
      </c>
      <c r="O673" s="72">
        <v>6</v>
      </c>
      <c r="P673" s="72"/>
      <c r="Q673" s="72"/>
      <c r="R673" s="78"/>
      <c r="S673" s="72"/>
      <c r="T673" s="72"/>
      <c r="U673" s="72"/>
      <c r="V673" s="72"/>
      <c r="W673" s="72"/>
      <c r="X673" s="72"/>
      <c r="Y673" s="72"/>
      <c r="Z673" s="72"/>
      <c r="AA673" s="79"/>
      <c r="AB673" s="79"/>
      <c r="AC673" s="79"/>
      <c r="AD673" s="79"/>
      <c r="AE673" s="79"/>
    </row>
    <row r="674" spans="1:31" ht="16.5" x14ac:dyDescent="0.35">
      <c r="A674" s="71">
        <v>668</v>
      </c>
      <c r="B674" s="72">
        <v>2005221489</v>
      </c>
      <c r="C674" s="80" t="s">
        <v>482</v>
      </c>
      <c r="D674" s="81" t="s">
        <v>81</v>
      </c>
      <c r="E674" s="72" t="s">
        <v>337</v>
      </c>
      <c r="F674" s="76">
        <v>0</v>
      </c>
      <c r="G674" s="72"/>
      <c r="H674" s="78"/>
      <c r="I674" s="72"/>
      <c r="J674" s="72"/>
      <c r="K674" s="72"/>
      <c r="L674" s="72"/>
      <c r="M674" s="72"/>
      <c r="N674" s="72"/>
      <c r="O674" s="72"/>
      <c r="P674" s="72"/>
      <c r="Q674" s="72"/>
      <c r="R674" s="78"/>
      <c r="S674" s="72"/>
      <c r="T674" s="72"/>
      <c r="U674" s="72"/>
      <c r="V674" s="72"/>
      <c r="W674" s="72"/>
      <c r="X674" s="72"/>
      <c r="Y674" s="72"/>
      <c r="Z674" s="72"/>
      <c r="AA674" s="79"/>
      <c r="AB674" s="79"/>
      <c r="AC674" s="79"/>
      <c r="AD674" s="79"/>
      <c r="AE674" s="79"/>
    </row>
    <row r="675" spans="1:31" ht="16.5" x14ac:dyDescent="0.35">
      <c r="A675" s="71">
        <v>669</v>
      </c>
      <c r="B675" s="72">
        <v>2005221495</v>
      </c>
      <c r="C675" s="80" t="s">
        <v>682</v>
      </c>
      <c r="D675" s="81" t="s">
        <v>81</v>
      </c>
      <c r="E675" s="72" t="s">
        <v>337</v>
      </c>
      <c r="F675" s="76">
        <v>2</v>
      </c>
      <c r="G675" s="72" t="s">
        <v>1300</v>
      </c>
      <c r="H675" s="78">
        <v>45737</v>
      </c>
      <c r="I675" s="72" t="s">
        <v>1299</v>
      </c>
      <c r="J675" s="72">
        <v>8</v>
      </c>
      <c r="K675" s="72"/>
      <c r="L675" s="72" t="s">
        <v>1301</v>
      </c>
      <c r="M675" s="78">
        <v>45783</v>
      </c>
      <c r="N675" s="72" t="s">
        <v>1299</v>
      </c>
      <c r="O675" s="72">
        <v>10</v>
      </c>
      <c r="P675" s="72"/>
      <c r="Q675" s="72"/>
      <c r="R675" s="78"/>
      <c r="S675" s="72"/>
      <c r="T675" s="72"/>
      <c r="U675" s="72"/>
      <c r="V675" s="72"/>
      <c r="W675" s="72"/>
      <c r="X675" s="72"/>
      <c r="Y675" s="72"/>
      <c r="Z675" s="72"/>
      <c r="AA675" s="79"/>
      <c r="AB675" s="79"/>
      <c r="AC675" s="79"/>
      <c r="AD675" s="79"/>
      <c r="AE675" s="79"/>
    </row>
    <row r="676" spans="1:31" ht="16.5" x14ac:dyDescent="0.35">
      <c r="A676" s="71">
        <v>670</v>
      </c>
      <c r="B676" s="72">
        <v>2005221591</v>
      </c>
      <c r="C676" s="80" t="s">
        <v>684</v>
      </c>
      <c r="D676" s="81" t="s">
        <v>120</v>
      </c>
      <c r="E676" s="72" t="s">
        <v>337</v>
      </c>
      <c r="F676" s="76">
        <v>2</v>
      </c>
      <c r="G676" s="72" t="s">
        <v>1300</v>
      </c>
      <c r="H676" s="78">
        <v>45749</v>
      </c>
      <c r="I676" s="86" t="s">
        <v>1299</v>
      </c>
      <c r="J676" s="72">
        <v>5.5</v>
      </c>
      <c r="K676" s="72"/>
      <c r="L676" s="72" t="s">
        <v>924</v>
      </c>
      <c r="M676" s="78">
        <v>45786</v>
      </c>
      <c r="N676" s="72" t="s">
        <v>1299</v>
      </c>
      <c r="O676" s="72">
        <v>7</v>
      </c>
      <c r="P676" s="72"/>
      <c r="Q676" s="72"/>
      <c r="R676" s="78"/>
      <c r="S676" s="72"/>
      <c r="T676" s="72"/>
      <c r="U676" s="72"/>
      <c r="V676" s="72"/>
      <c r="W676" s="72"/>
      <c r="X676" s="72"/>
      <c r="Y676" s="72"/>
      <c r="Z676" s="72"/>
      <c r="AA676" s="79"/>
      <c r="AB676" s="79"/>
      <c r="AC676" s="79"/>
      <c r="AD676" s="79"/>
      <c r="AE676" s="79"/>
    </row>
    <row r="677" spans="1:31" ht="16.5" x14ac:dyDescent="0.35">
      <c r="A677" s="71">
        <v>671</v>
      </c>
      <c r="B677" s="72">
        <v>2005221603</v>
      </c>
      <c r="C677" s="80" t="s">
        <v>708</v>
      </c>
      <c r="D677" s="81" t="s">
        <v>120</v>
      </c>
      <c r="E677" s="72" t="s">
        <v>337</v>
      </c>
      <c r="F677" s="76">
        <v>4</v>
      </c>
      <c r="G677" s="72" t="s">
        <v>1300</v>
      </c>
      <c r="H677" s="78">
        <v>45742</v>
      </c>
      <c r="I677" s="72" t="s">
        <v>1299</v>
      </c>
      <c r="J677" s="72">
        <v>8</v>
      </c>
      <c r="K677" s="72"/>
      <c r="L677" s="72" t="s">
        <v>924</v>
      </c>
      <c r="M677" s="78">
        <v>45629</v>
      </c>
      <c r="N677" s="72" t="s">
        <v>1299</v>
      </c>
      <c r="O677" s="72">
        <v>8</v>
      </c>
      <c r="P677" s="72"/>
      <c r="Q677" s="72" t="s">
        <v>925</v>
      </c>
      <c r="R677" s="78">
        <v>45797</v>
      </c>
      <c r="S677" s="72" t="s">
        <v>1299</v>
      </c>
      <c r="T677" s="72">
        <v>7</v>
      </c>
      <c r="U677" s="72"/>
      <c r="V677" s="72" t="s">
        <v>1300</v>
      </c>
      <c r="W677" s="78">
        <v>45448</v>
      </c>
      <c r="X677" s="72" t="s">
        <v>1299</v>
      </c>
      <c r="Y677" s="72">
        <v>5</v>
      </c>
      <c r="Z677" s="72"/>
      <c r="AA677" s="79"/>
      <c r="AB677" s="79"/>
      <c r="AC677" s="79"/>
      <c r="AD677" s="79"/>
      <c r="AE677" s="79"/>
    </row>
    <row r="678" spans="1:31" ht="16.5" x14ac:dyDescent="0.35">
      <c r="A678" s="71">
        <v>672</v>
      </c>
      <c r="B678" s="72">
        <v>2005221830</v>
      </c>
      <c r="C678" s="80" t="s">
        <v>683</v>
      </c>
      <c r="D678" s="81" t="s">
        <v>173</v>
      </c>
      <c r="E678" s="72" t="s">
        <v>337</v>
      </c>
      <c r="F678" s="76">
        <v>3</v>
      </c>
      <c r="G678" s="72" t="s">
        <v>1298</v>
      </c>
      <c r="H678" s="78">
        <v>45632</v>
      </c>
      <c r="I678" s="72" t="s">
        <v>1299</v>
      </c>
      <c r="J678" s="72">
        <v>9</v>
      </c>
      <c r="K678" s="72"/>
      <c r="L678" s="72" t="s">
        <v>1308</v>
      </c>
      <c r="M678" s="78">
        <v>45721</v>
      </c>
      <c r="N678" s="72" t="s">
        <v>1299</v>
      </c>
      <c r="O678" s="72">
        <v>5.5</v>
      </c>
      <c r="P678" s="72"/>
      <c r="Q678" s="72" t="s">
        <v>2042</v>
      </c>
      <c r="R678" s="78">
        <v>45672</v>
      </c>
      <c r="S678" s="72" t="s">
        <v>1299</v>
      </c>
      <c r="T678" s="72">
        <v>9</v>
      </c>
      <c r="U678" s="72"/>
      <c r="V678" s="72"/>
      <c r="W678" s="72"/>
      <c r="X678" s="72"/>
      <c r="Y678" s="72"/>
      <c r="Z678" s="72"/>
      <c r="AA678" s="79"/>
      <c r="AB678" s="79"/>
      <c r="AC678" s="79"/>
      <c r="AD678" s="79"/>
      <c r="AE678" s="79"/>
    </row>
    <row r="679" spans="1:31" ht="16.5" x14ac:dyDescent="0.35">
      <c r="A679" s="71">
        <v>673</v>
      </c>
      <c r="B679" s="72">
        <v>2005222052</v>
      </c>
      <c r="C679" s="80" t="s">
        <v>313</v>
      </c>
      <c r="D679" s="81" t="s">
        <v>230</v>
      </c>
      <c r="E679" s="72" t="s">
        <v>337</v>
      </c>
      <c r="F679" s="76">
        <v>4</v>
      </c>
      <c r="G679" s="72" t="s">
        <v>924</v>
      </c>
      <c r="H679" s="78">
        <v>45787</v>
      </c>
      <c r="I679" s="72" t="s">
        <v>1299</v>
      </c>
      <c r="J679" s="72">
        <v>9.5</v>
      </c>
      <c r="K679" s="72"/>
      <c r="L679" s="72" t="s">
        <v>1300</v>
      </c>
      <c r="M679" s="78">
        <v>45791</v>
      </c>
      <c r="N679" s="72" t="s">
        <v>1299</v>
      </c>
      <c r="O679" s="72">
        <v>8</v>
      </c>
      <c r="P679" s="72"/>
      <c r="Q679" s="72" t="s">
        <v>925</v>
      </c>
      <c r="R679" s="78">
        <v>45410</v>
      </c>
      <c r="S679" s="72" t="s">
        <v>1299</v>
      </c>
      <c r="T679" s="72">
        <v>7</v>
      </c>
      <c r="U679" s="72">
        <v>1</v>
      </c>
      <c r="V679" s="72" t="s">
        <v>1300</v>
      </c>
      <c r="W679" s="78">
        <v>45448</v>
      </c>
      <c r="X679" s="72" t="s">
        <v>1299</v>
      </c>
      <c r="Y679" s="72">
        <v>5</v>
      </c>
      <c r="Z679" s="72"/>
      <c r="AA679" s="79"/>
      <c r="AB679" s="79"/>
      <c r="AC679" s="79"/>
      <c r="AD679" s="79"/>
      <c r="AE679" s="79"/>
    </row>
    <row r="680" spans="1:31" ht="16.5" x14ac:dyDescent="0.35">
      <c r="A680" s="71">
        <v>674</v>
      </c>
      <c r="B680" s="72">
        <v>2005222173</v>
      </c>
      <c r="C680" s="80" t="s">
        <v>686</v>
      </c>
      <c r="D680" s="81" t="s">
        <v>687</v>
      </c>
      <c r="E680" s="72" t="s">
        <v>337</v>
      </c>
      <c r="F680" s="76">
        <v>2</v>
      </c>
      <c r="G680" s="72" t="s">
        <v>1300</v>
      </c>
      <c r="H680" s="78">
        <v>45737</v>
      </c>
      <c r="I680" s="72" t="s">
        <v>1299</v>
      </c>
      <c r="J680" s="72">
        <v>7.5</v>
      </c>
      <c r="K680" s="72">
        <v>0.5</v>
      </c>
      <c r="L680" s="72" t="s">
        <v>925</v>
      </c>
      <c r="M680" s="78">
        <v>45769</v>
      </c>
      <c r="N680" s="72" t="s">
        <v>1299</v>
      </c>
      <c r="O680" s="72">
        <v>9.5</v>
      </c>
      <c r="P680" s="72"/>
      <c r="Q680" s="72"/>
      <c r="R680" s="78"/>
      <c r="S680" s="72"/>
      <c r="T680" s="72"/>
      <c r="U680" s="72"/>
      <c r="V680" s="72"/>
      <c r="W680" s="72"/>
      <c r="X680" s="72"/>
      <c r="Y680" s="72"/>
      <c r="Z680" s="72"/>
      <c r="AA680" s="79"/>
      <c r="AB680" s="79"/>
      <c r="AC680" s="79"/>
      <c r="AD680" s="79"/>
      <c r="AE680" s="79"/>
    </row>
    <row r="681" spans="1:31" ht="16.5" x14ac:dyDescent="0.35">
      <c r="A681" s="71">
        <v>675</v>
      </c>
      <c r="B681" s="72">
        <v>2005222211</v>
      </c>
      <c r="C681" s="80" t="s">
        <v>688</v>
      </c>
      <c r="D681" s="81" t="s">
        <v>311</v>
      </c>
      <c r="E681" s="72" t="s">
        <v>337</v>
      </c>
      <c r="F681" s="76">
        <v>2</v>
      </c>
      <c r="G681" s="72" t="s">
        <v>924</v>
      </c>
      <c r="H681" s="78">
        <v>45629</v>
      </c>
      <c r="I681" s="72" t="s">
        <v>1299</v>
      </c>
      <c r="J681" s="72">
        <v>8.5</v>
      </c>
      <c r="K681" s="72"/>
      <c r="L681" s="72" t="s">
        <v>1298</v>
      </c>
      <c r="M681" s="78">
        <v>45632</v>
      </c>
      <c r="N681" s="72" t="s">
        <v>1299</v>
      </c>
      <c r="O681" s="72">
        <v>8.5</v>
      </c>
      <c r="P681" s="72"/>
      <c r="Q681" s="72"/>
      <c r="R681" s="78"/>
      <c r="S681" s="72"/>
      <c r="T681" s="72"/>
      <c r="U681" s="72"/>
      <c r="V681" s="72"/>
      <c r="W681" s="72"/>
      <c r="X681" s="72"/>
      <c r="Y681" s="72"/>
      <c r="Z681" s="72"/>
      <c r="AA681" s="79"/>
      <c r="AB681" s="79"/>
      <c r="AC681" s="79"/>
      <c r="AD681" s="79"/>
      <c r="AE681" s="79"/>
    </row>
    <row r="682" spans="1:31" ht="16.5" x14ac:dyDescent="0.35">
      <c r="A682" s="71">
        <v>676</v>
      </c>
      <c r="B682" s="72">
        <v>2005222213</v>
      </c>
      <c r="C682" s="80" t="s">
        <v>690</v>
      </c>
      <c r="D682" s="81" t="s">
        <v>311</v>
      </c>
      <c r="E682" s="72" t="s">
        <v>337</v>
      </c>
      <c r="F682" s="76">
        <v>3</v>
      </c>
      <c r="G682" s="72" t="s">
        <v>924</v>
      </c>
      <c r="H682" s="78">
        <v>45602</v>
      </c>
      <c r="I682" s="72" t="s">
        <v>1299</v>
      </c>
      <c r="J682" s="72">
        <v>6</v>
      </c>
      <c r="K682" s="72"/>
      <c r="L682" s="72" t="s">
        <v>924</v>
      </c>
      <c r="M682" s="78">
        <v>45629</v>
      </c>
      <c r="N682" s="72" t="s">
        <v>1299</v>
      </c>
      <c r="O682" s="72">
        <v>8.5</v>
      </c>
      <c r="P682" s="72"/>
      <c r="Q682" s="72" t="s">
        <v>1300</v>
      </c>
      <c r="R682" s="78">
        <v>45784</v>
      </c>
      <c r="S682" s="72" t="s">
        <v>1299</v>
      </c>
      <c r="T682" s="72">
        <v>8</v>
      </c>
      <c r="U682" s="72"/>
      <c r="V682" s="72"/>
      <c r="W682" s="72"/>
      <c r="X682" s="72"/>
      <c r="Y682" s="72"/>
      <c r="Z682" s="72"/>
      <c r="AA682" s="79"/>
      <c r="AB682" s="79"/>
      <c r="AC682" s="79"/>
      <c r="AD682" s="79"/>
      <c r="AE682" s="79"/>
    </row>
    <row r="683" spans="1:31" ht="16.5" x14ac:dyDescent="0.35">
      <c r="A683" s="71">
        <v>677</v>
      </c>
      <c r="B683" s="72">
        <v>2005222307</v>
      </c>
      <c r="C683" s="80" t="s">
        <v>1226</v>
      </c>
      <c r="D683" s="81" t="s">
        <v>29</v>
      </c>
      <c r="E683" s="72" t="s">
        <v>337</v>
      </c>
      <c r="F683" s="76">
        <v>0</v>
      </c>
      <c r="G683" s="72"/>
      <c r="H683" s="78"/>
      <c r="I683" s="72"/>
      <c r="J683" s="72"/>
      <c r="K683" s="72"/>
      <c r="L683" s="72"/>
      <c r="M683" s="72"/>
      <c r="N683" s="72"/>
      <c r="O683" s="72"/>
      <c r="P683" s="72"/>
      <c r="Q683" s="72"/>
      <c r="R683" s="78"/>
      <c r="S683" s="72"/>
      <c r="T683" s="72"/>
      <c r="U683" s="72"/>
      <c r="V683" s="72"/>
      <c r="W683" s="72"/>
      <c r="X683" s="72"/>
      <c r="Y683" s="72"/>
      <c r="Z683" s="72"/>
      <c r="AA683" s="79"/>
      <c r="AB683" s="79"/>
      <c r="AC683" s="79"/>
      <c r="AD683" s="79"/>
      <c r="AE683" s="79"/>
    </row>
    <row r="684" spans="1:31" ht="16.5" x14ac:dyDescent="0.35">
      <c r="A684" s="71">
        <v>678</v>
      </c>
      <c r="B684" s="72">
        <v>2005222506</v>
      </c>
      <c r="C684" s="80" t="s">
        <v>1227</v>
      </c>
      <c r="D684" s="81" t="s">
        <v>1228</v>
      </c>
      <c r="E684" s="72" t="s">
        <v>337</v>
      </c>
      <c r="F684" s="76">
        <v>0</v>
      </c>
      <c r="G684" s="72"/>
      <c r="H684" s="78"/>
      <c r="I684" s="72"/>
      <c r="J684" s="72"/>
      <c r="K684" s="72"/>
      <c r="L684" s="72"/>
      <c r="M684" s="72"/>
      <c r="N684" s="72"/>
      <c r="O684" s="72"/>
      <c r="P684" s="72"/>
      <c r="Q684" s="72"/>
      <c r="R684" s="78"/>
      <c r="S684" s="72"/>
      <c r="T684" s="72"/>
      <c r="U684" s="72"/>
      <c r="V684" s="72"/>
      <c r="W684" s="72"/>
      <c r="X684" s="72"/>
      <c r="Y684" s="72"/>
      <c r="Z684" s="72"/>
      <c r="AA684" s="79"/>
      <c r="AB684" s="79"/>
      <c r="AC684" s="79"/>
      <c r="AD684" s="79"/>
      <c r="AE684" s="79"/>
    </row>
    <row r="685" spans="1:31" ht="16.5" x14ac:dyDescent="0.35">
      <c r="A685" s="71">
        <v>679</v>
      </c>
      <c r="B685" s="72">
        <v>2005222534</v>
      </c>
      <c r="C685" s="80" t="s">
        <v>675</v>
      </c>
      <c r="D685" s="81" t="s">
        <v>484</v>
      </c>
      <c r="E685" s="72" t="s">
        <v>337</v>
      </c>
      <c r="F685" s="76">
        <v>2</v>
      </c>
      <c r="G685" s="72" t="s">
        <v>1300</v>
      </c>
      <c r="H685" s="78">
        <v>45436</v>
      </c>
      <c r="I685" s="72" t="s">
        <v>1299</v>
      </c>
      <c r="J685" s="72">
        <v>6.5</v>
      </c>
      <c r="K685" s="72"/>
      <c r="L685" s="72" t="s">
        <v>925</v>
      </c>
      <c r="M685" s="78">
        <v>45769</v>
      </c>
      <c r="N685" s="72" t="s">
        <v>1299</v>
      </c>
      <c r="O685" s="72">
        <v>9.5</v>
      </c>
      <c r="P685" s="72"/>
      <c r="Q685" s="72"/>
      <c r="R685" s="78"/>
      <c r="S685" s="72"/>
      <c r="T685" s="72"/>
      <c r="U685" s="72"/>
      <c r="V685" s="72"/>
      <c r="W685" s="72"/>
      <c r="X685" s="72"/>
      <c r="Y685" s="72"/>
      <c r="Z685" s="72"/>
      <c r="AA685" s="79"/>
      <c r="AB685" s="79"/>
      <c r="AC685" s="79"/>
      <c r="AD685" s="79"/>
      <c r="AE685" s="79"/>
    </row>
    <row r="686" spans="1:31" ht="16.5" x14ac:dyDescent="0.35">
      <c r="A686" s="71">
        <v>680</v>
      </c>
      <c r="B686" s="72">
        <v>2005222526</v>
      </c>
      <c r="C686" s="80" t="s">
        <v>691</v>
      </c>
      <c r="D686" s="81" t="s">
        <v>484</v>
      </c>
      <c r="E686" s="72" t="s">
        <v>337</v>
      </c>
      <c r="F686" s="76">
        <v>3</v>
      </c>
      <c r="G686" s="72" t="s">
        <v>1298</v>
      </c>
      <c r="H686" s="78">
        <v>45632</v>
      </c>
      <c r="I686" s="72" t="s">
        <v>1299</v>
      </c>
      <c r="J686" s="72">
        <v>9</v>
      </c>
      <c r="K686" s="72"/>
      <c r="L686" s="72" t="s">
        <v>1300</v>
      </c>
      <c r="M686" s="78">
        <v>45742</v>
      </c>
      <c r="N686" s="72" t="s">
        <v>1299</v>
      </c>
      <c r="O686" s="72">
        <v>8.5</v>
      </c>
      <c r="P686" s="72"/>
      <c r="Q686" s="72" t="s">
        <v>2042</v>
      </c>
      <c r="R686" s="78">
        <v>45672</v>
      </c>
      <c r="S686" s="72" t="s">
        <v>1299</v>
      </c>
      <c r="T686" s="72">
        <v>9.5</v>
      </c>
      <c r="U686" s="72"/>
      <c r="V686" s="72"/>
      <c r="W686" s="72"/>
      <c r="X686" s="72"/>
      <c r="Y686" s="72"/>
      <c r="Z686" s="72"/>
      <c r="AA686" s="79"/>
      <c r="AB686" s="79"/>
      <c r="AC686" s="79"/>
      <c r="AD686" s="79"/>
      <c r="AE686" s="79"/>
    </row>
    <row r="687" spans="1:31" ht="16.5" x14ac:dyDescent="0.35">
      <c r="A687" s="71">
        <v>681</v>
      </c>
      <c r="B687" s="72">
        <v>2005222780</v>
      </c>
      <c r="C687" s="80" t="s">
        <v>9</v>
      </c>
      <c r="D687" s="81" t="s">
        <v>152</v>
      </c>
      <c r="E687" s="72" t="s">
        <v>337</v>
      </c>
      <c r="F687" s="76">
        <v>3</v>
      </c>
      <c r="G687" s="79" t="s">
        <v>928</v>
      </c>
      <c r="H687" s="83">
        <v>45799</v>
      </c>
      <c r="I687" s="79" t="s">
        <v>1299</v>
      </c>
      <c r="J687" s="72">
        <v>7.5</v>
      </c>
      <c r="K687" s="72"/>
      <c r="L687" s="72" t="s">
        <v>924</v>
      </c>
      <c r="M687" s="78">
        <v>45803</v>
      </c>
      <c r="N687" s="72" t="s">
        <v>1299</v>
      </c>
      <c r="O687" s="72">
        <v>8</v>
      </c>
      <c r="P687" s="72"/>
      <c r="Q687" s="72" t="s">
        <v>925</v>
      </c>
      <c r="R687" s="78">
        <v>45813</v>
      </c>
      <c r="S687" s="72" t="s">
        <v>1299</v>
      </c>
      <c r="T687" s="72">
        <v>8</v>
      </c>
      <c r="U687" s="72"/>
      <c r="V687" s="72"/>
      <c r="W687" s="72"/>
      <c r="X687" s="72"/>
      <c r="Y687" s="72"/>
      <c r="Z687" s="72"/>
      <c r="AA687" s="79"/>
      <c r="AB687" s="79"/>
      <c r="AC687" s="79"/>
      <c r="AD687" s="79"/>
      <c r="AE687" s="79"/>
    </row>
    <row r="688" spans="1:31" ht="16.5" x14ac:dyDescent="0.35">
      <c r="A688" s="71">
        <v>682</v>
      </c>
      <c r="B688" s="72">
        <v>2005222914</v>
      </c>
      <c r="C688" s="80" t="s">
        <v>98</v>
      </c>
      <c r="D688" s="81" t="s">
        <v>92</v>
      </c>
      <c r="E688" s="72" t="s">
        <v>337</v>
      </c>
      <c r="F688" s="76">
        <v>2</v>
      </c>
      <c r="G688" s="72" t="s">
        <v>1300</v>
      </c>
      <c r="H688" s="78">
        <v>45744</v>
      </c>
      <c r="I688" s="72" t="s">
        <v>1299</v>
      </c>
      <c r="J688" s="72">
        <v>9</v>
      </c>
      <c r="K688" s="72"/>
      <c r="L688" s="72" t="s">
        <v>924</v>
      </c>
      <c r="M688" s="78">
        <v>45776</v>
      </c>
      <c r="N688" s="72" t="s">
        <v>1299</v>
      </c>
      <c r="O688" s="72">
        <v>9</v>
      </c>
      <c r="P688" s="72"/>
      <c r="Q688" s="72"/>
      <c r="R688" s="78"/>
      <c r="S688" s="72"/>
      <c r="T688" s="72"/>
      <c r="U688" s="72"/>
      <c r="V688" s="72"/>
      <c r="W688" s="72"/>
      <c r="X688" s="72"/>
      <c r="Y688" s="72"/>
      <c r="Z688" s="72"/>
      <c r="AA688" s="79"/>
      <c r="AB688" s="79"/>
      <c r="AC688" s="79"/>
      <c r="AD688" s="79"/>
      <c r="AE688" s="79"/>
    </row>
    <row r="689" spans="1:31" ht="16.5" x14ac:dyDescent="0.35">
      <c r="A689" s="71">
        <v>683</v>
      </c>
      <c r="B689" s="72">
        <v>2005223062</v>
      </c>
      <c r="C689" s="80" t="s">
        <v>693</v>
      </c>
      <c r="D689" s="81" t="s">
        <v>51</v>
      </c>
      <c r="E689" s="72" t="s">
        <v>337</v>
      </c>
      <c r="F689" s="76">
        <v>2</v>
      </c>
      <c r="G689" s="72" t="s">
        <v>1300</v>
      </c>
      <c r="H689" s="78">
        <v>45749</v>
      </c>
      <c r="I689" s="86" t="s">
        <v>1299</v>
      </c>
      <c r="J689" s="72">
        <v>8</v>
      </c>
      <c r="K689" s="72"/>
      <c r="L689" s="72" t="s">
        <v>924</v>
      </c>
      <c r="M689" s="78">
        <v>45786</v>
      </c>
      <c r="N689" s="72" t="s">
        <v>1299</v>
      </c>
      <c r="O689" s="72">
        <v>7.5</v>
      </c>
      <c r="P689" s="72"/>
      <c r="Q689" s="72"/>
      <c r="R689" s="78"/>
      <c r="S689" s="72"/>
      <c r="T689" s="72"/>
      <c r="U689" s="72"/>
      <c r="V689" s="72"/>
      <c r="W689" s="72"/>
      <c r="X689" s="72"/>
      <c r="Y689" s="72"/>
      <c r="Z689" s="72"/>
      <c r="AA689" s="79"/>
      <c r="AB689" s="79"/>
      <c r="AC689" s="79"/>
      <c r="AD689" s="79"/>
      <c r="AE689" s="79"/>
    </row>
    <row r="690" spans="1:31" ht="16.5" x14ac:dyDescent="0.35">
      <c r="A690" s="71">
        <v>684</v>
      </c>
      <c r="B690" s="72">
        <v>2005223246</v>
      </c>
      <c r="C690" s="80" t="s">
        <v>694</v>
      </c>
      <c r="D690" s="81" t="s">
        <v>367</v>
      </c>
      <c r="E690" s="72" t="s">
        <v>337</v>
      </c>
      <c r="F690" s="76">
        <v>2</v>
      </c>
      <c r="G690" s="72" t="s">
        <v>1300</v>
      </c>
      <c r="H690" s="78">
        <v>45737</v>
      </c>
      <c r="I690" s="72" t="s">
        <v>1299</v>
      </c>
      <c r="J690" s="72">
        <v>8</v>
      </c>
      <c r="K690" s="72"/>
      <c r="L690" s="72" t="s">
        <v>1301</v>
      </c>
      <c r="M690" s="78">
        <v>45783</v>
      </c>
      <c r="N690" s="72" t="s">
        <v>1299</v>
      </c>
      <c r="O690" s="72">
        <v>10</v>
      </c>
      <c r="P690" s="72"/>
      <c r="Q690" s="72"/>
      <c r="R690" s="78"/>
      <c r="S690" s="72"/>
      <c r="T690" s="72"/>
      <c r="U690" s="72"/>
      <c r="V690" s="72"/>
      <c r="W690" s="72"/>
      <c r="X690" s="72"/>
      <c r="Y690" s="72"/>
      <c r="Z690" s="72"/>
      <c r="AA690" s="79"/>
      <c r="AB690" s="79"/>
      <c r="AC690" s="79"/>
      <c r="AD690" s="79"/>
      <c r="AE690" s="79"/>
    </row>
    <row r="691" spans="1:31" ht="16.5" x14ac:dyDescent="0.35">
      <c r="A691" s="71">
        <v>685</v>
      </c>
      <c r="B691" s="72">
        <v>2005223476</v>
      </c>
      <c r="C691" s="80" t="s">
        <v>696</v>
      </c>
      <c r="D691" s="81" t="s">
        <v>697</v>
      </c>
      <c r="E691" s="72" t="s">
        <v>337</v>
      </c>
      <c r="F691" s="76">
        <v>3</v>
      </c>
      <c r="G691" s="72" t="s">
        <v>1300</v>
      </c>
      <c r="H691" s="78">
        <v>45744</v>
      </c>
      <c r="I691" s="72" t="s">
        <v>1299</v>
      </c>
      <c r="J691" s="72">
        <v>9.5</v>
      </c>
      <c r="K691" s="72"/>
      <c r="L691" s="72" t="s">
        <v>1301</v>
      </c>
      <c r="M691" s="78">
        <v>45783</v>
      </c>
      <c r="N691" s="72" t="s">
        <v>1299</v>
      </c>
      <c r="O691" s="72">
        <v>9</v>
      </c>
      <c r="P691" s="72"/>
      <c r="Q691" s="72" t="s">
        <v>925</v>
      </c>
      <c r="R691" s="78">
        <v>45813</v>
      </c>
      <c r="S691" s="72" t="s">
        <v>1299</v>
      </c>
      <c r="T691" s="72">
        <v>8</v>
      </c>
      <c r="U691" s="72"/>
      <c r="V691" s="72"/>
      <c r="W691" s="72"/>
      <c r="X691" s="72"/>
      <c r="Y691" s="72"/>
      <c r="Z691" s="72"/>
      <c r="AA691" s="79"/>
      <c r="AB691" s="79"/>
      <c r="AC691" s="79"/>
      <c r="AD691" s="79"/>
      <c r="AE691" s="79"/>
    </row>
    <row r="692" spans="1:31" ht="16.5" x14ac:dyDescent="0.35">
      <c r="A692" s="71">
        <v>686</v>
      </c>
      <c r="B692" s="72">
        <v>2005223497</v>
      </c>
      <c r="C692" s="80" t="s">
        <v>288</v>
      </c>
      <c r="D692" s="81" t="s">
        <v>318</v>
      </c>
      <c r="E692" s="72" t="s">
        <v>337</v>
      </c>
      <c r="F692" s="76">
        <v>2</v>
      </c>
      <c r="G692" s="72" t="s">
        <v>925</v>
      </c>
      <c r="H692" s="78">
        <v>45589</v>
      </c>
      <c r="I692" s="72" t="s">
        <v>1299</v>
      </c>
      <c r="J692" s="72">
        <v>7.5</v>
      </c>
      <c r="K692" s="72"/>
      <c r="L692" s="72" t="s">
        <v>1300</v>
      </c>
      <c r="M692" s="78">
        <v>45631</v>
      </c>
      <c r="N692" s="72" t="s">
        <v>1299</v>
      </c>
      <c r="O692" s="72">
        <v>10</v>
      </c>
      <c r="P692" s="72"/>
      <c r="Q692" s="72"/>
      <c r="R692" s="78"/>
      <c r="S692" s="72"/>
      <c r="T692" s="72"/>
      <c r="U692" s="72"/>
      <c r="V692" s="72"/>
      <c r="W692" s="72"/>
      <c r="X692" s="72"/>
      <c r="Y692" s="72"/>
      <c r="Z692" s="72"/>
      <c r="AA692" s="79"/>
      <c r="AB692" s="79"/>
      <c r="AC692" s="79"/>
      <c r="AD692" s="79"/>
      <c r="AE692" s="79"/>
    </row>
    <row r="693" spans="1:31" ht="16.5" x14ac:dyDescent="0.35">
      <c r="A693" s="71">
        <v>687</v>
      </c>
      <c r="B693" s="72">
        <v>2005223562</v>
      </c>
      <c r="C693" s="80" t="s">
        <v>698</v>
      </c>
      <c r="D693" s="81" t="s">
        <v>249</v>
      </c>
      <c r="E693" s="72" t="s">
        <v>337</v>
      </c>
      <c r="F693" s="76">
        <v>2</v>
      </c>
      <c r="G693" s="72" t="s">
        <v>1300</v>
      </c>
      <c r="H693" s="78">
        <v>45737</v>
      </c>
      <c r="I693" s="72" t="s">
        <v>1299</v>
      </c>
      <c r="J693" s="72">
        <v>8.5</v>
      </c>
      <c r="K693" s="72"/>
      <c r="L693" s="72" t="s">
        <v>1301</v>
      </c>
      <c r="M693" s="78">
        <v>45785</v>
      </c>
      <c r="N693" s="72" t="s">
        <v>1299</v>
      </c>
      <c r="O693" s="72">
        <v>9.5</v>
      </c>
      <c r="P693" s="72"/>
      <c r="Q693" s="72"/>
      <c r="R693" s="78"/>
      <c r="S693" s="72"/>
      <c r="T693" s="72"/>
      <c r="U693" s="72"/>
      <c r="V693" s="72"/>
      <c r="W693" s="72"/>
      <c r="X693" s="72"/>
      <c r="Y693" s="72"/>
      <c r="Z693" s="72"/>
      <c r="AA693" s="79"/>
      <c r="AB693" s="79"/>
      <c r="AC693" s="79"/>
      <c r="AD693" s="79"/>
      <c r="AE693" s="79"/>
    </row>
    <row r="694" spans="1:31" ht="16.5" x14ac:dyDescent="0.35">
      <c r="A694" s="71">
        <v>688</v>
      </c>
      <c r="B694" s="72">
        <v>2005224053</v>
      </c>
      <c r="C694" s="80" t="s">
        <v>699</v>
      </c>
      <c r="D694" s="81" t="s">
        <v>700</v>
      </c>
      <c r="E694" s="72" t="s">
        <v>337</v>
      </c>
      <c r="F694" s="76">
        <v>2</v>
      </c>
      <c r="G694" s="72" t="s">
        <v>924</v>
      </c>
      <c r="H694" s="78">
        <v>45623</v>
      </c>
      <c r="I694" s="72" t="s">
        <v>1299</v>
      </c>
      <c r="J694" s="72">
        <v>7</v>
      </c>
      <c r="K694" s="72">
        <v>0.5</v>
      </c>
      <c r="L694" s="72" t="s">
        <v>925</v>
      </c>
      <c r="M694" s="78">
        <v>45757</v>
      </c>
      <c r="N694" s="72" t="s">
        <v>1299</v>
      </c>
      <c r="O694" s="72">
        <v>7.5</v>
      </c>
      <c r="P694" s="72"/>
      <c r="Q694" s="72"/>
      <c r="R694" s="78"/>
      <c r="S694" s="72"/>
      <c r="T694" s="72"/>
      <c r="U694" s="72"/>
      <c r="V694" s="72"/>
      <c r="W694" s="72"/>
      <c r="X694" s="72"/>
      <c r="Y694" s="72"/>
      <c r="Z694" s="72"/>
      <c r="AA694" s="79"/>
      <c r="AB694" s="79"/>
      <c r="AC694" s="79"/>
      <c r="AD694" s="79"/>
      <c r="AE694" s="79"/>
    </row>
    <row r="695" spans="1:31" ht="16.5" x14ac:dyDescent="0.35">
      <c r="A695" s="71">
        <v>689</v>
      </c>
      <c r="B695" s="72">
        <v>2005224261</v>
      </c>
      <c r="C695" s="80" t="s">
        <v>702</v>
      </c>
      <c r="D695" s="81" t="s">
        <v>142</v>
      </c>
      <c r="E695" s="72" t="s">
        <v>337</v>
      </c>
      <c r="F695" s="76">
        <v>3</v>
      </c>
      <c r="G695" s="72" t="s">
        <v>925</v>
      </c>
      <c r="H695" s="78">
        <v>45636</v>
      </c>
      <c r="I695" s="72" t="s">
        <v>1299</v>
      </c>
      <c r="J695" s="72">
        <v>6</v>
      </c>
      <c r="K695" s="72"/>
      <c r="L695" s="72" t="s">
        <v>1300</v>
      </c>
      <c r="M695" s="78">
        <v>45742</v>
      </c>
      <c r="N695" s="72" t="s">
        <v>1299</v>
      </c>
      <c r="O695" s="72">
        <v>9</v>
      </c>
      <c r="P695" s="72"/>
      <c r="Q695" s="72" t="s">
        <v>924</v>
      </c>
      <c r="R695" s="78">
        <v>45798</v>
      </c>
      <c r="S695" s="72" t="s">
        <v>1299</v>
      </c>
      <c r="T695" s="72">
        <v>7.5</v>
      </c>
      <c r="U695" s="72"/>
      <c r="V695" s="72"/>
      <c r="W695" s="72"/>
      <c r="X695" s="72"/>
      <c r="Y695" s="72"/>
      <c r="Z695" s="72"/>
      <c r="AA695" s="79"/>
      <c r="AB695" s="79"/>
      <c r="AC695" s="79"/>
      <c r="AD695" s="79"/>
      <c r="AE695" s="79"/>
    </row>
    <row r="696" spans="1:31" ht="16.5" x14ac:dyDescent="0.35">
      <c r="A696" s="71">
        <v>690</v>
      </c>
      <c r="B696" s="72">
        <v>2005224359</v>
      </c>
      <c r="C696" s="80" t="s">
        <v>338</v>
      </c>
      <c r="D696" s="81" t="s">
        <v>54</v>
      </c>
      <c r="E696" s="72" t="s">
        <v>337</v>
      </c>
      <c r="F696" s="76">
        <v>2</v>
      </c>
      <c r="G696" s="72" t="s">
        <v>1300</v>
      </c>
      <c r="H696" s="78">
        <v>45744</v>
      </c>
      <c r="I696" s="72" t="s">
        <v>1299</v>
      </c>
      <c r="J696" s="72">
        <v>8</v>
      </c>
      <c r="K696" s="72"/>
      <c r="L696" s="72" t="s">
        <v>924</v>
      </c>
      <c r="M696" s="78">
        <v>45776</v>
      </c>
      <c r="N696" s="72" t="s">
        <v>1299</v>
      </c>
      <c r="O696" s="72">
        <v>9</v>
      </c>
      <c r="P696" s="72"/>
      <c r="Q696" s="72"/>
      <c r="R696" s="78"/>
      <c r="S696" s="72"/>
      <c r="T696" s="72"/>
      <c r="U696" s="72"/>
      <c r="V696" s="72"/>
      <c r="W696" s="72"/>
      <c r="X696" s="72"/>
      <c r="Y696" s="72"/>
      <c r="Z696" s="72"/>
      <c r="AA696" s="79"/>
      <c r="AB696" s="79"/>
      <c r="AC696" s="79"/>
      <c r="AD696" s="79"/>
      <c r="AE696" s="79"/>
    </row>
    <row r="697" spans="1:31" ht="16.5" x14ac:dyDescent="0.35">
      <c r="A697" s="71">
        <v>691</v>
      </c>
      <c r="B697" s="72">
        <v>2005224350</v>
      </c>
      <c r="C697" s="80" t="s">
        <v>348</v>
      </c>
      <c r="D697" s="81" t="s">
        <v>54</v>
      </c>
      <c r="E697" s="72" t="s">
        <v>337</v>
      </c>
      <c r="F697" s="76">
        <v>3</v>
      </c>
      <c r="G697" s="72" t="s">
        <v>1301</v>
      </c>
      <c r="H697" s="78">
        <v>45757</v>
      </c>
      <c r="I697" s="72" t="s">
        <v>1299</v>
      </c>
      <c r="J697" s="72">
        <v>8.5</v>
      </c>
      <c r="K697" s="72"/>
      <c r="L697" s="72" t="s">
        <v>1300</v>
      </c>
      <c r="M697" s="78">
        <v>45784</v>
      </c>
      <c r="N697" s="72" t="s">
        <v>1299</v>
      </c>
      <c r="O697" s="72">
        <v>8</v>
      </c>
      <c r="P697" s="72"/>
      <c r="Q697" s="72" t="s">
        <v>924</v>
      </c>
      <c r="R697" s="78">
        <v>45776</v>
      </c>
      <c r="S697" s="72" t="s">
        <v>1299</v>
      </c>
      <c r="T697" s="72">
        <v>8.5</v>
      </c>
      <c r="U697" s="72"/>
      <c r="V697" s="72"/>
      <c r="W697" s="72"/>
      <c r="X697" s="72"/>
      <c r="Y697" s="72"/>
      <c r="Z697" s="72"/>
      <c r="AA697" s="79"/>
      <c r="AB697" s="79"/>
      <c r="AC697" s="79"/>
      <c r="AD697" s="79"/>
      <c r="AE697" s="79"/>
    </row>
    <row r="698" spans="1:31" ht="16.5" x14ac:dyDescent="0.35">
      <c r="A698" s="71">
        <v>692</v>
      </c>
      <c r="B698" s="72">
        <v>2005224485</v>
      </c>
      <c r="C698" s="80" t="s">
        <v>42</v>
      </c>
      <c r="D698" s="81" t="s">
        <v>335</v>
      </c>
      <c r="E698" s="72" t="s">
        <v>337</v>
      </c>
      <c r="F698" s="76">
        <v>0</v>
      </c>
      <c r="G698" s="72"/>
      <c r="H698" s="78"/>
      <c r="I698" s="72"/>
      <c r="J698" s="72"/>
      <c r="K698" s="72"/>
      <c r="L698" s="72"/>
      <c r="M698" s="72"/>
      <c r="N698" s="72"/>
      <c r="O698" s="72"/>
      <c r="P698" s="72"/>
      <c r="Q698" s="72"/>
      <c r="R698" s="78"/>
      <c r="S698" s="72"/>
      <c r="T698" s="72"/>
      <c r="U698" s="72"/>
      <c r="V698" s="72"/>
      <c r="W698" s="72"/>
      <c r="X698" s="72"/>
      <c r="Y698" s="72"/>
      <c r="Z698" s="72"/>
      <c r="AA698" s="79"/>
      <c r="AB698" s="79"/>
      <c r="AC698" s="79"/>
      <c r="AD698" s="79"/>
      <c r="AE698" s="79"/>
    </row>
    <row r="699" spans="1:31" ht="16.5" x14ac:dyDescent="0.35">
      <c r="A699" s="71">
        <v>693</v>
      </c>
      <c r="B699" s="72">
        <v>2005224616</v>
      </c>
      <c r="C699" s="80" t="s">
        <v>354</v>
      </c>
      <c r="D699" s="81" t="s">
        <v>355</v>
      </c>
      <c r="E699" s="72" t="s">
        <v>337</v>
      </c>
      <c r="F699" s="76">
        <v>2</v>
      </c>
      <c r="G699" s="72" t="s">
        <v>1300</v>
      </c>
      <c r="H699" s="78">
        <v>45756</v>
      </c>
      <c r="I699" s="72" t="s">
        <v>1299</v>
      </c>
      <c r="J699" s="72">
        <v>9</v>
      </c>
      <c r="K699" s="72"/>
      <c r="L699" s="72" t="s">
        <v>925</v>
      </c>
      <c r="M699" s="78">
        <v>45757</v>
      </c>
      <c r="N699" s="72" t="s">
        <v>1299</v>
      </c>
      <c r="O699" s="72">
        <v>8.5</v>
      </c>
      <c r="P699" s="72"/>
      <c r="Q699" s="72"/>
      <c r="R699" s="78"/>
      <c r="S699" s="72"/>
      <c r="T699" s="72"/>
      <c r="U699" s="72"/>
      <c r="V699" s="72"/>
      <c r="W699" s="72"/>
      <c r="X699" s="72"/>
      <c r="Y699" s="72"/>
      <c r="Z699" s="72"/>
      <c r="AA699" s="79"/>
      <c r="AB699" s="79"/>
      <c r="AC699" s="79"/>
      <c r="AD699" s="79"/>
      <c r="AE699" s="79"/>
    </row>
    <row r="700" spans="1:31" ht="16.5" x14ac:dyDescent="0.35">
      <c r="A700" s="71">
        <v>694</v>
      </c>
      <c r="B700" s="72">
        <v>2005224653</v>
      </c>
      <c r="C700" s="80" t="s">
        <v>87</v>
      </c>
      <c r="D700" s="81" t="s">
        <v>183</v>
      </c>
      <c r="E700" s="72" t="s">
        <v>337</v>
      </c>
      <c r="F700" s="76">
        <v>2</v>
      </c>
      <c r="G700" s="72" t="s">
        <v>1300</v>
      </c>
      <c r="H700" s="78">
        <v>45742</v>
      </c>
      <c r="I700" s="72" t="s">
        <v>1299</v>
      </c>
      <c r="J700" s="72">
        <v>8.5</v>
      </c>
      <c r="K700" s="72"/>
      <c r="L700" s="72" t="s">
        <v>1301</v>
      </c>
      <c r="M700" s="78">
        <v>45785</v>
      </c>
      <c r="N700" s="72" t="s">
        <v>1299</v>
      </c>
      <c r="O700" s="72">
        <v>9</v>
      </c>
      <c r="P700" s="72"/>
      <c r="Q700" s="72"/>
      <c r="R700" s="78"/>
      <c r="S700" s="72"/>
      <c r="T700" s="72"/>
      <c r="U700" s="72"/>
      <c r="V700" s="72"/>
      <c r="W700" s="72"/>
      <c r="X700" s="72"/>
      <c r="Y700" s="72"/>
      <c r="Z700" s="72"/>
      <c r="AA700" s="79"/>
      <c r="AB700" s="79"/>
      <c r="AC700" s="79"/>
      <c r="AD700" s="79"/>
      <c r="AE700" s="79"/>
    </row>
    <row r="701" spans="1:31" ht="16.5" x14ac:dyDescent="0.35">
      <c r="A701" s="71">
        <v>695</v>
      </c>
      <c r="B701" s="72">
        <v>2005224677</v>
      </c>
      <c r="C701" s="80" t="s">
        <v>340</v>
      </c>
      <c r="D701" s="81" t="s">
        <v>100</v>
      </c>
      <c r="E701" s="72" t="s">
        <v>337</v>
      </c>
      <c r="F701" s="76">
        <v>3</v>
      </c>
      <c r="G701" s="72" t="s">
        <v>1300</v>
      </c>
      <c r="H701" s="78">
        <v>45756</v>
      </c>
      <c r="I701" s="72" t="s">
        <v>1299</v>
      </c>
      <c r="J701" s="72">
        <v>8.5</v>
      </c>
      <c r="K701" s="72"/>
      <c r="L701" s="72" t="s">
        <v>925</v>
      </c>
      <c r="M701" s="78">
        <v>45769</v>
      </c>
      <c r="N701" s="72" t="s">
        <v>1299</v>
      </c>
      <c r="O701" s="72">
        <v>9</v>
      </c>
      <c r="P701" s="72"/>
      <c r="Q701" s="72" t="s">
        <v>924</v>
      </c>
      <c r="R701" s="78">
        <v>45787</v>
      </c>
      <c r="S701" s="72" t="s">
        <v>1299</v>
      </c>
      <c r="T701" s="72">
        <v>9.5</v>
      </c>
      <c r="U701" s="72"/>
      <c r="V701" s="72"/>
      <c r="W701" s="72"/>
      <c r="X701" s="72"/>
      <c r="Y701" s="72"/>
      <c r="Z701" s="72"/>
      <c r="AA701" s="79"/>
      <c r="AB701" s="79"/>
      <c r="AC701" s="79"/>
      <c r="AD701" s="79"/>
      <c r="AE701" s="79"/>
    </row>
    <row r="702" spans="1:31" ht="16.5" x14ac:dyDescent="0.35">
      <c r="A702" s="71">
        <v>696</v>
      </c>
      <c r="B702" s="72">
        <v>2005224754</v>
      </c>
      <c r="C702" s="80" t="s">
        <v>341</v>
      </c>
      <c r="D702" s="81" t="s">
        <v>102</v>
      </c>
      <c r="E702" s="72" t="s">
        <v>337</v>
      </c>
      <c r="F702" s="76">
        <v>3</v>
      </c>
      <c r="G702" s="72" t="s">
        <v>1301</v>
      </c>
      <c r="H702" s="78">
        <v>45757</v>
      </c>
      <c r="I702" s="72" t="s">
        <v>1299</v>
      </c>
      <c r="J702" s="72">
        <v>9</v>
      </c>
      <c r="K702" s="72"/>
      <c r="L702" s="72" t="s">
        <v>1300</v>
      </c>
      <c r="M702" s="78">
        <v>45791</v>
      </c>
      <c r="N702" s="72" t="s">
        <v>1299</v>
      </c>
      <c r="O702" s="72">
        <v>7.5</v>
      </c>
      <c r="P702" s="72"/>
      <c r="Q702" s="72" t="s">
        <v>924</v>
      </c>
      <c r="R702" s="78">
        <v>45803</v>
      </c>
      <c r="S702" s="72" t="s">
        <v>1299</v>
      </c>
      <c r="T702" s="72">
        <v>8.5</v>
      </c>
      <c r="U702" s="72"/>
      <c r="V702" s="72"/>
      <c r="W702" s="72"/>
      <c r="X702" s="72"/>
      <c r="Y702" s="72"/>
      <c r="Z702" s="72"/>
      <c r="AA702" s="79"/>
      <c r="AB702" s="79"/>
      <c r="AC702" s="79"/>
      <c r="AD702" s="79"/>
      <c r="AE702" s="79"/>
    </row>
    <row r="703" spans="1:31" ht="16.5" x14ac:dyDescent="0.35">
      <c r="A703" s="71">
        <v>697</v>
      </c>
      <c r="B703" s="72">
        <v>2005224896</v>
      </c>
      <c r="C703" s="80" t="s">
        <v>343</v>
      </c>
      <c r="D703" s="81" t="s">
        <v>344</v>
      </c>
      <c r="E703" s="72" t="s">
        <v>337</v>
      </c>
      <c r="F703" s="76">
        <v>2</v>
      </c>
      <c r="G703" s="72" t="s">
        <v>1300</v>
      </c>
      <c r="H703" s="78">
        <v>45631</v>
      </c>
      <c r="I703" s="72" t="s">
        <v>1299</v>
      </c>
      <c r="J703" s="72">
        <v>7.5</v>
      </c>
      <c r="K703" s="72"/>
      <c r="L703" s="72" t="s">
        <v>924</v>
      </c>
      <c r="M703" s="78">
        <v>45776</v>
      </c>
      <c r="N703" s="72" t="s">
        <v>1299</v>
      </c>
      <c r="O703" s="72">
        <v>7.5</v>
      </c>
      <c r="P703" s="72"/>
      <c r="Q703" s="72"/>
      <c r="R703" s="78"/>
      <c r="S703" s="72"/>
      <c r="T703" s="72"/>
      <c r="U703" s="72"/>
      <c r="V703" s="72"/>
      <c r="W703" s="72"/>
      <c r="X703" s="72"/>
      <c r="Y703" s="72"/>
      <c r="Z703" s="72"/>
      <c r="AA703" s="79"/>
      <c r="AB703" s="79"/>
      <c r="AC703" s="79"/>
      <c r="AD703" s="79"/>
      <c r="AE703" s="79"/>
    </row>
    <row r="704" spans="1:31" ht="16.5" x14ac:dyDescent="0.35">
      <c r="A704" s="71">
        <v>698</v>
      </c>
      <c r="B704" s="72">
        <v>2005225081</v>
      </c>
      <c r="C704" s="80" t="s">
        <v>264</v>
      </c>
      <c r="D704" s="81" t="s">
        <v>516</v>
      </c>
      <c r="E704" s="72" t="s">
        <v>337</v>
      </c>
      <c r="F704" s="76">
        <v>0</v>
      </c>
      <c r="G704" s="72"/>
      <c r="H704" s="78"/>
      <c r="I704" s="72"/>
      <c r="J704" s="72"/>
      <c r="K704" s="72"/>
      <c r="L704" s="72"/>
      <c r="M704" s="72"/>
      <c r="N704" s="72"/>
      <c r="O704" s="72"/>
      <c r="P704" s="72"/>
      <c r="Q704" s="72"/>
      <c r="R704" s="78"/>
      <c r="S704" s="72"/>
      <c r="T704" s="72"/>
      <c r="U704" s="72"/>
      <c r="V704" s="72"/>
      <c r="W704" s="72"/>
      <c r="X704" s="72"/>
      <c r="Y704" s="72"/>
      <c r="Z704" s="72"/>
      <c r="AA704" s="79"/>
      <c r="AB704" s="79"/>
      <c r="AC704" s="79"/>
      <c r="AD704" s="79"/>
      <c r="AE704" s="79"/>
    </row>
    <row r="705" spans="1:31" ht="16.5" x14ac:dyDescent="0.35">
      <c r="A705" s="71">
        <v>699</v>
      </c>
      <c r="B705" s="72">
        <v>2005225165</v>
      </c>
      <c r="C705" s="80" t="s">
        <v>1230</v>
      </c>
      <c r="D705" s="81" t="s">
        <v>123</v>
      </c>
      <c r="E705" s="72" t="s">
        <v>337</v>
      </c>
      <c r="F705" s="76">
        <v>2</v>
      </c>
      <c r="G705" s="72" t="s">
        <v>925</v>
      </c>
      <c r="H705" s="78">
        <v>45440</v>
      </c>
      <c r="I705" s="72" t="s">
        <v>1299</v>
      </c>
      <c r="J705" s="72">
        <v>7</v>
      </c>
      <c r="K705" s="72"/>
      <c r="L705" s="72" t="s">
        <v>924</v>
      </c>
      <c r="M705" s="78">
        <v>45621</v>
      </c>
      <c r="N705" s="72" t="s">
        <v>1299</v>
      </c>
      <c r="O705" s="72">
        <v>6</v>
      </c>
      <c r="P705" s="72"/>
      <c r="Q705" s="72"/>
      <c r="R705" s="78"/>
      <c r="S705" s="72"/>
      <c r="T705" s="72"/>
      <c r="U705" s="72"/>
      <c r="V705" s="72"/>
      <c r="W705" s="72"/>
      <c r="X705" s="72"/>
      <c r="Y705" s="72"/>
      <c r="Z705" s="72"/>
      <c r="AA705" s="79"/>
      <c r="AB705" s="79"/>
      <c r="AC705" s="79"/>
      <c r="AD705" s="79"/>
      <c r="AE705" s="79"/>
    </row>
    <row r="706" spans="1:31" ht="16.5" x14ac:dyDescent="0.35">
      <c r="A706" s="71">
        <v>700</v>
      </c>
      <c r="B706" s="72">
        <v>2005225205</v>
      </c>
      <c r="C706" s="80" t="s">
        <v>346</v>
      </c>
      <c r="D706" s="81" t="s">
        <v>123</v>
      </c>
      <c r="E706" s="72" t="s">
        <v>337</v>
      </c>
      <c r="F706" s="76">
        <v>3</v>
      </c>
      <c r="G706" s="72" t="s">
        <v>924</v>
      </c>
      <c r="H706" s="78">
        <v>45645</v>
      </c>
      <c r="I706" s="72" t="s">
        <v>1299</v>
      </c>
      <c r="J706" s="72">
        <v>8</v>
      </c>
      <c r="K706" s="72" t="s">
        <v>1290</v>
      </c>
      <c r="L706" s="86" t="s">
        <v>1300</v>
      </c>
      <c r="M706" s="78">
        <v>45749</v>
      </c>
      <c r="N706" s="86" t="s">
        <v>1299</v>
      </c>
      <c r="O706" s="72">
        <v>8</v>
      </c>
      <c r="P706" s="72"/>
      <c r="Q706" s="72" t="s">
        <v>928</v>
      </c>
      <c r="R706" s="78">
        <v>45800</v>
      </c>
      <c r="S706" s="72" t="s">
        <v>1299</v>
      </c>
      <c r="T706" s="72">
        <v>8</v>
      </c>
      <c r="U706" s="72"/>
      <c r="V706" s="72"/>
      <c r="W706" s="72"/>
      <c r="X706" s="72"/>
      <c r="Y706" s="72"/>
      <c r="Z706" s="72"/>
      <c r="AA706" s="79"/>
      <c r="AB706" s="79"/>
      <c r="AC706" s="79"/>
      <c r="AD706" s="79"/>
      <c r="AE706" s="79"/>
    </row>
    <row r="707" spans="1:31" ht="16.5" x14ac:dyDescent="0.35">
      <c r="A707" s="71">
        <v>701</v>
      </c>
      <c r="B707" s="72">
        <v>2005225490</v>
      </c>
      <c r="C707" s="80" t="s">
        <v>350</v>
      </c>
      <c r="D707" s="81" t="s">
        <v>168</v>
      </c>
      <c r="E707" s="72" t="s">
        <v>337</v>
      </c>
      <c r="F707" s="76">
        <v>3</v>
      </c>
      <c r="G707" s="72" t="s">
        <v>1301</v>
      </c>
      <c r="H707" s="78">
        <v>45757</v>
      </c>
      <c r="I707" s="72" t="s">
        <v>1299</v>
      </c>
      <c r="J707" s="72">
        <v>9.5</v>
      </c>
      <c r="K707" s="72"/>
      <c r="L707" s="79" t="s">
        <v>928</v>
      </c>
      <c r="M707" s="83">
        <v>45799</v>
      </c>
      <c r="N707" s="79" t="s">
        <v>1299</v>
      </c>
      <c r="O707" s="72">
        <v>8</v>
      </c>
      <c r="P707" s="72"/>
      <c r="Q707" s="72" t="s">
        <v>924</v>
      </c>
      <c r="R707" s="78">
        <v>45803</v>
      </c>
      <c r="S707" s="72" t="s">
        <v>1299</v>
      </c>
      <c r="T707" s="72">
        <v>9</v>
      </c>
      <c r="U707" s="72"/>
      <c r="V707" s="72"/>
      <c r="W707" s="72"/>
      <c r="X707" s="72"/>
      <c r="Y707" s="72"/>
      <c r="Z707" s="72"/>
      <c r="AA707" s="79"/>
      <c r="AB707" s="79"/>
      <c r="AC707" s="79"/>
      <c r="AD707" s="79"/>
      <c r="AE707" s="79"/>
    </row>
    <row r="708" spans="1:31" ht="16.5" x14ac:dyDescent="0.35">
      <c r="A708" s="71">
        <v>702</v>
      </c>
      <c r="B708" s="72">
        <v>2005225622</v>
      </c>
      <c r="C708" s="80" t="s">
        <v>353</v>
      </c>
      <c r="D708" s="81" t="s">
        <v>352</v>
      </c>
      <c r="E708" s="72" t="s">
        <v>337</v>
      </c>
      <c r="F708" s="76">
        <v>2</v>
      </c>
      <c r="G708" s="72" t="s">
        <v>1300</v>
      </c>
      <c r="H708" s="78">
        <v>45737</v>
      </c>
      <c r="I708" s="72" t="s">
        <v>1299</v>
      </c>
      <c r="J708" s="72">
        <v>8.5</v>
      </c>
      <c r="K708" s="72"/>
      <c r="L708" s="72" t="s">
        <v>1301</v>
      </c>
      <c r="M708" s="78">
        <v>45757</v>
      </c>
      <c r="N708" s="72" t="s">
        <v>1299</v>
      </c>
      <c r="O708" s="72">
        <v>9.5</v>
      </c>
      <c r="P708" s="72"/>
      <c r="Q708" s="72"/>
      <c r="R708" s="78"/>
      <c r="S708" s="72"/>
      <c r="T708" s="72"/>
      <c r="U708" s="72"/>
      <c r="V708" s="72"/>
      <c r="W708" s="72"/>
      <c r="X708" s="72"/>
      <c r="Y708" s="72"/>
      <c r="Z708" s="72"/>
      <c r="AA708" s="79"/>
      <c r="AB708" s="79"/>
      <c r="AC708" s="79"/>
      <c r="AD708" s="79"/>
      <c r="AE708" s="79"/>
    </row>
    <row r="709" spans="1:31" ht="16.5" x14ac:dyDescent="0.35">
      <c r="A709" s="71">
        <v>703</v>
      </c>
      <c r="B709" s="72">
        <v>2005225621</v>
      </c>
      <c r="C709" s="80" t="s">
        <v>351</v>
      </c>
      <c r="D709" s="81" t="s">
        <v>352</v>
      </c>
      <c r="E709" s="72" t="s">
        <v>337</v>
      </c>
      <c r="F709" s="76">
        <v>2</v>
      </c>
      <c r="G709" s="72" t="s">
        <v>1300</v>
      </c>
      <c r="H709" s="78">
        <v>45737</v>
      </c>
      <c r="I709" s="72" t="s">
        <v>1299</v>
      </c>
      <c r="J709" s="72">
        <v>8.5</v>
      </c>
      <c r="K709" s="72"/>
      <c r="L709" s="72" t="s">
        <v>924</v>
      </c>
      <c r="M709" s="78">
        <v>45803</v>
      </c>
      <c r="N709" s="72" t="s">
        <v>1299</v>
      </c>
      <c r="O709" s="72">
        <v>8.5</v>
      </c>
      <c r="P709" s="72"/>
      <c r="Q709" s="72"/>
      <c r="R709" s="78"/>
      <c r="S709" s="72"/>
      <c r="T709" s="72"/>
      <c r="U709" s="72"/>
      <c r="V709" s="72"/>
      <c r="W709" s="72"/>
      <c r="X709" s="72"/>
      <c r="Y709" s="72"/>
      <c r="Z709" s="72"/>
      <c r="AA709" s="79"/>
      <c r="AB709" s="79"/>
      <c r="AC709" s="79"/>
      <c r="AD709" s="79"/>
      <c r="AE709" s="79"/>
    </row>
    <row r="710" spans="1:31" ht="16.5" x14ac:dyDescent="0.35">
      <c r="A710" s="71">
        <v>704</v>
      </c>
      <c r="B710" s="72">
        <v>2005225724</v>
      </c>
      <c r="C710" s="80" t="s">
        <v>356</v>
      </c>
      <c r="D710" s="81" t="s">
        <v>280</v>
      </c>
      <c r="E710" s="72" t="s">
        <v>337</v>
      </c>
      <c r="F710" s="76">
        <v>2</v>
      </c>
      <c r="G710" s="72" t="s">
        <v>1300</v>
      </c>
      <c r="H710" s="78">
        <v>45749</v>
      </c>
      <c r="I710" s="86" t="s">
        <v>1299</v>
      </c>
      <c r="J710" s="72">
        <v>8.5</v>
      </c>
      <c r="K710" s="72"/>
      <c r="L710" s="72" t="s">
        <v>924</v>
      </c>
      <c r="M710" s="78">
        <v>45776</v>
      </c>
      <c r="N710" s="72" t="s">
        <v>1299</v>
      </c>
      <c r="O710" s="72">
        <v>6</v>
      </c>
      <c r="P710" s="72"/>
      <c r="Q710" s="72"/>
      <c r="R710" s="78"/>
      <c r="S710" s="72"/>
      <c r="T710" s="72"/>
      <c r="U710" s="72"/>
      <c r="V710" s="72"/>
      <c r="W710" s="72"/>
      <c r="X710" s="72"/>
      <c r="Y710" s="72"/>
      <c r="Z710" s="72"/>
      <c r="AA710" s="79"/>
      <c r="AB710" s="79"/>
      <c r="AC710" s="79"/>
      <c r="AD710" s="79"/>
      <c r="AE710" s="79"/>
    </row>
    <row r="711" spans="1:31" ht="16.5" x14ac:dyDescent="0.35">
      <c r="A711" s="71">
        <v>705</v>
      </c>
      <c r="B711" s="72">
        <v>2005225987</v>
      </c>
      <c r="C711" s="80" t="s">
        <v>357</v>
      </c>
      <c r="D711" s="81" t="s">
        <v>56</v>
      </c>
      <c r="E711" s="72" t="s">
        <v>337</v>
      </c>
      <c r="F711" s="76">
        <v>3</v>
      </c>
      <c r="G711" s="72" t="s">
        <v>1300</v>
      </c>
      <c r="H711" s="78">
        <v>45744</v>
      </c>
      <c r="I711" s="72" t="s">
        <v>1299</v>
      </c>
      <c r="J711" s="72">
        <v>9</v>
      </c>
      <c r="K711" s="72"/>
      <c r="L711" s="72" t="s">
        <v>1301</v>
      </c>
      <c r="M711" s="78">
        <v>45783</v>
      </c>
      <c r="N711" s="72" t="s">
        <v>1299</v>
      </c>
      <c r="O711" s="72">
        <v>9</v>
      </c>
      <c r="P711" s="72"/>
      <c r="Q711" s="72" t="s">
        <v>925</v>
      </c>
      <c r="R711" s="78">
        <v>45813</v>
      </c>
      <c r="S711" s="72" t="s">
        <v>1299</v>
      </c>
      <c r="T711" s="72">
        <v>8</v>
      </c>
      <c r="U711" s="72"/>
      <c r="V711" s="72"/>
      <c r="W711" s="72"/>
      <c r="X711" s="72"/>
      <c r="Y711" s="72"/>
      <c r="Z711" s="72"/>
      <c r="AA711" s="79"/>
      <c r="AB711" s="79"/>
      <c r="AC711" s="79"/>
      <c r="AD711" s="79"/>
      <c r="AE711" s="79"/>
    </row>
    <row r="712" spans="1:31" ht="16.5" x14ac:dyDescent="0.35">
      <c r="A712" s="71">
        <v>706</v>
      </c>
      <c r="B712" s="72">
        <v>2005226129</v>
      </c>
      <c r="C712" s="80" t="s">
        <v>358</v>
      </c>
      <c r="D712" s="81" t="s">
        <v>135</v>
      </c>
      <c r="E712" s="72" t="s">
        <v>337</v>
      </c>
      <c r="F712" s="76">
        <v>3</v>
      </c>
      <c r="G712" s="72" t="s">
        <v>925</v>
      </c>
      <c r="H712" s="78">
        <v>45636</v>
      </c>
      <c r="I712" s="72" t="s">
        <v>1299</v>
      </c>
      <c r="J712" s="72">
        <v>7</v>
      </c>
      <c r="K712" s="72"/>
      <c r="L712" s="72" t="s">
        <v>1301</v>
      </c>
      <c r="M712" s="78">
        <v>45785</v>
      </c>
      <c r="N712" s="72" t="s">
        <v>1299</v>
      </c>
      <c r="O712" s="72">
        <v>9</v>
      </c>
      <c r="P712" s="72"/>
      <c r="Q712" s="72" t="s">
        <v>924</v>
      </c>
      <c r="R712" s="78">
        <v>45787</v>
      </c>
      <c r="S712" s="72" t="s">
        <v>1299</v>
      </c>
      <c r="T712" s="72">
        <v>9</v>
      </c>
      <c r="U712" s="72"/>
      <c r="V712" s="72"/>
      <c r="W712" s="72"/>
      <c r="X712" s="72"/>
      <c r="Y712" s="72"/>
      <c r="Z712" s="72"/>
      <c r="AA712" s="79"/>
      <c r="AB712" s="79"/>
      <c r="AC712" s="79"/>
      <c r="AD712" s="79"/>
      <c r="AE712" s="79"/>
    </row>
    <row r="713" spans="1:31" ht="16.5" x14ac:dyDescent="0.35">
      <c r="A713" s="71">
        <v>707</v>
      </c>
      <c r="B713" s="72">
        <v>2005220001</v>
      </c>
      <c r="C713" s="80" t="s">
        <v>384</v>
      </c>
      <c r="D713" s="81" t="s">
        <v>385</v>
      </c>
      <c r="E713" s="72" t="s">
        <v>360</v>
      </c>
      <c r="F713" s="76">
        <v>3</v>
      </c>
      <c r="G713" s="72" t="s">
        <v>1298</v>
      </c>
      <c r="H713" s="78">
        <v>45632</v>
      </c>
      <c r="I713" s="72" t="s">
        <v>1299</v>
      </c>
      <c r="J713" s="72">
        <v>9</v>
      </c>
      <c r="K713" s="72"/>
      <c r="L713" s="72" t="s">
        <v>924</v>
      </c>
      <c r="M713" s="78">
        <v>45798</v>
      </c>
      <c r="N713" s="72" t="s">
        <v>1299</v>
      </c>
      <c r="O713" s="72">
        <v>7.5</v>
      </c>
      <c r="P713" s="72"/>
      <c r="Q713" s="72" t="s">
        <v>2042</v>
      </c>
      <c r="R713" s="78">
        <v>45672</v>
      </c>
      <c r="S713" s="72" t="s">
        <v>1299</v>
      </c>
      <c r="T713" s="72">
        <v>9</v>
      </c>
      <c r="U713" s="72"/>
      <c r="V713" s="72"/>
      <c r="W713" s="72"/>
      <c r="X713" s="72"/>
      <c r="Y713" s="72"/>
      <c r="Z713" s="72"/>
      <c r="AA713" s="79"/>
      <c r="AB713" s="79"/>
      <c r="AC713" s="79"/>
      <c r="AD713" s="79"/>
      <c r="AE713" s="79"/>
    </row>
    <row r="714" spans="1:31" ht="16.5" x14ac:dyDescent="0.35">
      <c r="A714" s="71">
        <v>708</v>
      </c>
      <c r="B714" s="72">
        <v>2005220037</v>
      </c>
      <c r="C714" s="80" t="s">
        <v>1233</v>
      </c>
      <c r="D714" s="81" t="s">
        <v>71</v>
      </c>
      <c r="E714" s="72" t="s">
        <v>360</v>
      </c>
      <c r="F714" s="76">
        <v>1</v>
      </c>
      <c r="G714" s="72" t="s">
        <v>924</v>
      </c>
      <c r="H714" s="78">
        <v>45817</v>
      </c>
      <c r="I714" s="72" t="s">
        <v>1299</v>
      </c>
      <c r="J714" s="72">
        <v>9</v>
      </c>
      <c r="K714" s="72"/>
      <c r="L714" s="72"/>
      <c r="M714" s="78"/>
      <c r="N714" s="72"/>
      <c r="O714" s="72"/>
      <c r="P714" s="72"/>
      <c r="Q714" s="72"/>
      <c r="R714" s="78"/>
      <c r="S714" s="72"/>
      <c r="T714" s="72"/>
      <c r="U714" s="72"/>
      <c r="V714" s="72"/>
      <c r="W714" s="72"/>
      <c r="X714" s="72"/>
      <c r="Y714" s="72"/>
      <c r="Z714" s="72"/>
      <c r="AA714" s="79"/>
      <c r="AB714" s="79"/>
      <c r="AC714" s="79"/>
      <c r="AD714" s="79"/>
      <c r="AE714" s="79"/>
    </row>
    <row r="715" spans="1:31" ht="16.5" x14ac:dyDescent="0.35">
      <c r="A715" s="71">
        <v>709</v>
      </c>
      <c r="B715" s="72">
        <v>2005220247</v>
      </c>
      <c r="C715" s="80" t="s">
        <v>386</v>
      </c>
      <c r="D715" s="81" t="s">
        <v>170</v>
      </c>
      <c r="E715" s="72" t="s">
        <v>360</v>
      </c>
      <c r="F715" s="76">
        <v>3</v>
      </c>
      <c r="G715" s="72" t="s">
        <v>1300</v>
      </c>
      <c r="H715" s="78">
        <v>45756</v>
      </c>
      <c r="I715" s="72" t="s">
        <v>1299</v>
      </c>
      <c r="J715" s="72">
        <v>9</v>
      </c>
      <c r="K715" s="72"/>
      <c r="L715" s="72" t="s">
        <v>925</v>
      </c>
      <c r="M715" s="78">
        <v>45769</v>
      </c>
      <c r="N715" s="72" t="s">
        <v>1299</v>
      </c>
      <c r="O715" s="72">
        <v>9</v>
      </c>
      <c r="P715" s="72"/>
      <c r="Q715" s="72" t="s">
        <v>924</v>
      </c>
      <c r="R715" s="78">
        <v>45786</v>
      </c>
      <c r="S715" s="72" t="s">
        <v>1299</v>
      </c>
      <c r="T715" s="72">
        <v>8.5</v>
      </c>
      <c r="U715" s="72"/>
      <c r="V715" s="72"/>
      <c r="W715" s="72"/>
      <c r="X715" s="72"/>
      <c r="Y715" s="72"/>
      <c r="Z715" s="72"/>
      <c r="AA715" s="79"/>
      <c r="AB715" s="79"/>
      <c r="AC715" s="79"/>
      <c r="AD715" s="79"/>
      <c r="AE715" s="79"/>
    </row>
    <row r="716" spans="1:31" ht="16.5" x14ac:dyDescent="0.35">
      <c r="A716" s="71">
        <v>710</v>
      </c>
      <c r="B716" s="72">
        <v>2005220410</v>
      </c>
      <c r="C716" s="80" t="s">
        <v>44</v>
      </c>
      <c r="D716" s="81" t="s">
        <v>379</v>
      </c>
      <c r="E716" s="72" t="s">
        <v>360</v>
      </c>
      <c r="F716" s="76">
        <v>2</v>
      </c>
      <c r="G716" s="72" t="s">
        <v>1300</v>
      </c>
      <c r="H716" s="78">
        <v>45756</v>
      </c>
      <c r="I716" s="72" t="s">
        <v>1299</v>
      </c>
      <c r="J716" s="72">
        <v>8</v>
      </c>
      <c r="K716" s="72"/>
      <c r="L716" s="72" t="s">
        <v>1301</v>
      </c>
      <c r="M716" s="78">
        <v>45757</v>
      </c>
      <c r="N716" s="72" t="s">
        <v>1299</v>
      </c>
      <c r="O716" s="72">
        <v>9.5</v>
      </c>
      <c r="P716" s="72"/>
      <c r="Q716" s="72"/>
      <c r="R716" s="78"/>
      <c r="S716" s="72"/>
      <c r="T716" s="72"/>
      <c r="U716" s="72"/>
      <c r="V716" s="72"/>
      <c r="W716" s="72"/>
      <c r="X716" s="72"/>
      <c r="Y716" s="72"/>
      <c r="Z716" s="72"/>
      <c r="AA716" s="79"/>
      <c r="AB716" s="79"/>
      <c r="AC716" s="79"/>
      <c r="AD716" s="79"/>
      <c r="AE716" s="79"/>
    </row>
    <row r="717" spans="1:31" ht="16.5" x14ac:dyDescent="0.35">
      <c r="A717" s="71">
        <v>711</v>
      </c>
      <c r="B717" s="72">
        <v>2005220576</v>
      </c>
      <c r="C717" s="80" t="s">
        <v>387</v>
      </c>
      <c r="D717" s="81" t="s">
        <v>388</v>
      </c>
      <c r="E717" s="72" t="s">
        <v>360</v>
      </c>
      <c r="F717" s="76">
        <v>3</v>
      </c>
      <c r="G717" s="72" t="s">
        <v>924</v>
      </c>
      <c r="H717" s="78">
        <v>45623</v>
      </c>
      <c r="I717" s="72" t="s">
        <v>1299</v>
      </c>
      <c r="J717" s="72">
        <v>7.5</v>
      </c>
      <c r="K717" s="72">
        <v>0.5</v>
      </c>
      <c r="L717" s="72" t="s">
        <v>1300</v>
      </c>
      <c r="M717" s="78">
        <v>45631</v>
      </c>
      <c r="N717" s="72" t="s">
        <v>1299</v>
      </c>
      <c r="O717" s="72">
        <v>9.5</v>
      </c>
      <c r="P717" s="72"/>
      <c r="Q717" s="72" t="s">
        <v>1298</v>
      </c>
      <c r="R717" s="78">
        <v>45632</v>
      </c>
      <c r="S717" s="72" t="s">
        <v>1299</v>
      </c>
      <c r="T717" s="72">
        <v>7.5</v>
      </c>
      <c r="U717" s="72"/>
      <c r="V717" s="72"/>
      <c r="W717" s="72"/>
      <c r="X717" s="72"/>
      <c r="Y717" s="72"/>
      <c r="Z717" s="72"/>
      <c r="AA717" s="79"/>
      <c r="AB717" s="79"/>
      <c r="AC717" s="79"/>
      <c r="AD717" s="79"/>
      <c r="AE717" s="79"/>
    </row>
    <row r="718" spans="1:31" ht="16.5" x14ac:dyDescent="0.35">
      <c r="A718" s="71">
        <v>712</v>
      </c>
      <c r="B718" s="72">
        <v>2005220581</v>
      </c>
      <c r="C718" s="80" t="s">
        <v>1234</v>
      </c>
      <c r="D718" s="81" t="s">
        <v>1235</v>
      </c>
      <c r="E718" s="72" t="s">
        <v>360</v>
      </c>
      <c r="F718" s="76">
        <v>2</v>
      </c>
      <c r="G718" s="72" t="s">
        <v>925</v>
      </c>
      <c r="H718" s="78">
        <v>45398</v>
      </c>
      <c r="I718" s="72" t="s">
        <v>1299</v>
      </c>
      <c r="J718" s="72">
        <v>9</v>
      </c>
      <c r="K718" s="72"/>
      <c r="L718" s="72" t="s">
        <v>924</v>
      </c>
      <c r="M718" s="78">
        <v>45817</v>
      </c>
      <c r="N718" s="72" t="s">
        <v>1299</v>
      </c>
      <c r="O718" s="72">
        <v>9</v>
      </c>
      <c r="P718" s="72"/>
      <c r="Q718" s="72"/>
      <c r="R718" s="78"/>
      <c r="S718" s="72"/>
      <c r="T718" s="72"/>
      <c r="U718" s="72"/>
      <c r="V718" s="72"/>
      <c r="W718" s="72"/>
      <c r="X718" s="72"/>
      <c r="Y718" s="72"/>
      <c r="Z718" s="72"/>
      <c r="AA718" s="79"/>
      <c r="AB718" s="79"/>
      <c r="AC718" s="79"/>
      <c r="AD718" s="79"/>
      <c r="AE718" s="79"/>
    </row>
    <row r="719" spans="1:31" ht="16.5" x14ac:dyDescent="0.35">
      <c r="A719" s="71">
        <v>713</v>
      </c>
      <c r="B719" s="72">
        <v>2005220730</v>
      </c>
      <c r="C719" s="80" t="s">
        <v>370</v>
      </c>
      <c r="D719" s="81" t="s">
        <v>73</v>
      </c>
      <c r="E719" s="72" t="s">
        <v>360</v>
      </c>
      <c r="F719" s="76">
        <v>3</v>
      </c>
      <c r="G719" s="72" t="s">
        <v>1300</v>
      </c>
      <c r="H719" s="78">
        <v>45644</v>
      </c>
      <c r="I719" s="72" t="s">
        <v>1299</v>
      </c>
      <c r="J719" s="72">
        <v>10</v>
      </c>
      <c r="K719" s="72"/>
      <c r="L719" s="72" t="s">
        <v>924</v>
      </c>
      <c r="M719" s="78">
        <v>45786</v>
      </c>
      <c r="N719" s="72" t="s">
        <v>1299</v>
      </c>
      <c r="O719" s="72">
        <v>7.5</v>
      </c>
      <c r="P719" s="72"/>
      <c r="Q719" s="72" t="s">
        <v>925</v>
      </c>
      <c r="R719" s="78">
        <v>45813</v>
      </c>
      <c r="S719" s="72" t="s">
        <v>1299</v>
      </c>
      <c r="T719" s="72">
        <v>8.5</v>
      </c>
      <c r="U719" s="72"/>
      <c r="V719" s="72"/>
      <c r="W719" s="72"/>
      <c r="X719" s="72"/>
      <c r="Y719" s="72"/>
      <c r="Z719" s="72"/>
      <c r="AA719" s="79"/>
      <c r="AB719" s="79"/>
      <c r="AC719" s="79"/>
      <c r="AD719" s="79"/>
      <c r="AE719" s="79"/>
    </row>
    <row r="720" spans="1:31" ht="16.5" x14ac:dyDescent="0.35">
      <c r="A720" s="71">
        <v>714</v>
      </c>
      <c r="B720" s="72">
        <v>2005220725</v>
      </c>
      <c r="C720" s="80" t="s">
        <v>390</v>
      </c>
      <c r="D720" s="81" t="s">
        <v>73</v>
      </c>
      <c r="E720" s="72" t="s">
        <v>360</v>
      </c>
      <c r="F720" s="76">
        <v>3</v>
      </c>
      <c r="G720" s="72" t="s">
        <v>1304</v>
      </c>
      <c r="H720" s="78">
        <v>45628</v>
      </c>
      <c r="I720" s="72" t="s">
        <v>1299</v>
      </c>
      <c r="J720" s="72">
        <v>9.5</v>
      </c>
      <c r="K720" s="72"/>
      <c r="L720" s="72" t="s">
        <v>1300</v>
      </c>
      <c r="M720" s="78">
        <v>45631</v>
      </c>
      <c r="N720" s="72" t="s">
        <v>1299</v>
      </c>
      <c r="O720" s="72">
        <v>8.5</v>
      </c>
      <c r="P720" s="72"/>
      <c r="Q720" s="72" t="s">
        <v>925</v>
      </c>
      <c r="R720" s="78">
        <v>45636</v>
      </c>
      <c r="S720" s="72" t="s">
        <v>1299</v>
      </c>
      <c r="T720" s="72">
        <v>8</v>
      </c>
      <c r="U720" s="72"/>
      <c r="V720" s="72"/>
      <c r="W720" s="72"/>
      <c r="X720" s="72"/>
      <c r="Y720" s="72"/>
      <c r="Z720" s="72"/>
      <c r="AA720" s="79"/>
      <c r="AB720" s="79"/>
      <c r="AC720" s="79"/>
      <c r="AD720" s="79"/>
      <c r="AE720" s="79"/>
    </row>
    <row r="721" spans="1:31" ht="16.5" x14ac:dyDescent="0.35">
      <c r="A721" s="71">
        <v>715</v>
      </c>
      <c r="B721" s="72">
        <v>2005220892</v>
      </c>
      <c r="C721" s="80" t="s">
        <v>368</v>
      </c>
      <c r="D721" s="81" t="s">
        <v>369</v>
      </c>
      <c r="E721" s="72" t="s">
        <v>360</v>
      </c>
      <c r="F721" s="76">
        <v>3</v>
      </c>
      <c r="G721" s="72" t="s">
        <v>925</v>
      </c>
      <c r="H721" s="78">
        <v>45440</v>
      </c>
      <c r="I721" s="72" t="s">
        <v>1299</v>
      </c>
      <c r="J721" s="72">
        <v>8</v>
      </c>
      <c r="K721" s="72">
        <v>0.5</v>
      </c>
      <c r="L721" s="72" t="s">
        <v>1298</v>
      </c>
      <c r="M721" s="78">
        <v>45632</v>
      </c>
      <c r="N721" s="72" t="s">
        <v>1299</v>
      </c>
      <c r="O721" s="72">
        <v>7.5</v>
      </c>
      <c r="P721" s="72"/>
      <c r="Q721" s="72" t="s">
        <v>1300</v>
      </c>
      <c r="R721" s="78">
        <v>45742</v>
      </c>
      <c r="S721" s="72" t="s">
        <v>1299</v>
      </c>
      <c r="T721" s="72">
        <v>8</v>
      </c>
      <c r="U721" s="72"/>
      <c r="V721" s="72"/>
      <c r="W721" s="72"/>
      <c r="X721" s="72"/>
      <c r="Y721" s="72"/>
      <c r="Z721" s="72"/>
      <c r="AA721" s="79"/>
      <c r="AB721" s="79"/>
      <c r="AC721" s="79"/>
      <c r="AD721" s="79"/>
      <c r="AE721" s="79"/>
    </row>
    <row r="722" spans="1:31" ht="16.5" x14ac:dyDescent="0.35">
      <c r="A722" s="71">
        <v>716</v>
      </c>
      <c r="B722" s="72">
        <v>2005221145</v>
      </c>
      <c r="C722" s="80" t="s">
        <v>264</v>
      </c>
      <c r="D722" s="81" t="s">
        <v>85</v>
      </c>
      <c r="E722" s="72" t="s">
        <v>360</v>
      </c>
      <c r="F722" s="76">
        <v>3</v>
      </c>
      <c r="G722" s="72" t="s">
        <v>1298</v>
      </c>
      <c r="H722" s="78">
        <v>45632</v>
      </c>
      <c r="I722" s="72" t="s">
        <v>1299</v>
      </c>
      <c r="J722" s="72">
        <v>6</v>
      </c>
      <c r="K722" s="72"/>
      <c r="L722" s="72" t="s">
        <v>1301</v>
      </c>
      <c r="M722" s="78">
        <v>45785</v>
      </c>
      <c r="N722" s="72" t="s">
        <v>1299</v>
      </c>
      <c r="O722" s="72">
        <v>8</v>
      </c>
      <c r="P722" s="72"/>
      <c r="Q722" s="72" t="s">
        <v>2042</v>
      </c>
      <c r="R722" s="78">
        <v>45672</v>
      </c>
      <c r="S722" s="72" t="s">
        <v>1299</v>
      </c>
      <c r="T722" s="72">
        <v>9</v>
      </c>
      <c r="U722" s="72"/>
      <c r="V722" s="72"/>
      <c r="W722" s="72"/>
      <c r="X722" s="72"/>
      <c r="Y722" s="72"/>
      <c r="Z722" s="72"/>
      <c r="AA722" s="79"/>
      <c r="AB722" s="79"/>
      <c r="AC722" s="79"/>
      <c r="AD722" s="79"/>
      <c r="AE722" s="79"/>
    </row>
    <row r="723" spans="1:31" ht="16.5" x14ac:dyDescent="0.35">
      <c r="A723" s="71">
        <v>717</v>
      </c>
      <c r="B723" s="72">
        <v>2005221128</v>
      </c>
      <c r="C723" s="80" t="s">
        <v>1236</v>
      </c>
      <c r="D723" s="81" t="s">
        <v>85</v>
      </c>
      <c r="E723" s="72" t="s">
        <v>360</v>
      </c>
      <c r="F723" s="76">
        <v>0</v>
      </c>
      <c r="G723" s="72"/>
      <c r="H723" s="78"/>
      <c r="I723" s="72"/>
      <c r="J723" s="72"/>
      <c r="K723" s="72"/>
      <c r="L723" s="72"/>
      <c r="M723" s="72"/>
      <c r="N723" s="72"/>
      <c r="O723" s="72"/>
      <c r="P723" s="72"/>
      <c r="Q723" s="72"/>
      <c r="R723" s="78"/>
      <c r="S723" s="72"/>
      <c r="T723" s="72"/>
      <c r="U723" s="72"/>
      <c r="V723" s="72"/>
      <c r="W723" s="72"/>
      <c r="X723" s="72"/>
      <c r="Y723" s="72"/>
      <c r="Z723" s="72"/>
      <c r="AA723" s="79"/>
      <c r="AB723" s="79"/>
      <c r="AC723" s="79"/>
      <c r="AD723" s="79"/>
      <c r="AE723" s="79"/>
    </row>
    <row r="724" spans="1:31" ht="16.5" x14ac:dyDescent="0.35">
      <c r="A724" s="71">
        <v>718</v>
      </c>
      <c r="B724" s="72">
        <v>2005221213</v>
      </c>
      <c r="C724" s="80" t="s">
        <v>392</v>
      </c>
      <c r="D724" s="81" t="s">
        <v>373</v>
      </c>
      <c r="E724" s="72" t="s">
        <v>360</v>
      </c>
      <c r="F724" s="76">
        <v>2</v>
      </c>
      <c r="G724" s="72" t="s">
        <v>924</v>
      </c>
      <c r="H724" s="78">
        <v>45645</v>
      </c>
      <c r="I724" s="72" t="s">
        <v>1299</v>
      </c>
      <c r="J724" s="72">
        <v>9</v>
      </c>
      <c r="K724" s="72"/>
      <c r="L724" s="72" t="s">
        <v>925</v>
      </c>
      <c r="M724" s="78">
        <v>45636</v>
      </c>
      <c r="N724" s="72" t="s">
        <v>1299</v>
      </c>
      <c r="O724" s="72">
        <v>8</v>
      </c>
      <c r="P724" s="72"/>
      <c r="Q724" s="72"/>
      <c r="R724" s="78"/>
      <c r="S724" s="72"/>
      <c r="T724" s="72"/>
      <c r="U724" s="72"/>
      <c r="V724" s="72"/>
      <c r="W724" s="72"/>
      <c r="X724" s="72"/>
      <c r="Y724" s="72"/>
      <c r="Z724" s="72"/>
      <c r="AA724" s="79"/>
      <c r="AB724" s="79"/>
      <c r="AC724" s="79"/>
      <c r="AD724" s="79"/>
      <c r="AE724" s="79"/>
    </row>
    <row r="725" spans="1:31" ht="16.5" x14ac:dyDescent="0.35">
      <c r="A725" s="71">
        <v>719</v>
      </c>
      <c r="B725" s="72">
        <v>2005221225</v>
      </c>
      <c r="C725" s="80" t="s">
        <v>393</v>
      </c>
      <c r="D725" s="81" t="s">
        <v>394</v>
      </c>
      <c r="E725" s="72" t="s">
        <v>360</v>
      </c>
      <c r="F725" s="76">
        <v>3</v>
      </c>
      <c r="G725" s="72" t="s">
        <v>1300</v>
      </c>
      <c r="H725" s="78">
        <v>45756</v>
      </c>
      <c r="I725" s="72" t="s">
        <v>1299</v>
      </c>
      <c r="J725" s="72">
        <v>9</v>
      </c>
      <c r="K725" s="72"/>
      <c r="L725" s="72" t="s">
        <v>925</v>
      </c>
      <c r="M725" s="78">
        <v>45769</v>
      </c>
      <c r="N725" s="72" t="s">
        <v>1299</v>
      </c>
      <c r="O725" s="72">
        <v>9.5</v>
      </c>
      <c r="P725" s="72"/>
      <c r="Q725" s="72" t="s">
        <v>924</v>
      </c>
      <c r="R725" s="78">
        <v>45786</v>
      </c>
      <c r="S725" s="72" t="s">
        <v>1299</v>
      </c>
      <c r="T725" s="72">
        <v>8.5</v>
      </c>
      <c r="U725" s="72"/>
      <c r="V725" s="72"/>
      <c r="W725" s="72"/>
      <c r="X725" s="72"/>
      <c r="Y725" s="72"/>
      <c r="Z725" s="72"/>
      <c r="AA725" s="79"/>
      <c r="AB725" s="79"/>
      <c r="AC725" s="79"/>
      <c r="AD725" s="79"/>
      <c r="AE725" s="79"/>
    </row>
    <row r="726" spans="1:31" ht="16.5" x14ac:dyDescent="0.35">
      <c r="A726" s="71">
        <v>720</v>
      </c>
      <c r="B726" s="72">
        <v>2005221212</v>
      </c>
      <c r="C726" s="80" t="s">
        <v>372</v>
      </c>
      <c r="D726" s="81" t="s">
        <v>373</v>
      </c>
      <c r="E726" s="72" t="s">
        <v>360</v>
      </c>
      <c r="F726" s="76">
        <v>3</v>
      </c>
      <c r="G726" s="72" t="s">
        <v>1300</v>
      </c>
      <c r="H726" s="78">
        <v>45756</v>
      </c>
      <c r="I726" s="72" t="s">
        <v>1299</v>
      </c>
      <c r="J726" s="72">
        <v>9</v>
      </c>
      <c r="K726" s="72"/>
      <c r="L726" s="72" t="s">
        <v>925</v>
      </c>
      <c r="M726" s="78">
        <v>45769</v>
      </c>
      <c r="N726" s="72" t="s">
        <v>1299</v>
      </c>
      <c r="O726" s="72">
        <v>8.5</v>
      </c>
      <c r="P726" s="72"/>
      <c r="Q726" s="72" t="s">
        <v>924</v>
      </c>
      <c r="R726" s="78">
        <v>45786</v>
      </c>
      <c r="S726" s="72" t="s">
        <v>1299</v>
      </c>
      <c r="T726" s="72">
        <v>8.5</v>
      </c>
      <c r="U726" s="72"/>
      <c r="V726" s="72"/>
      <c r="W726" s="72"/>
      <c r="X726" s="72"/>
      <c r="Y726" s="72"/>
      <c r="Z726" s="72"/>
      <c r="AA726" s="79"/>
      <c r="AB726" s="79"/>
      <c r="AC726" s="79"/>
      <c r="AD726" s="79"/>
      <c r="AE726" s="79"/>
    </row>
    <row r="727" spans="1:31" ht="16.5" x14ac:dyDescent="0.35">
      <c r="A727" s="71">
        <v>721</v>
      </c>
      <c r="B727" s="72">
        <v>2005221354</v>
      </c>
      <c r="C727" s="80" t="s">
        <v>395</v>
      </c>
      <c r="D727" s="81" t="s">
        <v>105</v>
      </c>
      <c r="E727" s="72" t="s">
        <v>360</v>
      </c>
      <c r="F727" s="76">
        <v>3</v>
      </c>
      <c r="G727" s="72" t="s">
        <v>1300</v>
      </c>
      <c r="H727" s="78">
        <v>45737</v>
      </c>
      <c r="I727" s="72" t="s">
        <v>1299</v>
      </c>
      <c r="J727" s="72">
        <v>7</v>
      </c>
      <c r="K727" s="72"/>
      <c r="L727" s="72" t="s">
        <v>924</v>
      </c>
      <c r="M727" s="78">
        <v>45798</v>
      </c>
      <c r="N727" s="72" t="s">
        <v>1299</v>
      </c>
      <c r="O727" s="72">
        <v>8.5</v>
      </c>
      <c r="P727" s="72"/>
      <c r="Q727" s="79" t="s">
        <v>928</v>
      </c>
      <c r="R727" s="83">
        <v>45799</v>
      </c>
      <c r="S727" s="79" t="s">
        <v>1299</v>
      </c>
      <c r="T727" s="72">
        <v>5.5</v>
      </c>
      <c r="U727" s="72"/>
      <c r="V727" s="72"/>
      <c r="W727" s="72"/>
      <c r="X727" s="72"/>
      <c r="Y727" s="72"/>
      <c r="Z727" s="72"/>
      <c r="AA727" s="79"/>
      <c r="AB727" s="79"/>
      <c r="AC727" s="79"/>
      <c r="AD727" s="79"/>
      <c r="AE727" s="79"/>
    </row>
    <row r="728" spans="1:31" ht="16.5" x14ac:dyDescent="0.35">
      <c r="A728" s="71">
        <v>722</v>
      </c>
      <c r="B728" s="72">
        <v>2005221568</v>
      </c>
      <c r="C728" s="80" t="s">
        <v>87</v>
      </c>
      <c r="D728" s="81" t="s">
        <v>397</v>
      </c>
      <c r="E728" s="72" t="s">
        <v>360</v>
      </c>
      <c r="F728" s="76">
        <v>0</v>
      </c>
      <c r="G728" s="72"/>
      <c r="H728" s="78"/>
      <c r="I728" s="72"/>
      <c r="J728" s="72"/>
      <c r="K728" s="72"/>
      <c r="L728" s="72"/>
      <c r="M728" s="72"/>
      <c r="N728" s="72"/>
      <c r="O728" s="72"/>
      <c r="P728" s="72"/>
      <c r="Q728" s="72"/>
      <c r="R728" s="78"/>
      <c r="S728" s="72"/>
      <c r="T728" s="72"/>
      <c r="U728" s="72"/>
      <c r="V728" s="72"/>
      <c r="W728" s="72"/>
      <c r="X728" s="72"/>
      <c r="Y728" s="72"/>
      <c r="Z728" s="72"/>
      <c r="AA728" s="79"/>
      <c r="AB728" s="79"/>
      <c r="AC728" s="79"/>
      <c r="AD728" s="79"/>
      <c r="AE728" s="79"/>
    </row>
    <row r="729" spans="1:31" ht="16.5" x14ac:dyDescent="0.35">
      <c r="A729" s="71">
        <v>723</v>
      </c>
      <c r="B729" s="72">
        <v>2005221768</v>
      </c>
      <c r="C729" s="80" t="s">
        <v>1237</v>
      </c>
      <c r="D729" s="81" t="s">
        <v>479</v>
      </c>
      <c r="E729" s="72" t="s">
        <v>360</v>
      </c>
      <c r="F729" s="76">
        <v>1</v>
      </c>
      <c r="G729" s="72" t="s">
        <v>924</v>
      </c>
      <c r="H729" s="78">
        <v>45817</v>
      </c>
      <c r="I729" s="72" t="s">
        <v>1299</v>
      </c>
      <c r="J729" s="72">
        <v>9</v>
      </c>
      <c r="K729" s="72"/>
      <c r="L729" s="72"/>
      <c r="M729" s="72"/>
      <c r="N729" s="72"/>
      <c r="O729" s="72"/>
      <c r="P729" s="72"/>
      <c r="Q729" s="72"/>
      <c r="R729" s="78"/>
      <c r="S729" s="72"/>
      <c r="T729" s="72"/>
      <c r="U729" s="72"/>
      <c r="V729" s="72"/>
      <c r="W729" s="72"/>
      <c r="X729" s="72"/>
      <c r="Y729" s="72"/>
      <c r="Z729" s="72"/>
      <c r="AA729" s="79"/>
      <c r="AB729" s="79"/>
      <c r="AC729" s="79"/>
      <c r="AD729" s="79"/>
      <c r="AE729" s="79"/>
    </row>
    <row r="730" spans="1:31" ht="16.5" x14ac:dyDescent="0.35">
      <c r="A730" s="71">
        <v>724</v>
      </c>
      <c r="B730" s="72">
        <v>2005222057</v>
      </c>
      <c r="C730" s="80" t="s">
        <v>398</v>
      </c>
      <c r="D730" s="81" t="s">
        <v>230</v>
      </c>
      <c r="E730" s="72" t="s">
        <v>360</v>
      </c>
      <c r="F730" s="76">
        <v>2</v>
      </c>
      <c r="G730" s="72" t="s">
        <v>1300</v>
      </c>
      <c r="H730" s="78">
        <v>45644</v>
      </c>
      <c r="I730" s="72" t="s">
        <v>1299</v>
      </c>
      <c r="J730" s="72">
        <v>10</v>
      </c>
      <c r="K730" s="72"/>
      <c r="L730" s="72" t="s">
        <v>925</v>
      </c>
      <c r="M730" s="78">
        <v>45757</v>
      </c>
      <c r="N730" s="72" t="s">
        <v>1299</v>
      </c>
      <c r="O730" s="72">
        <v>8</v>
      </c>
      <c r="P730" s="72"/>
      <c r="Q730" s="72"/>
      <c r="R730" s="78"/>
      <c r="S730" s="72"/>
      <c r="T730" s="72"/>
      <c r="U730" s="72"/>
      <c r="V730" s="72"/>
      <c r="W730" s="72"/>
      <c r="X730" s="72"/>
      <c r="Y730" s="72"/>
      <c r="Z730" s="72"/>
      <c r="AA730" s="79"/>
      <c r="AB730" s="79"/>
      <c r="AC730" s="79"/>
      <c r="AD730" s="79"/>
      <c r="AE730" s="79"/>
    </row>
    <row r="731" spans="1:31" ht="16.5" x14ac:dyDescent="0.35">
      <c r="A731" s="71">
        <v>725</v>
      </c>
      <c r="B731" s="72">
        <v>2005222188</v>
      </c>
      <c r="C731" s="80" t="s">
        <v>399</v>
      </c>
      <c r="D731" s="81" t="s">
        <v>400</v>
      </c>
      <c r="E731" s="72" t="s">
        <v>360</v>
      </c>
      <c r="F731" s="76">
        <v>2</v>
      </c>
      <c r="G731" s="72" t="s">
        <v>1300</v>
      </c>
      <c r="H731" s="78">
        <v>45631</v>
      </c>
      <c r="I731" s="72" t="s">
        <v>1299</v>
      </c>
      <c r="J731" s="72">
        <v>8.5</v>
      </c>
      <c r="K731" s="72"/>
      <c r="L731" s="72" t="s">
        <v>924</v>
      </c>
      <c r="M731" s="78">
        <v>45645</v>
      </c>
      <c r="N731" s="72" t="s">
        <v>1299</v>
      </c>
      <c r="O731" s="72">
        <v>9</v>
      </c>
      <c r="P731" s="72"/>
      <c r="Q731" s="72"/>
      <c r="R731" s="78"/>
      <c r="S731" s="72"/>
      <c r="T731" s="72"/>
      <c r="U731" s="72"/>
      <c r="V731" s="72"/>
      <c r="W731" s="72"/>
      <c r="X731" s="72"/>
      <c r="Y731" s="72"/>
      <c r="Z731" s="72"/>
      <c r="AA731" s="79"/>
      <c r="AB731" s="79"/>
      <c r="AC731" s="79"/>
      <c r="AD731" s="79"/>
      <c r="AE731" s="79"/>
    </row>
    <row r="732" spans="1:31" ht="16.5" x14ac:dyDescent="0.35">
      <c r="A732" s="71">
        <v>726</v>
      </c>
      <c r="B732" s="72">
        <v>2005222243</v>
      </c>
      <c r="C732" s="80" t="s">
        <v>401</v>
      </c>
      <c r="D732" s="81" t="s">
        <v>402</v>
      </c>
      <c r="E732" s="72" t="s">
        <v>360</v>
      </c>
      <c r="F732" s="76">
        <v>3</v>
      </c>
      <c r="G732" s="72" t="s">
        <v>1304</v>
      </c>
      <c r="H732" s="78">
        <v>45628</v>
      </c>
      <c r="I732" s="72" t="s">
        <v>1299</v>
      </c>
      <c r="J732" s="72">
        <v>8</v>
      </c>
      <c r="K732" s="72"/>
      <c r="L732" s="72" t="s">
        <v>1298</v>
      </c>
      <c r="M732" s="78">
        <v>45632</v>
      </c>
      <c r="N732" s="72" t="s">
        <v>1299</v>
      </c>
      <c r="O732" s="72">
        <v>9</v>
      </c>
      <c r="P732" s="72"/>
      <c r="Q732" s="72" t="s">
        <v>2042</v>
      </c>
      <c r="R732" s="78">
        <v>45672</v>
      </c>
      <c r="S732" s="72" t="s">
        <v>1299</v>
      </c>
      <c r="T732" s="72">
        <v>9</v>
      </c>
      <c r="U732" s="72"/>
      <c r="V732" s="72"/>
      <c r="W732" s="72"/>
      <c r="X732" s="72"/>
      <c r="Y732" s="72"/>
      <c r="Z732" s="72"/>
      <c r="AA732" s="79"/>
      <c r="AB732" s="79"/>
      <c r="AC732" s="79"/>
      <c r="AD732" s="79"/>
      <c r="AE732" s="79"/>
    </row>
    <row r="733" spans="1:31" ht="16.5" x14ac:dyDescent="0.35">
      <c r="A733" s="71">
        <v>727</v>
      </c>
      <c r="B733" s="72">
        <v>2005222411</v>
      </c>
      <c r="C733" s="80" t="s">
        <v>403</v>
      </c>
      <c r="D733" s="81" t="s">
        <v>404</v>
      </c>
      <c r="E733" s="72" t="s">
        <v>360</v>
      </c>
      <c r="F733" s="76">
        <v>2</v>
      </c>
      <c r="G733" s="72" t="s">
        <v>1300</v>
      </c>
      <c r="H733" s="78">
        <v>45631</v>
      </c>
      <c r="I733" s="72" t="s">
        <v>1299</v>
      </c>
      <c r="J733" s="72">
        <v>8</v>
      </c>
      <c r="K733" s="72"/>
      <c r="L733" s="72" t="s">
        <v>924</v>
      </c>
      <c r="M733" s="78">
        <v>45776</v>
      </c>
      <c r="N733" s="72" t="s">
        <v>1299</v>
      </c>
      <c r="O733" s="72">
        <v>5</v>
      </c>
      <c r="P733" s="72"/>
      <c r="Q733" s="72"/>
      <c r="R733" s="78"/>
      <c r="S733" s="72"/>
      <c r="T733" s="72"/>
      <c r="U733" s="72"/>
      <c r="V733" s="72"/>
      <c r="W733" s="72"/>
      <c r="X733" s="72"/>
      <c r="Y733" s="72"/>
      <c r="Z733" s="72"/>
      <c r="AA733" s="79"/>
      <c r="AB733" s="79"/>
      <c r="AC733" s="79"/>
      <c r="AD733" s="79"/>
      <c r="AE733" s="79"/>
    </row>
    <row r="734" spans="1:31" ht="16.5" x14ac:dyDescent="0.35">
      <c r="A734" s="71">
        <v>728</v>
      </c>
      <c r="B734" s="72">
        <v>2005222563</v>
      </c>
      <c r="C734" s="80" t="s">
        <v>374</v>
      </c>
      <c r="D734" s="81" t="s">
        <v>237</v>
      </c>
      <c r="E734" s="72" t="s">
        <v>360</v>
      </c>
      <c r="F734" s="76">
        <v>2</v>
      </c>
      <c r="G734" s="72" t="s">
        <v>1300</v>
      </c>
      <c r="H734" s="78">
        <v>45744</v>
      </c>
      <c r="I734" s="72" t="s">
        <v>1299</v>
      </c>
      <c r="J734" s="72">
        <v>8</v>
      </c>
      <c r="K734" s="72"/>
      <c r="L734" s="72" t="s">
        <v>928</v>
      </c>
      <c r="M734" s="78">
        <v>45800</v>
      </c>
      <c r="N734" s="72" t="s">
        <v>1299</v>
      </c>
      <c r="O734" s="72">
        <v>9</v>
      </c>
      <c r="P734" s="72"/>
      <c r="Q734" s="72"/>
      <c r="R734" s="78"/>
      <c r="S734" s="72"/>
      <c r="T734" s="72"/>
      <c r="U734" s="72"/>
      <c r="V734" s="72"/>
      <c r="W734" s="72"/>
      <c r="X734" s="72"/>
      <c r="Y734" s="72"/>
      <c r="Z734" s="72"/>
      <c r="AA734" s="79"/>
      <c r="AB734" s="79"/>
      <c r="AC734" s="79"/>
      <c r="AD734" s="79"/>
      <c r="AE734" s="79"/>
    </row>
    <row r="735" spans="1:31" ht="16.5" x14ac:dyDescent="0.35">
      <c r="A735" s="71">
        <v>729</v>
      </c>
      <c r="B735" s="72">
        <v>2005226159</v>
      </c>
      <c r="C735" s="80" t="s">
        <v>406</v>
      </c>
      <c r="D735" s="81" t="s">
        <v>407</v>
      </c>
      <c r="E735" s="72" t="s">
        <v>360</v>
      </c>
      <c r="F735" s="76">
        <v>2</v>
      </c>
      <c r="G735" s="72" t="s">
        <v>924</v>
      </c>
      <c r="H735" s="78">
        <v>45798</v>
      </c>
      <c r="I735" s="72" t="s">
        <v>1299</v>
      </c>
      <c r="J735" s="72">
        <v>7</v>
      </c>
      <c r="K735" s="72"/>
      <c r="L735" s="72" t="s">
        <v>928</v>
      </c>
      <c r="M735" s="78">
        <v>45800</v>
      </c>
      <c r="N735" s="72" t="s">
        <v>1299</v>
      </c>
      <c r="O735" s="72">
        <v>5</v>
      </c>
      <c r="P735" s="72"/>
      <c r="Q735" s="72"/>
      <c r="R735" s="78"/>
      <c r="S735" s="72"/>
      <c r="T735" s="72"/>
      <c r="U735" s="72"/>
      <c r="V735" s="72"/>
      <c r="W735" s="72"/>
      <c r="X735" s="72"/>
      <c r="Y735" s="72"/>
      <c r="Z735" s="72"/>
      <c r="AA735" s="79"/>
      <c r="AB735" s="79"/>
      <c r="AC735" s="79"/>
      <c r="AD735" s="79"/>
      <c r="AE735" s="79"/>
    </row>
    <row r="736" spans="1:31" ht="16.5" x14ac:dyDescent="0.35">
      <c r="A736" s="71">
        <v>730</v>
      </c>
      <c r="B736" s="72">
        <v>2005222628</v>
      </c>
      <c r="C736" s="80" t="s">
        <v>87</v>
      </c>
      <c r="D736" s="81" t="s">
        <v>239</v>
      </c>
      <c r="E736" s="72" t="s">
        <v>360</v>
      </c>
      <c r="F736" s="76">
        <v>2</v>
      </c>
      <c r="G736" s="72" t="s">
        <v>925</v>
      </c>
      <c r="H736" s="78">
        <v>45757</v>
      </c>
      <c r="I736" s="72" t="s">
        <v>1299</v>
      </c>
      <c r="J736" s="72">
        <v>6</v>
      </c>
      <c r="K736" s="72"/>
      <c r="L736" s="72" t="s">
        <v>924</v>
      </c>
      <c r="M736" s="78">
        <v>45787</v>
      </c>
      <c r="N736" s="72" t="s">
        <v>1299</v>
      </c>
      <c r="O736" s="72">
        <v>8</v>
      </c>
      <c r="P736" s="72"/>
      <c r="Q736" s="72"/>
      <c r="R736" s="78"/>
      <c r="S736" s="72"/>
      <c r="T736" s="72"/>
      <c r="U736" s="72"/>
      <c r="V736" s="72"/>
      <c r="W736" s="72"/>
      <c r="X736" s="72"/>
      <c r="Y736" s="72"/>
      <c r="Z736" s="72"/>
      <c r="AA736" s="79"/>
      <c r="AB736" s="79"/>
      <c r="AC736" s="79"/>
      <c r="AD736" s="79"/>
      <c r="AE736" s="79"/>
    </row>
    <row r="737" spans="1:31" ht="16.5" x14ac:dyDescent="0.35">
      <c r="A737" s="71">
        <v>731</v>
      </c>
      <c r="B737" s="72">
        <v>2005222704</v>
      </c>
      <c r="C737" s="80" t="s">
        <v>408</v>
      </c>
      <c r="D737" s="81" t="s">
        <v>91</v>
      </c>
      <c r="E737" s="72" t="s">
        <v>360</v>
      </c>
      <c r="F737" s="76">
        <v>3</v>
      </c>
      <c r="G737" s="72" t="s">
        <v>924</v>
      </c>
      <c r="H737" s="78">
        <v>45623</v>
      </c>
      <c r="I737" s="72" t="s">
        <v>1299</v>
      </c>
      <c r="J737" s="72">
        <v>7.5</v>
      </c>
      <c r="K737" s="72">
        <v>0.5</v>
      </c>
      <c r="L737" s="72" t="s">
        <v>1304</v>
      </c>
      <c r="M737" s="78">
        <v>45628</v>
      </c>
      <c r="N737" s="72" t="s">
        <v>1299</v>
      </c>
      <c r="O737" s="72">
        <v>9.5</v>
      </c>
      <c r="P737" s="72"/>
      <c r="Q737" s="72" t="s">
        <v>1300</v>
      </c>
      <c r="R737" s="78">
        <v>45631</v>
      </c>
      <c r="S737" s="72" t="s">
        <v>1299</v>
      </c>
      <c r="T737" s="72">
        <v>8.5</v>
      </c>
      <c r="U737" s="72"/>
      <c r="V737" s="72"/>
      <c r="W737" s="72"/>
      <c r="X737" s="72"/>
      <c r="Y737" s="72"/>
      <c r="Z737" s="72"/>
      <c r="AA737" s="79"/>
      <c r="AB737" s="79"/>
      <c r="AC737" s="79"/>
      <c r="AD737" s="79"/>
      <c r="AE737" s="79"/>
    </row>
    <row r="738" spans="1:31" ht="16.5" x14ac:dyDescent="0.35">
      <c r="A738" s="71">
        <v>732</v>
      </c>
      <c r="B738" s="72">
        <v>2005222706</v>
      </c>
      <c r="C738" s="80" t="s">
        <v>411</v>
      </c>
      <c r="D738" s="81" t="s">
        <v>91</v>
      </c>
      <c r="E738" s="72" t="s">
        <v>360</v>
      </c>
      <c r="F738" s="76">
        <v>2</v>
      </c>
      <c r="G738" s="72" t="s">
        <v>925</v>
      </c>
      <c r="H738" s="78">
        <v>45433</v>
      </c>
      <c r="I738" s="72" t="s">
        <v>1299</v>
      </c>
      <c r="J738" s="72">
        <v>7</v>
      </c>
      <c r="K738" s="72"/>
      <c r="L738" s="72" t="s">
        <v>1300</v>
      </c>
      <c r="M738" s="78">
        <v>45436</v>
      </c>
      <c r="N738" s="72" t="s">
        <v>1299</v>
      </c>
      <c r="O738" s="72">
        <v>7.5</v>
      </c>
      <c r="P738" s="72"/>
      <c r="Q738" s="72"/>
      <c r="R738" s="78"/>
      <c r="S738" s="72"/>
      <c r="T738" s="72"/>
      <c r="U738" s="72"/>
      <c r="V738" s="72"/>
      <c r="W738" s="72"/>
      <c r="X738" s="72"/>
      <c r="Y738" s="72"/>
      <c r="Z738" s="72"/>
      <c r="AA738" s="79"/>
      <c r="AB738" s="79"/>
      <c r="AC738" s="79"/>
      <c r="AD738" s="79"/>
      <c r="AE738" s="79"/>
    </row>
    <row r="739" spans="1:31" ht="16.5" x14ac:dyDescent="0.35">
      <c r="A739" s="71">
        <v>733</v>
      </c>
      <c r="B739" s="72">
        <v>2005222701</v>
      </c>
      <c r="C739" s="80" t="s">
        <v>410</v>
      </c>
      <c r="D739" s="81" t="s">
        <v>91</v>
      </c>
      <c r="E739" s="72" t="s">
        <v>360</v>
      </c>
      <c r="F739" s="76">
        <v>2</v>
      </c>
      <c r="G739" s="72" t="s">
        <v>1304</v>
      </c>
      <c r="H739" s="78">
        <v>45628</v>
      </c>
      <c r="I739" s="72" t="s">
        <v>1299</v>
      </c>
      <c r="J739" s="72">
        <v>9.5</v>
      </c>
      <c r="K739" s="72"/>
      <c r="L739" s="72" t="s">
        <v>924</v>
      </c>
      <c r="M739" s="78">
        <v>45645</v>
      </c>
      <c r="N739" s="72" t="s">
        <v>1299</v>
      </c>
      <c r="O739" s="72">
        <v>9.5</v>
      </c>
      <c r="P739" s="72"/>
      <c r="Q739" s="72"/>
      <c r="R739" s="78"/>
      <c r="S739" s="72"/>
      <c r="T739" s="72"/>
      <c r="U739" s="72"/>
      <c r="V739" s="72"/>
      <c r="W739" s="72"/>
      <c r="X739" s="72"/>
      <c r="Y739" s="72"/>
      <c r="Z739" s="72"/>
      <c r="AA739" s="79"/>
      <c r="AB739" s="79"/>
      <c r="AC739" s="79"/>
      <c r="AD739" s="79"/>
      <c r="AE739" s="79"/>
    </row>
    <row r="740" spans="1:31" ht="16.5" x14ac:dyDescent="0.35">
      <c r="A740" s="71">
        <v>734</v>
      </c>
      <c r="B740" s="72">
        <v>2005222726</v>
      </c>
      <c r="C740" s="80" t="s">
        <v>1241</v>
      </c>
      <c r="D740" s="81" t="s">
        <v>905</v>
      </c>
      <c r="E740" s="72" t="s">
        <v>360</v>
      </c>
      <c r="F740" s="76">
        <v>1</v>
      </c>
      <c r="G740" s="72" t="s">
        <v>924</v>
      </c>
      <c r="H740" s="78">
        <v>45817</v>
      </c>
      <c r="I740" s="72" t="s">
        <v>1299</v>
      </c>
      <c r="J740" s="72">
        <v>8.5</v>
      </c>
      <c r="K740" s="72"/>
      <c r="L740" s="72"/>
      <c r="M740" s="72"/>
      <c r="N740" s="72"/>
      <c r="O740" s="72"/>
      <c r="P740" s="72"/>
      <c r="Q740" s="72"/>
      <c r="R740" s="78"/>
      <c r="S740" s="72"/>
      <c r="T740" s="72"/>
      <c r="U740" s="72"/>
      <c r="V740" s="72"/>
      <c r="W740" s="72"/>
      <c r="X740" s="72"/>
      <c r="Y740" s="72"/>
      <c r="Z740" s="72"/>
      <c r="AA740" s="79"/>
      <c r="AB740" s="79"/>
      <c r="AC740" s="79"/>
      <c r="AD740" s="79"/>
      <c r="AE740" s="79"/>
    </row>
    <row r="741" spans="1:31" ht="16.5" x14ac:dyDescent="0.35">
      <c r="A741" s="71">
        <v>735</v>
      </c>
      <c r="B741" s="72">
        <v>2005222831</v>
      </c>
      <c r="C741" s="80" t="s">
        <v>361</v>
      </c>
      <c r="D741" s="81" t="s">
        <v>362</v>
      </c>
      <c r="E741" s="72" t="s">
        <v>360</v>
      </c>
      <c r="F741" s="76">
        <v>2</v>
      </c>
      <c r="G741" s="72" t="s">
        <v>925</v>
      </c>
      <c r="H741" s="78">
        <v>45440</v>
      </c>
      <c r="I741" s="72" t="s">
        <v>1299</v>
      </c>
      <c r="J741" s="72">
        <v>6.5</v>
      </c>
      <c r="K741" s="72"/>
      <c r="L741" s="72" t="s">
        <v>1300</v>
      </c>
      <c r="M741" s="78">
        <v>45448</v>
      </c>
      <c r="N741" s="72" t="s">
        <v>1299</v>
      </c>
      <c r="O741" s="72">
        <v>5.5</v>
      </c>
      <c r="P741" s="72"/>
      <c r="Q741" s="72"/>
      <c r="R741" s="78"/>
      <c r="S741" s="72"/>
      <c r="T741" s="72"/>
      <c r="U741" s="72"/>
      <c r="V741" s="72"/>
      <c r="W741" s="72"/>
      <c r="X741" s="72"/>
      <c r="Y741" s="72"/>
      <c r="Z741" s="72"/>
      <c r="AA741" s="79"/>
      <c r="AB741" s="79"/>
      <c r="AC741" s="79"/>
      <c r="AD741" s="79"/>
      <c r="AE741" s="79"/>
    </row>
    <row r="742" spans="1:31" ht="16.5" x14ac:dyDescent="0.35">
      <c r="A742" s="71">
        <v>736</v>
      </c>
      <c r="B742" s="72">
        <v>2005222885</v>
      </c>
      <c r="C742" s="80" t="s">
        <v>364</v>
      </c>
      <c r="D742" s="81" t="s">
        <v>92</v>
      </c>
      <c r="E742" s="72" t="s">
        <v>360</v>
      </c>
      <c r="F742" s="76">
        <v>3</v>
      </c>
      <c r="G742" s="79" t="s">
        <v>925</v>
      </c>
      <c r="H742" s="83">
        <v>45440</v>
      </c>
      <c r="I742" s="79" t="s">
        <v>1299</v>
      </c>
      <c r="J742" s="79">
        <v>7</v>
      </c>
      <c r="K742" s="79"/>
      <c r="L742" s="79" t="s">
        <v>1300</v>
      </c>
      <c r="M742" s="83">
        <v>45436</v>
      </c>
      <c r="N742" s="79" t="s">
        <v>1299</v>
      </c>
      <c r="O742" s="79">
        <v>6</v>
      </c>
      <c r="P742" s="79"/>
      <c r="Q742" s="79" t="s">
        <v>1300</v>
      </c>
      <c r="R742" s="83">
        <v>45448</v>
      </c>
      <c r="S742" s="79" t="s">
        <v>1299</v>
      </c>
      <c r="T742" s="79">
        <v>5</v>
      </c>
      <c r="U742" s="79"/>
      <c r="V742" s="79"/>
      <c r="W742" s="79"/>
      <c r="X742" s="79"/>
      <c r="Y742" s="79"/>
      <c r="Z742" s="72"/>
      <c r="AA742" s="79"/>
      <c r="AB742" s="79"/>
      <c r="AC742" s="79"/>
      <c r="AD742" s="79"/>
      <c r="AE742" s="79"/>
    </row>
    <row r="743" spans="1:31" ht="16.5" x14ac:dyDescent="0.35">
      <c r="A743" s="71">
        <v>737</v>
      </c>
      <c r="B743" s="72">
        <v>2005222868</v>
      </c>
      <c r="C743" s="80" t="s">
        <v>414</v>
      </c>
      <c r="D743" s="81" t="s">
        <v>92</v>
      </c>
      <c r="E743" s="72" t="s">
        <v>360</v>
      </c>
      <c r="F743" s="76">
        <v>2</v>
      </c>
      <c r="G743" s="72" t="s">
        <v>1304</v>
      </c>
      <c r="H743" s="78">
        <v>45628</v>
      </c>
      <c r="I743" s="72" t="s">
        <v>1299</v>
      </c>
      <c r="J743" s="72">
        <v>9.5</v>
      </c>
      <c r="K743" s="72"/>
      <c r="L743" s="72" t="s">
        <v>924</v>
      </c>
      <c r="M743" s="78">
        <v>45645</v>
      </c>
      <c r="N743" s="72" t="s">
        <v>1299</v>
      </c>
      <c r="O743" s="72">
        <v>9</v>
      </c>
      <c r="P743" s="72"/>
      <c r="Q743" s="72"/>
      <c r="R743" s="78"/>
      <c r="S743" s="72"/>
      <c r="T743" s="72"/>
      <c r="U743" s="72"/>
      <c r="V743" s="72"/>
      <c r="W743" s="72"/>
      <c r="X743" s="72"/>
      <c r="Y743" s="72"/>
      <c r="Z743" s="72"/>
      <c r="AA743" s="79"/>
      <c r="AB743" s="79"/>
      <c r="AC743" s="79"/>
      <c r="AD743" s="79"/>
      <c r="AE743" s="79"/>
    </row>
    <row r="744" spans="1:31" ht="16.5" x14ac:dyDescent="0.35">
      <c r="A744" s="71">
        <v>738</v>
      </c>
      <c r="B744" s="72">
        <v>2005222898</v>
      </c>
      <c r="C744" s="80" t="s">
        <v>415</v>
      </c>
      <c r="D744" s="81" t="s">
        <v>92</v>
      </c>
      <c r="E744" s="72" t="s">
        <v>360</v>
      </c>
      <c r="F744" s="76">
        <v>2</v>
      </c>
      <c r="G744" s="72" t="s">
        <v>925</v>
      </c>
      <c r="H744" s="78">
        <v>45636</v>
      </c>
      <c r="I744" s="72" t="s">
        <v>1299</v>
      </c>
      <c r="J744" s="72">
        <v>7</v>
      </c>
      <c r="K744" s="72"/>
      <c r="L744" s="72" t="s">
        <v>924</v>
      </c>
      <c r="M744" s="78">
        <v>45787</v>
      </c>
      <c r="N744" s="72" t="s">
        <v>1299</v>
      </c>
      <c r="O744" s="72">
        <v>10</v>
      </c>
      <c r="P744" s="72"/>
      <c r="Q744" s="72"/>
      <c r="R744" s="78"/>
      <c r="S744" s="72"/>
      <c r="T744" s="72"/>
      <c r="U744" s="72"/>
      <c r="V744" s="72"/>
      <c r="W744" s="72"/>
      <c r="X744" s="72"/>
      <c r="Y744" s="72"/>
      <c r="Z744" s="72"/>
      <c r="AA744" s="79"/>
      <c r="AB744" s="79"/>
      <c r="AC744" s="79"/>
      <c r="AD744" s="79"/>
      <c r="AE744" s="79"/>
    </row>
    <row r="745" spans="1:31" ht="16.5" x14ac:dyDescent="0.35">
      <c r="A745" s="71">
        <v>739</v>
      </c>
      <c r="B745" s="72">
        <v>2005222907</v>
      </c>
      <c r="C745" s="80" t="s">
        <v>413</v>
      </c>
      <c r="D745" s="81" t="s">
        <v>92</v>
      </c>
      <c r="E745" s="72" t="s">
        <v>360</v>
      </c>
      <c r="F745" s="76">
        <v>3</v>
      </c>
      <c r="G745" s="72" t="s">
        <v>1304</v>
      </c>
      <c r="H745" s="78">
        <v>45628</v>
      </c>
      <c r="I745" s="72" t="s">
        <v>1299</v>
      </c>
      <c r="J745" s="72">
        <v>6.5</v>
      </c>
      <c r="K745" s="72"/>
      <c r="L745" s="72" t="s">
        <v>1301</v>
      </c>
      <c r="M745" s="78">
        <v>45757</v>
      </c>
      <c r="N745" s="72" t="s">
        <v>1299</v>
      </c>
      <c r="O745" s="72">
        <v>9.5</v>
      </c>
      <c r="P745" s="72"/>
      <c r="Q745" s="72" t="s">
        <v>1300</v>
      </c>
      <c r="R745" s="78">
        <v>45791</v>
      </c>
      <c r="S745" s="72" t="s">
        <v>1299</v>
      </c>
      <c r="T745" s="72">
        <v>8.5</v>
      </c>
      <c r="U745" s="72"/>
      <c r="V745" s="72"/>
      <c r="W745" s="72"/>
      <c r="X745" s="72"/>
      <c r="Y745" s="72"/>
      <c r="Z745" s="72"/>
      <c r="AA745" s="79"/>
      <c r="AB745" s="79"/>
      <c r="AC745" s="79"/>
      <c r="AD745" s="79"/>
      <c r="AE745" s="79"/>
    </row>
    <row r="746" spans="1:31" ht="16.5" x14ac:dyDescent="0.35">
      <c r="A746" s="71">
        <v>740</v>
      </c>
      <c r="B746" s="72">
        <v>2005223081</v>
      </c>
      <c r="C746" s="80" t="s">
        <v>376</v>
      </c>
      <c r="D746" s="81" t="s">
        <v>51</v>
      </c>
      <c r="E746" s="72" t="s">
        <v>360</v>
      </c>
      <c r="F746" s="76">
        <v>2</v>
      </c>
      <c r="G746" s="72" t="s">
        <v>925</v>
      </c>
      <c r="H746" s="78">
        <v>45440</v>
      </c>
      <c r="I746" s="72" t="s">
        <v>1299</v>
      </c>
      <c r="J746" s="72">
        <v>8</v>
      </c>
      <c r="K746" s="72">
        <v>1</v>
      </c>
      <c r="L746" s="72" t="s">
        <v>1300</v>
      </c>
      <c r="M746" s="78">
        <v>45436</v>
      </c>
      <c r="N746" s="72" t="s">
        <v>1299</v>
      </c>
      <c r="O746" s="72">
        <v>5.5</v>
      </c>
      <c r="P746" s="72"/>
      <c r="Q746" s="72"/>
      <c r="R746" s="78"/>
      <c r="S746" s="72"/>
      <c r="T746" s="72"/>
      <c r="U746" s="72"/>
      <c r="V746" s="72"/>
      <c r="W746" s="72"/>
      <c r="X746" s="72"/>
      <c r="Y746" s="72"/>
      <c r="Z746" s="72"/>
      <c r="AA746" s="79"/>
      <c r="AB746" s="79"/>
      <c r="AC746" s="79"/>
      <c r="AD746" s="79"/>
      <c r="AE746" s="79"/>
    </row>
    <row r="747" spans="1:31" ht="16.5" x14ac:dyDescent="0.35">
      <c r="A747" s="71">
        <v>741</v>
      </c>
      <c r="B747" s="72">
        <v>2005223067</v>
      </c>
      <c r="C747" s="80" t="s">
        <v>417</v>
      </c>
      <c r="D747" s="81" t="s">
        <v>51</v>
      </c>
      <c r="E747" s="72" t="s">
        <v>360</v>
      </c>
      <c r="F747" s="76">
        <v>2</v>
      </c>
      <c r="G747" s="72" t="s">
        <v>925</v>
      </c>
      <c r="H747" s="78">
        <v>45757</v>
      </c>
      <c r="I747" s="72" t="s">
        <v>1299</v>
      </c>
      <c r="J747" s="72">
        <v>8</v>
      </c>
      <c r="K747" s="72"/>
      <c r="L747" s="72" t="s">
        <v>924</v>
      </c>
      <c r="M747" s="78">
        <v>45803</v>
      </c>
      <c r="N747" s="72" t="s">
        <v>1299</v>
      </c>
      <c r="O747" s="72">
        <v>8</v>
      </c>
      <c r="P747" s="72"/>
      <c r="Q747" s="72"/>
      <c r="R747" s="78"/>
      <c r="S747" s="72"/>
      <c r="T747" s="72"/>
      <c r="U747" s="72"/>
      <c r="V747" s="72"/>
      <c r="W747" s="72"/>
      <c r="X747" s="72"/>
      <c r="Y747" s="72"/>
      <c r="Z747" s="72"/>
      <c r="AA747" s="79"/>
      <c r="AB747" s="79"/>
      <c r="AC747" s="79"/>
      <c r="AD747" s="79"/>
      <c r="AE747" s="79"/>
    </row>
    <row r="748" spans="1:31" ht="16.5" x14ac:dyDescent="0.35">
      <c r="A748" s="71">
        <v>742</v>
      </c>
      <c r="B748" s="72">
        <v>2005223226</v>
      </c>
      <c r="C748" s="80" t="s">
        <v>366</v>
      </c>
      <c r="D748" s="81" t="s">
        <v>367</v>
      </c>
      <c r="E748" s="72" t="s">
        <v>360</v>
      </c>
      <c r="F748" s="76">
        <v>4</v>
      </c>
      <c r="G748" s="72" t="s">
        <v>1298</v>
      </c>
      <c r="H748" s="78">
        <v>45632</v>
      </c>
      <c r="I748" s="72" t="s">
        <v>1299</v>
      </c>
      <c r="J748" s="72">
        <v>9</v>
      </c>
      <c r="K748" s="72"/>
      <c r="L748" s="72" t="s">
        <v>1300</v>
      </c>
      <c r="M748" s="78">
        <v>45744</v>
      </c>
      <c r="N748" s="72" t="s">
        <v>1299</v>
      </c>
      <c r="O748" s="72">
        <v>8.5</v>
      </c>
      <c r="P748" s="72"/>
      <c r="Q748" s="72" t="s">
        <v>924</v>
      </c>
      <c r="R748" s="78">
        <v>45798</v>
      </c>
      <c r="S748" s="72" t="s">
        <v>1299</v>
      </c>
      <c r="T748" s="72">
        <v>8.5</v>
      </c>
      <c r="U748" s="72"/>
      <c r="V748" s="72" t="s">
        <v>2042</v>
      </c>
      <c r="W748" s="78">
        <v>45672</v>
      </c>
      <c r="X748" s="72" t="s">
        <v>1299</v>
      </c>
      <c r="Y748" s="72">
        <v>9</v>
      </c>
      <c r="Z748" s="72"/>
      <c r="AA748" s="79"/>
      <c r="AB748" s="79"/>
      <c r="AC748" s="79"/>
      <c r="AD748" s="79"/>
      <c r="AE748" s="79"/>
    </row>
    <row r="749" spans="1:31" ht="16.5" x14ac:dyDescent="0.35">
      <c r="A749" s="71">
        <v>743</v>
      </c>
      <c r="B749" s="72">
        <v>2005223276</v>
      </c>
      <c r="C749" s="80" t="s">
        <v>380</v>
      </c>
      <c r="D749" s="81" t="s">
        <v>381</v>
      </c>
      <c r="E749" s="72" t="s">
        <v>360</v>
      </c>
      <c r="F749" s="76">
        <v>2</v>
      </c>
      <c r="G749" s="72" t="s">
        <v>1300</v>
      </c>
      <c r="H749" s="78">
        <v>45737</v>
      </c>
      <c r="I749" s="72" t="s">
        <v>1299</v>
      </c>
      <c r="J749" s="72">
        <v>7.5</v>
      </c>
      <c r="K749" s="72"/>
      <c r="L749" s="72" t="s">
        <v>924</v>
      </c>
      <c r="M749" s="78">
        <v>45776</v>
      </c>
      <c r="N749" s="72" t="s">
        <v>1299</v>
      </c>
      <c r="O749" s="72">
        <v>7</v>
      </c>
      <c r="P749" s="72"/>
      <c r="Q749" s="72"/>
      <c r="R749" s="78"/>
      <c r="S749" s="72"/>
      <c r="T749" s="72"/>
      <c r="U749" s="72"/>
      <c r="V749" s="72"/>
      <c r="W749" s="72"/>
      <c r="X749" s="72"/>
      <c r="Y749" s="72"/>
      <c r="Z749" s="72"/>
      <c r="AA749" s="79"/>
      <c r="AB749" s="79"/>
      <c r="AC749" s="79"/>
      <c r="AD749" s="79"/>
      <c r="AE749" s="79"/>
    </row>
    <row r="750" spans="1:31" ht="16.5" x14ac:dyDescent="0.35">
      <c r="A750" s="71">
        <v>744</v>
      </c>
      <c r="B750" s="72">
        <v>2005223303</v>
      </c>
      <c r="C750" s="80" t="s">
        <v>418</v>
      </c>
      <c r="D750" s="81" t="s">
        <v>76</v>
      </c>
      <c r="E750" s="72" t="s">
        <v>360</v>
      </c>
      <c r="F750" s="76">
        <v>3</v>
      </c>
      <c r="G750" s="72" t="s">
        <v>1300</v>
      </c>
      <c r="H750" s="78">
        <v>45742</v>
      </c>
      <c r="I750" s="72" t="s">
        <v>1299</v>
      </c>
      <c r="J750" s="72">
        <v>8</v>
      </c>
      <c r="K750" s="72"/>
      <c r="L750" s="72" t="s">
        <v>924</v>
      </c>
      <c r="M750" s="78">
        <v>45787</v>
      </c>
      <c r="N750" s="72" t="s">
        <v>1299</v>
      </c>
      <c r="O750" s="72">
        <v>8.5</v>
      </c>
      <c r="P750" s="72"/>
      <c r="Q750" s="72" t="s">
        <v>925</v>
      </c>
      <c r="R750" s="78">
        <v>45818</v>
      </c>
      <c r="S750" s="72" t="s">
        <v>1299</v>
      </c>
      <c r="T750" s="72">
        <v>8.5</v>
      </c>
      <c r="U750" s="72"/>
      <c r="V750" s="72"/>
      <c r="W750" s="72"/>
      <c r="X750" s="72"/>
      <c r="Y750" s="72"/>
      <c r="Z750" s="72"/>
      <c r="AA750" s="79"/>
      <c r="AB750" s="79"/>
      <c r="AC750" s="79"/>
      <c r="AD750" s="79"/>
      <c r="AE750" s="79"/>
    </row>
    <row r="751" spans="1:31" ht="16.5" x14ac:dyDescent="0.35">
      <c r="A751" s="71">
        <v>745</v>
      </c>
      <c r="B751" s="72">
        <v>2005223323</v>
      </c>
      <c r="C751" s="80" t="s">
        <v>377</v>
      </c>
      <c r="D751" s="81" t="s">
        <v>76</v>
      </c>
      <c r="E751" s="72" t="s">
        <v>360</v>
      </c>
      <c r="F751" s="76">
        <v>3</v>
      </c>
      <c r="G751" s="72" t="s">
        <v>1300</v>
      </c>
      <c r="H751" s="78">
        <v>45737</v>
      </c>
      <c r="I751" s="72" t="s">
        <v>1299</v>
      </c>
      <c r="J751" s="72">
        <v>8.5</v>
      </c>
      <c r="K751" s="72"/>
      <c r="L751" s="72" t="s">
        <v>925</v>
      </c>
      <c r="M751" s="78">
        <v>45757</v>
      </c>
      <c r="N751" s="72" t="s">
        <v>1299</v>
      </c>
      <c r="O751" s="72">
        <v>8</v>
      </c>
      <c r="P751" s="72"/>
      <c r="Q751" s="72" t="s">
        <v>924</v>
      </c>
      <c r="R751" s="78">
        <v>45786</v>
      </c>
      <c r="S751" s="72" t="s">
        <v>1299</v>
      </c>
      <c r="T751" s="72">
        <v>8.5</v>
      </c>
      <c r="U751" s="72"/>
      <c r="V751" s="72"/>
      <c r="W751" s="72"/>
      <c r="X751" s="72"/>
      <c r="Y751" s="72"/>
      <c r="Z751" s="72"/>
      <c r="AA751" s="79"/>
      <c r="AB751" s="79"/>
      <c r="AC751" s="79"/>
      <c r="AD751" s="79"/>
      <c r="AE751" s="79"/>
    </row>
    <row r="752" spans="1:31" ht="16.5" x14ac:dyDescent="0.35">
      <c r="A752" s="71">
        <v>746</v>
      </c>
      <c r="B752" s="72">
        <v>2005223446</v>
      </c>
      <c r="C752" s="80" t="s">
        <v>223</v>
      </c>
      <c r="D752" s="81" t="s">
        <v>803</v>
      </c>
      <c r="E752" s="72" t="s">
        <v>360</v>
      </c>
      <c r="F752" s="76">
        <v>2</v>
      </c>
      <c r="G752" s="72" t="s">
        <v>1300</v>
      </c>
      <c r="H752" s="78">
        <v>45455</v>
      </c>
      <c r="I752" s="72" t="s">
        <v>1299</v>
      </c>
      <c r="J752" s="72">
        <v>6.5</v>
      </c>
      <c r="K752" s="72"/>
      <c r="L752" s="72" t="s">
        <v>924</v>
      </c>
      <c r="M752" s="78">
        <v>45637</v>
      </c>
      <c r="N752" s="72" t="s">
        <v>1299</v>
      </c>
      <c r="O752" s="72">
        <v>8.5</v>
      </c>
      <c r="P752" s="72"/>
      <c r="Q752" s="72"/>
      <c r="R752" s="78"/>
      <c r="S752" s="72"/>
      <c r="T752" s="72"/>
      <c r="U752" s="72"/>
      <c r="V752" s="72"/>
      <c r="W752" s="72"/>
      <c r="X752" s="72"/>
      <c r="Y752" s="72"/>
      <c r="Z752" s="72"/>
      <c r="AA752" s="79"/>
      <c r="AB752" s="79"/>
      <c r="AC752" s="79"/>
      <c r="AD752" s="79"/>
      <c r="AE752" s="79"/>
    </row>
    <row r="753" spans="1:31" ht="16.5" x14ac:dyDescent="0.35">
      <c r="A753" s="71">
        <v>747</v>
      </c>
      <c r="B753" s="72">
        <v>2005223471</v>
      </c>
      <c r="C753" s="80" t="s">
        <v>420</v>
      </c>
      <c r="D753" s="81" t="s">
        <v>318</v>
      </c>
      <c r="E753" s="72" t="s">
        <v>360</v>
      </c>
      <c r="F753" s="76">
        <v>3</v>
      </c>
      <c r="G753" s="72" t="s">
        <v>1300</v>
      </c>
      <c r="H753" s="78">
        <v>45737</v>
      </c>
      <c r="I753" s="72" t="s">
        <v>1299</v>
      </c>
      <c r="J753" s="72">
        <v>8.5</v>
      </c>
      <c r="K753" s="72"/>
      <c r="L753" s="72" t="s">
        <v>1301</v>
      </c>
      <c r="M753" s="78">
        <v>45785</v>
      </c>
      <c r="N753" s="72" t="s">
        <v>1299</v>
      </c>
      <c r="O753" s="72">
        <v>9</v>
      </c>
      <c r="P753" s="72"/>
      <c r="Q753" s="72" t="s">
        <v>924</v>
      </c>
      <c r="R753" s="78">
        <v>45803</v>
      </c>
      <c r="S753" s="72" t="s">
        <v>1299</v>
      </c>
      <c r="T753" s="72">
        <v>9</v>
      </c>
      <c r="U753" s="72"/>
      <c r="V753" s="72"/>
      <c r="W753" s="72"/>
      <c r="X753" s="72"/>
      <c r="Y753" s="72"/>
      <c r="Z753" s="72"/>
      <c r="AA753" s="79"/>
      <c r="AB753" s="79"/>
      <c r="AC753" s="79"/>
      <c r="AD753" s="79"/>
      <c r="AE753" s="79"/>
    </row>
    <row r="754" spans="1:31" ht="16.5" x14ac:dyDescent="0.35">
      <c r="A754" s="71">
        <v>748</v>
      </c>
      <c r="B754" s="72">
        <v>2005223583</v>
      </c>
      <c r="C754" s="80" t="s">
        <v>383</v>
      </c>
      <c r="D754" s="81" t="s">
        <v>303</v>
      </c>
      <c r="E754" s="72" t="s">
        <v>360</v>
      </c>
      <c r="F754" s="76">
        <v>1</v>
      </c>
      <c r="G754" s="72" t="s">
        <v>1300</v>
      </c>
      <c r="H754" s="78">
        <v>45737</v>
      </c>
      <c r="I754" s="72" t="s">
        <v>1299</v>
      </c>
      <c r="J754" s="72">
        <v>6.5</v>
      </c>
      <c r="K754" s="72"/>
      <c r="L754" s="72"/>
      <c r="M754" s="72"/>
      <c r="N754" s="72"/>
      <c r="O754" s="72"/>
      <c r="P754" s="72"/>
      <c r="Q754" s="72"/>
      <c r="R754" s="78"/>
      <c r="S754" s="72"/>
      <c r="T754" s="72"/>
      <c r="U754" s="72"/>
      <c r="V754" s="72"/>
      <c r="W754" s="72"/>
      <c r="X754" s="72"/>
      <c r="Y754" s="72"/>
      <c r="Z754" s="72"/>
      <c r="AA754" s="79"/>
      <c r="AB754" s="79"/>
      <c r="AC754" s="79"/>
      <c r="AD754" s="79"/>
      <c r="AE754" s="79"/>
    </row>
    <row r="755" spans="1:31" ht="16.5" x14ac:dyDescent="0.35">
      <c r="A755" s="71">
        <v>749</v>
      </c>
      <c r="B755" s="72">
        <v>2005223596</v>
      </c>
      <c r="C755" s="80" t="s">
        <v>421</v>
      </c>
      <c r="D755" s="81" t="s">
        <v>303</v>
      </c>
      <c r="E755" s="72" t="s">
        <v>360</v>
      </c>
      <c r="F755" s="76">
        <v>2</v>
      </c>
      <c r="G755" s="72" t="s">
        <v>1300</v>
      </c>
      <c r="H755" s="78">
        <v>45448</v>
      </c>
      <c r="I755" s="72" t="s">
        <v>1299</v>
      </c>
      <c r="J755" s="72">
        <v>5.5</v>
      </c>
      <c r="K755" s="72"/>
      <c r="L755" s="72" t="s">
        <v>925</v>
      </c>
      <c r="M755" s="78">
        <v>45797</v>
      </c>
      <c r="N755" s="72" t="s">
        <v>1299</v>
      </c>
      <c r="O755" s="72">
        <v>8.5</v>
      </c>
      <c r="P755" s="72"/>
      <c r="Q755" s="72"/>
      <c r="R755" s="78"/>
      <c r="S755" s="72"/>
      <c r="T755" s="72"/>
      <c r="U755" s="72"/>
      <c r="V755" s="72"/>
      <c r="W755" s="72"/>
      <c r="X755" s="72"/>
      <c r="Y755" s="72"/>
      <c r="Z755" s="72"/>
      <c r="AA755" s="79"/>
      <c r="AB755" s="79"/>
      <c r="AC755" s="79"/>
      <c r="AD755" s="79"/>
      <c r="AE755" s="79"/>
    </row>
    <row r="756" spans="1:31" ht="16.5" x14ac:dyDescent="0.35">
      <c r="A756" s="71">
        <v>750</v>
      </c>
      <c r="B756" s="72">
        <v>2005223603</v>
      </c>
      <c r="C756" s="80" t="s">
        <v>113</v>
      </c>
      <c r="D756" s="81" t="s">
        <v>303</v>
      </c>
      <c r="E756" s="72" t="s">
        <v>360</v>
      </c>
      <c r="F756" s="76">
        <v>4</v>
      </c>
      <c r="G756" s="72" t="s">
        <v>1298</v>
      </c>
      <c r="H756" s="78">
        <v>45632</v>
      </c>
      <c r="I756" s="72" t="s">
        <v>1299</v>
      </c>
      <c r="J756" s="72">
        <v>8.5</v>
      </c>
      <c r="K756" s="72"/>
      <c r="L756" s="72" t="s">
        <v>1301</v>
      </c>
      <c r="M756" s="78">
        <v>45757</v>
      </c>
      <c r="N756" s="72" t="s">
        <v>1299</v>
      </c>
      <c r="O756" s="72">
        <v>9.5</v>
      </c>
      <c r="P756" s="72"/>
      <c r="Q756" s="72" t="s">
        <v>1300</v>
      </c>
      <c r="R756" s="78">
        <v>45744</v>
      </c>
      <c r="S756" s="72" t="s">
        <v>1299</v>
      </c>
      <c r="T756" s="72">
        <v>8.5</v>
      </c>
      <c r="U756" s="72"/>
      <c r="V756" s="72" t="s">
        <v>2042</v>
      </c>
      <c r="W756" s="78">
        <v>45672</v>
      </c>
      <c r="X756" s="72" t="s">
        <v>1299</v>
      </c>
      <c r="Y756" s="72">
        <v>8.5</v>
      </c>
      <c r="Z756" s="72"/>
      <c r="AA756" s="79"/>
      <c r="AB756" s="79"/>
      <c r="AC756" s="79"/>
      <c r="AD756" s="79"/>
      <c r="AE756" s="79"/>
    </row>
    <row r="757" spans="1:31" ht="16.5" x14ac:dyDescent="0.35">
      <c r="A757" s="71">
        <v>751</v>
      </c>
      <c r="B757" s="72">
        <v>2005223911</v>
      </c>
      <c r="C757" s="80" t="s">
        <v>1243</v>
      </c>
      <c r="D757" s="81" t="s">
        <v>1244</v>
      </c>
      <c r="E757" s="72" t="s">
        <v>360</v>
      </c>
      <c r="F757" s="76">
        <v>0</v>
      </c>
      <c r="G757" s="72"/>
      <c r="H757" s="78"/>
      <c r="I757" s="72"/>
      <c r="J757" s="72"/>
      <c r="K757" s="72"/>
      <c r="L757" s="72"/>
      <c r="M757" s="72"/>
      <c r="N757" s="72"/>
      <c r="O757" s="72"/>
      <c r="P757" s="72"/>
      <c r="Q757" s="72"/>
      <c r="R757" s="78"/>
      <c r="S757" s="72"/>
      <c r="T757" s="72"/>
      <c r="U757" s="72"/>
      <c r="V757" s="72"/>
      <c r="W757" s="72"/>
      <c r="X757" s="72"/>
      <c r="Y757" s="72"/>
      <c r="Z757" s="72"/>
      <c r="AA757" s="79"/>
      <c r="AB757" s="79"/>
      <c r="AC757" s="79"/>
      <c r="AD757" s="79"/>
      <c r="AE757" s="79"/>
    </row>
    <row r="758" spans="1:31" ht="16.5" x14ac:dyDescent="0.35">
      <c r="A758" s="71">
        <v>752</v>
      </c>
      <c r="B758" s="72">
        <v>2005224152</v>
      </c>
      <c r="C758" s="80" t="s">
        <v>227</v>
      </c>
      <c r="D758" s="81" t="s">
        <v>422</v>
      </c>
      <c r="E758" s="72" t="s">
        <v>360</v>
      </c>
      <c r="F758" s="76">
        <v>2</v>
      </c>
      <c r="G758" s="72" t="s">
        <v>924</v>
      </c>
      <c r="H758" s="78">
        <v>45623</v>
      </c>
      <c r="I758" s="72" t="s">
        <v>1299</v>
      </c>
      <c r="J758" s="72">
        <v>7</v>
      </c>
      <c r="K758" s="72">
        <v>0.5</v>
      </c>
      <c r="L758" s="72" t="s">
        <v>925</v>
      </c>
      <c r="M758" s="78">
        <v>45769</v>
      </c>
      <c r="N758" s="72" t="s">
        <v>1299</v>
      </c>
      <c r="O758" s="72">
        <v>9</v>
      </c>
      <c r="P758" s="72"/>
      <c r="Q758" s="72"/>
      <c r="R758" s="78"/>
      <c r="S758" s="72"/>
      <c r="T758" s="72"/>
      <c r="U758" s="72"/>
      <c r="V758" s="72"/>
      <c r="W758" s="72"/>
      <c r="X758" s="72"/>
      <c r="Y758" s="72"/>
      <c r="Z758" s="72"/>
      <c r="AA758" s="79"/>
      <c r="AB758" s="79"/>
      <c r="AC758" s="79"/>
      <c r="AD758" s="79"/>
      <c r="AE758" s="79"/>
    </row>
    <row r="759" spans="1:31" ht="16.5" x14ac:dyDescent="0.35">
      <c r="A759" s="71">
        <v>753</v>
      </c>
      <c r="B759" s="72">
        <v>2005224170</v>
      </c>
      <c r="C759" s="80" t="s">
        <v>424</v>
      </c>
      <c r="D759" s="81" t="s">
        <v>425</v>
      </c>
      <c r="E759" s="72" t="s">
        <v>360</v>
      </c>
      <c r="F759" s="76">
        <v>4</v>
      </c>
      <c r="G759" s="72" t="s">
        <v>1298</v>
      </c>
      <c r="H759" s="78">
        <v>45632</v>
      </c>
      <c r="I759" s="72" t="s">
        <v>1299</v>
      </c>
      <c r="J759" s="72">
        <v>9</v>
      </c>
      <c r="K759" s="72"/>
      <c r="L759" s="72" t="s">
        <v>1301</v>
      </c>
      <c r="M759" s="78">
        <v>45785</v>
      </c>
      <c r="N759" s="72" t="s">
        <v>1299</v>
      </c>
      <c r="O759" s="72">
        <v>7.5</v>
      </c>
      <c r="P759" s="72"/>
      <c r="Q759" s="72" t="s">
        <v>925</v>
      </c>
      <c r="R759" s="78">
        <v>45818</v>
      </c>
      <c r="S759" s="72" t="s">
        <v>1299</v>
      </c>
      <c r="T759" s="72">
        <v>9.5</v>
      </c>
      <c r="U759" s="72"/>
      <c r="V759" s="72" t="s">
        <v>2042</v>
      </c>
      <c r="W759" s="78">
        <v>45672</v>
      </c>
      <c r="X759" s="72" t="s">
        <v>1299</v>
      </c>
      <c r="Y759" s="72">
        <v>9</v>
      </c>
      <c r="Z759" s="72"/>
      <c r="AA759" s="79"/>
      <c r="AB759" s="79"/>
      <c r="AC759" s="79"/>
      <c r="AD759" s="79"/>
      <c r="AE759" s="79"/>
    </row>
    <row r="760" spans="1:31" ht="16.5" x14ac:dyDescent="0.35">
      <c r="A760" s="71">
        <v>754</v>
      </c>
      <c r="B760" s="72">
        <v>2005224639</v>
      </c>
      <c r="C760" s="80" t="s">
        <v>1245</v>
      </c>
      <c r="D760" s="81" t="s">
        <v>183</v>
      </c>
      <c r="E760" s="72" t="s">
        <v>360</v>
      </c>
      <c r="F760" s="76">
        <v>1</v>
      </c>
      <c r="G760" s="72" t="s">
        <v>925</v>
      </c>
      <c r="H760" s="78">
        <v>45818</v>
      </c>
      <c r="I760" s="72" t="s">
        <v>1299</v>
      </c>
      <c r="J760" s="72">
        <v>7.5</v>
      </c>
      <c r="K760" s="72"/>
      <c r="L760" s="72"/>
      <c r="M760" s="72"/>
      <c r="N760" s="72"/>
      <c r="O760" s="72"/>
      <c r="P760" s="72"/>
      <c r="Q760" s="72"/>
      <c r="R760" s="78"/>
      <c r="S760" s="72"/>
      <c r="T760" s="72"/>
      <c r="U760" s="72"/>
      <c r="V760" s="72"/>
      <c r="W760" s="72"/>
      <c r="X760" s="72"/>
      <c r="Y760" s="72"/>
      <c r="Z760" s="72"/>
      <c r="AA760" s="79"/>
      <c r="AB760" s="79"/>
      <c r="AC760" s="79"/>
      <c r="AD760" s="79"/>
      <c r="AE760" s="79"/>
    </row>
    <row r="761" spans="1:31" ht="16.5" x14ac:dyDescent="0.35">
      <c r="A761" s="71">
        <v>755</v>
      </c>
      <c r="B761" s="72">
        <v>2005224830</v>
      </c>
      <c r="C761" s="80" t="s">
        <v>293</v>
      </c>
      <c r="D761" s="81" t="s">
        <v>426</v>
      </c>
      <c r="E761" s="72" t="s">
        <v>360</v>
      </c>
      <c r="F761" s="76">
        <v>4</v>
      </c>
      <c r="G761" s="72" t="s">
        <v>925</v>
      </c>
      <c r="H761" s="78">
        <v>45405</v>
      </c>
      <c r="I761" s="72" t="s">
        <v>1299</v>
      </c>
      <c r="J761" s="72">
        <v>7</v>
      </c>
      <c r="K761" s="72"/>
      <c r="L761" s="72" t="s">
        <v>925</v>
      </c>
      <c r="M761" s="78">
        <v>45433</v>
      </c>
      <c r="N761" s="72" t="s">
        <v>1299</v>
      </c>
      <c r="O761" s="72">
        <v>6.5</v>
      </c>
      <c r="P761" s="72"/>
      <c r="Q761" s="72" t="s">
        <v>924</v>
      </c>
      <c r="R761" s="78">
        <v>45645</v>
      </c>
      <c r="S761" s="72" t="s">
        <v>1299</v>
      </c>
      <c r="T761" s="72">
        <v>9</v>
      </c>
      <c r="U761" s="72">
        <v>0.5</v>
      </c>
      <c r="V761" s="72" t="s">
        <v>1301</v>
      </c>
      <c r="W761" s="78">
        <v>45783</v>
      </c>
      <c r="X761" s="72" t="s">
        <v>1299</v>
      </c>
      <c r="Y761" s="72">
        <v>9.5</v>
      </c>
      <c r="Z761" s="72">
        <v>0.5</v>
      </c>
      <c r="AA761" s="79"/>
      <c r="AB761" s="79"/>
      <c r="AC761" s="79"/>
      <c r="AD761" s="79"/>
      <c r="AE761" s="79"/>
    </row>
    <row r="762" spans="1:31" ht="16.5" x14ac:dyDescent="0.35">
      <c r="A762" s="71">
        <v>756</v>
      </c>
      <c r="B762" s="72">
        <v>2005225101</v>
      </c>
      <c r="C762" s="80" t="s">
        <v>364</v>
      </c>
      <c r="D762" s="81" t="s">
        <v>125</v>
      </c>
      <c r="E762" s="72" t="s">
        <v>360</v>
      </c>
      <c r="F762" s="76">
        <v>3</v>
      </c>
      <c r="G762" s="72" t="s">
        <v>924</v>
      </c>
      <c r="H762" s="78">
        <v>45623</v>
      </c>
      <c r="I762" s="72" t="s">
        <v>1299</v>
      </c>
      <c r="J762" s="72">
        <v>6.5</v>
      </c>
      <c r="K762" s="72">
        <v>0.5</v>
      </c>
      <c r="L762" s="72" t="s">
        <v>1304</v>
      </c>
      <c r="M762" s="78">
        <v>45628</v>
      </c>
      <c r="N762" s="72" t="s">
        <v>1299</v>
      </c>
      <c r="O762" s="72">
        <v>9</v>
      </c>
      <c r="P762" s="72"/>
      <c r="Q762" s="72" t="s">
        <v>925</v>
      </c>
      <c r="R762" s="78">
        <v>45813</v>
      </c>
      <c r="S762" s="72" t="s">
        <v>1299</v>
      </c>
      <c r="T762" s="72">
        <v>8</v>
      </c>
      <c r="U762" s="72"/>
      <c r="V762" s="72"/>
      <c r="W762" s="72"/>
      <c r="X762" s="72"/>
      <c r="Y762" s="72"/>
      <c r="Z762" s="79"/>
      <c r="AA762" s="79"/>
      <c r="AB762" s="79"/>
      <c r="AC762" s="79"/>
      <c r="AD762" s="79"/>
      <c r="AE762" s="79"/>
    </row>
    <row r="763" spans="1:31" ht="16.5" x14ac:dyDescent="0.35">
      <c r="A763" s="71">
        <v>757</v>
      </c>
      <c r="B763" s="72">
        <v>2005225185</v>
      </c>
      <c r="C763" s="80" t="s">
        <v>427</v>
      </c>
      <c r="D763" s="81" t="s">
        <v>123</v>
      </c>
      <c r="E763" s="72" t="s">
        <v>360</v>
      </c>
      <c r="F763" s="76">
        <v>3</v>
      </c>
      <c r="G763" s="72" t="s">
        <v>924</v>
      </c>
      <c r="H763" s="78">
        <v>45623</v>
      </c>
      <c r="I763" s="72" t="s">
        <v>1299</v>
      </c>
      <c r="J763" s="72">
        <v>7</v>
      </c>
      <c r="K763" s="72">
        <v>0.5</v>
      </c>
      <c r="L763" s="72" t="s">
        <v>1300</v>
      </c>
      <c r="M763" s="78">
        <v>45631</v>
      </c>
      <c r="N763" s="72" t="s">
        <v>1299</v>
      </c>
      <c r="O763" s="72">
        <v>8.5</v>
      </c>
      <c r="P763" s="72"/>
      <c r="Q763" s="72" t="s">
        <v>1298</v>
      </c>
      <c r="R763" s="78">
        <v>45632</v>
      </c>
      <c r="S763" s="72" t="s">
        <v>1299</v>
      </c>
      <c r="T763" s="72">
        <v>7.5</v>
      </c>
      <c r="U763" s="72"/>
      <c r="V763" s="72"/>
      <c r="W763" s="72"/>
      <c r="X763" s="72"/>
      <c r="Y763" s="72"/>
      <c r="Z763" s="79"/>
      <c r="AA763" s="79"/>
      <c r="AB763" s="79"/>
      <c r="AC763" s="79"/>
      <c r="AD763" s="79"/>
      <c r="AE763" s="79"/>
    </row>
    <row r="764" spans="1:31" ht="16.5" x14ac:dyDescent="0.35">
      <c r="A764" s="71">
        <v>758</v>
      </c>
      <c r="B764" s="72">
        <v>2005225206</v>
      </c>
      <c r="C764" s="80" t="s">
        <v>293</v>
      </c>
      <c r="D764" s="81" t="s">
        <v>123</v>
      </c>
      <c r="E764" s="72" t="s">
        <v>360</v>
      </c>
      <c r="F764" s="76">
        <v>0</v>
      </c>
      <c r="G764" s="72"/>
      <c r="H764" s="78"/>
      <c r="I764" s="72"/>
      <c r="J764" s="72"/>
      <c r="K764" s="72"/>
      <c r="L764" s="72"/>
      <c r="M764" s="72"/>
      <c r="N764" s="72"/>
      <c r="O764" s="72"/>
      <c r="P764" s="72"/>
      <c r="Q764" s="72"/>
      <c r="R764" s="78"/>
      <c r="S764" s="72"/>
      <c r="T764" s="72"/>
      <c r="U764" s="72"/>
      <c r="V764" s="72"/>
      <c r="W764" s="72"/>
      <c r="X764" s="72"/>
      <c r="Y764" s="72"/>
      <c r="Z764" s="79"/>
      <c r="AA764" s="79"/>
      <c r="AB764" s="79"/>
      <c r="AC764" s="79"/>
      <c r="AD764" s="79"/>
      <c r="AE764" s="79"/>
    </row>
    <row r="765" spans="1:31" ht="16.5" x14ac:dyDescent="0.35">
      <c r="A765" s="71">
        <v>759</v>
      </c>
      <c r="B765" s="72">
        <v>2005225168</v>
      </c>
      <c r="C765" s="80" t="s">
        <v>429</v>
      </c>
      <c r="D765" s="81" t="s">
        <v>123</v>
      </c>
      <c r="E765" s="72" t="s">
        <v>360</v>
      </c>
      <c r="F765" s="76">
        <v>3</v>
      </c>
      <c r="G765" s="72" t="s">
        <v>925</v>
      </c>
      <c r="H765" s="78">
        <v>45636</v>
      </c>
      <c r="I765" s="72" t="s">
        <v>1299</v>
      </c>
      <c r="J765" s="72">
        <v>8</v>
      </c>
      <c r="K765" s="72"/>
      <c r="L765" s="72" t="s">
        <v>1301</v>
      </c>
      <c r="M765" s="78">
        <v>45757</v>
      </c>
      <c r="N765" s="72" t="s">
        <v>1299</v>
      </c>
      <c r="O765" s="72">
        <v>9.5</v>
      </c>
      <c r="P765" s="72"/>
      <c r="Q765" s="72" t="s">
        <v>1300</v>
      </c>
      <c r="R765" s="78">
        <v>45791</v>
      </c>
      <c r="S765" s="72" t="s">
        <v>1299</v>
      </c>
      <c r="T765" s="72">
        <v>8.5</v>
      </c>
      <c r="U765" s="72"/>
      <c r="V765" s="72"/>
      <c r="W765" s="72"/>
      <c r="X765" s="72"/>
      <c r="Y765" s="72"/>
      <c r="Z765" s="79"/>
      <c r="AA765" s="79"/>
      <c r="AB765" s="79"/>
      <c r="AC765" s="79"/>
      <c r="AD765" s="79"/>
      <c r="AE765" s="79"/>
    </row>
    <row r="766" spans="1:31" ht="16.5" x14ac:dyDescent="0.35">
      <c r="A766" s="71">
        <v>760</v>
      </c>
      <c r="B766" s="72">
        <v>2005225319</v>
      </c>
      <c r="C766" s="80" t="s">
        <v>431</v>
      </c>
      <c r="D766" s="81" t="s">
        <v>432</v>
      </c>
      <c r="E766" s="72" t="s">
        <v>360</v>
      </c>
      <c r="F766" s="76">
        <v>4</v>
      </c>
      <c r="G766" s="72" t="s">
        <v>1298</v>
      </c>
      <c r="H766" s="78">
        <v>45632</v>
      </c>
      <c r="I766" s="72" t="s">
        <v>1299</v>
      </c>
      <c r="J766" s="72">
        <v>9</v>
      </c>
      <c r="K766" s="72"/>
      <c r="L766" s="72" t="s">
        <v>1300</v>
      </c>
      <c r="M766" s="78">
        <v>45742</v>
      </c>
      <c r="N766" s="72" t="s">
        <v>1299</v>
      </c>
      <c r="O766" s="72">
        <v>8.5</v>
      </c>
      <c r="P766" s="72"/>
      <c r="Q766" s="72" t="s">
        <v>928</v>
      </c>
      <c r="R766" s="78">
        <v>45800</v>
      </c>
      <c r="S766" s="72" t="s">
        <v>1299</v>
      </c>
      <c r="T766" s="72">
        <v>9.5</v>
      </c>
      <c r="U766" s="72"/>
      <c r="V766" s="72" t="s">
        <v>2042</v>
      </c>
      <c r="W766" s="78">
        <v>45672</v>
      </c>
      <c r="X766" s="72" t="s">
        <v>1299</v>
      </c>
      <c r="Y766" s="72">
        <v>9</v>
      </c>
      <c r="Z766" s="79"/>
      <c r="AA766" s="79"/>
      <c r="AB766" s="79"/>
      <c r="AC766" s="79"/>
      <c r="AD766" s="79"/>
      <c r="AE766" s="79"/>
    </row>
    <row r="767" spans="1:31" ht="16.5" x14ac:dyDescent="0.35">
      <c r="A767" s="71">
        <v>761</v>
      </c>
      <c r="B767" s="72">
        <v>2005225483</v>
      </c>
      <c r="C767" s="80" t="s">
        <v>1247</v>
      </c>
      <c r="D767" s="81" t="s">
        <v>168</v>
      </c>
      <c r="E767" s="72" t="s">
        <v>360</v>
      </c>
      <c r="F767" s="76">
        <v>2</v>
      </c>
      <c r="G767" s="72" t="s">
        <v>1301</v>
      </c>
      <c r="H767" s="78">
        <v>45757</v>
      </c>
      <c r="I767" s="72" t="s">
        <v>1299</v>
      </c>
      <c r="J767" s="72">
        <v>9.5</v>
      </c>
      <c r="K767" s="72"/>
      <c r="L767" s="72" t="s">
        <v>924</v>
      </c>
      <c r="M767" s="78">
        <v>45817</v>
      </c>
      <c r="N767" s="72" t="s">
        <v>1299</v>
      </c>
      <c r="O767" s="72">
        <v>9.5</v>
      </c>
      <c r="P767" s="72"/>
      <c r="Q767" s="72"/>
      <c r="R767" s="78"/>
      <c r="S767" s="72"/>
      <c r="T767" s="72"/>
      <c r="U767" s="72"/>
      <c r="V767" s="72"/>
      <c r="W767" s="72"/>
      <c r="X767" s="72"/>
      <c r="Y767" s="72"/>
      <c r="Z767" s="79"/>
      <c r="AA767" s="79"/>
      <c r="AB767" s="79"/>
      <c r="AC767" s="79"/>
      <c r="AD767" s="79"/>
      <c r="AE767" s="79"/>
    </row>
    <row r="768" spans="1:31" ht="16.5" x14ac:dyDescent="0.35">
      <c r="A768" s="71">
        <v>762</v>
      </c>
      <c r="B768" s="72">
        <v>2005225901</v>
      </c>
      <c r="C768" s="80" t="s">
        <v>433</v>
      </c>
      <c r="D768" s="81" t="s">
        <v>316</v>
      </c>
      <c r="E768" s="72" t="s">
        <v>360</v>
      </c>
      <c r="F768" s="76">
        <v>3</v>
      </c>
      <c r="G768" s="72" t="s">
        <v>1301</v>
      </c>
      <c r="H768" s="78">
        <v>45757</v>
      </c>
      <c r="I768" s="72" t="s">
        <v>1299</v>
      </c>
      <c r="J768" s="72">
        <v>8.5</v>
      </c>
      <c r="K768" s="72"/>
      <c r="L768" s="72" t="s">
        <v>925</v>
      </c>
      <c r="M768" s="78">
        <v>45797</v>
      </c>
      <c r="N768" s="72" t="s">
        <v>1299</v>
      </c>
      <c r="O768" s="72">
        <v>7</v>
      </c>
      <c r="P768" s="72"/>
      <c r="Q768" s="72" t="s">
        <v>924</v>
      </c>
      <c r="R768" s="78">
        <v>45798</v>
      </c>
      <c r="S768" s="72" t="s">
        <v>1299</v>
      </c>
      <c r="T768" s="72">
        <v>8.5</v>
      </c>
      <c r="U768" s="72"/>
      <c r="V768" s="72"/>
      <c r="W768" s="72"/>
      <c r="X768" s="72"/>
      <c r="Y768" s="72"/>
      <c r="Z768" s="72"/>
      <c r="AA768" s="79"/>
      <c r="AB768" s="79"/>
      <c r="AC768" s="79"/>
      <c r="AD768" s="79"/>
      <c r="AE768" s="79"/>
    </row>
    <row r="769" spans="1:31" ht="16.5" x14ac:dyDescent="0.35">
      <c r="A769" s="136">
        <v>763</v>
      </c>
      <c r="B769" s="137">
        <v>2005225982</v>
      </c>
      <c r="C769" s="138" t="s">
        <v>435</v>
      </c>
      <c r="D769" s="139" t="s">
        <v>56</v>
      </c>
      <c r="E769" s="137" t="s">
        <v>360</v>
      </c>
      <c r="F769" s="140">
        <v>3</v>
      </c>
      <c r="G769" s="137" t="s">
        <v>1301</v>
      </c>
      <c r="H769" s="141">
        <v>45757</v>
      </c>
      <c r="I769" s="137" t="s">
        <v>1299</v>
      </c>
      <c r="J769" s="137">
        <v>8.5</v>
      </c>
      <c r="K769" s="137"/>
      <c r="L769" s="137" t="s">
        <v>925</v>
      </c>
      <c r="M769" s="141">
        <v>45797</v>
      </c>
      <c r="N769" s="137" t="s">
        <v>1299</v>
      </c>
      <c r="O769" s="137">
        <v>8</v>
      </c>
      <c r="P769" s="137"/>
      <c r="Q769" s="137" t="s">
        <v>924</v>
      </c>
      <c r="R769" s="141">
        <v>45798</v>
      </c>
      <c r="S769" s="137" t="s">
        <v>1299</v>
      </c>
      <c r="T769" s="137">
        <v>8.5</v>
      </c>
      <c r="U769" s="137"/>
      <c r="V769" s="137"/>
      <c r="W769" s="137"/>
      <c r="X769" s="137"/>
      <c r="Y769" s="137"/>
      <c r="Z769" s="142"/>
      <c r="AA769" s="142"/>
      <c r="AB769" s="142"/>
      <c r="AC769" s="79"/>
      <c r="AD769" s="79"/>
      <c r="AE769" s="79"/>
    </row>
    <row r="770" spans="1:31" ht="16.5" x14ac:dyDescent="0.35">
      <c r="A770" s="71">
        <v>764</v>
      </c>
      <c r="B770" s="105">
        <v>2005217901</v>
      </c>
      <c r="C770" s="145" t="s">
        <v>55</v>
      </c>
      <c r="D770" s="106" t="s">
        <v>10</v>
      </c>
      <c r="E770" s="146" t="s">
        <v>332</v>
      </c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</row>
    <row r="771" spans="1:31" ht="16.5" x14ac:dyDescent="0.35">
      <c r="A771" s="136">
        <v>765</v>
      </c>
      <c r="B771" s="105">
        <v>2005200629</v>
      </c>
      <c r="C771" s="145" t="s">
        <v>2094</v>
      </c>
      <c r="D771" s="106" t="s">
        <v>2095</v>
      </c>
      <c r="E771" s="146" t="s">
        <v>2096</v>
      </c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</row>
    <row r="772" spans="1:31" ht="16.5" x14ac:dyDescent="0.35">
      <c r="A772" s="71">
        <v>766</v>
      </c>
      <c r="B772" s="105">
        <v>2041214077</v>
      </c>
      <c r="C772" s="145" t="s">
        <v>315</v>
      </c>
      <c r="D772" s="106" t="s">
        <v>2097</v>
      </c>
      <c r="E772" s="146" t="s">
        <v>310</v>
      </c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</row>
    <row r="773" spans="1:31" ht="16.5" x14ac:dyDescent="0.35">
      <c r="A773" s="136">
        <v>767</v>
      </c>
      <c r="B773" s="105">
        <v>2005202136</v>
      </c>
      <c r="C773" s="145" t="s">
        <v>2098</v>
      </c>
      <c r="D773" s="106" t="s">
        <v>2099</v>
      </c>
      <c r="E773" s="146" t="s">
        <v>13</v>
      </c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</row>
    <row r="774" spans="1:31" ht="16.5" x14ac:dyDescent="0.35">
      <c r="A774" s="71">
        <v>768</v>
      </c>
      <c r="B774" s="105">
        <v>2005218075</v>
      </c>
      <c r="C774" s="145" t="s">
        <v>315</v>
      </c>
      <c r="D774" s="106" t="s">
        <v>333</v>
      </c>
      <c r="E774" s="146" t="s">
        <v>334</v>
      </c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</row>
    <row r="775" spans="1:31" ht="16.5" x14ac:dyDescent="0.35">
      <c r="A775" s="136">
        <v>769</v>
      </c>
      <c r="B775" s="105">
        <v>2041230286</v>
      </c>
      <c r="C775" s="145" t="s">
        <v>438</v>
      </c>
      <c r="D775" s="106" t="s">
        <v>56</v>
      </c>
      <c r="E775" s="146" t="s">
        <v>2100</v>
      </c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</row>
    <row r="776" spans="1:31" ht="16.5" x14ac:dyDescent="0.35">
      <c r="A776" s="71">
        <v>770</v>
      </c>
      <c r="B776" s="105">
        <v>2005200630</v>
      </c>
      <c r="C776" s="145" t="s">
        <v>2101</v>
      </c>
      <c r="D776" s="106" t="s">
        <v>2102</v>
      </c>
      <c r="E776" s="146" t="s">
        <v>2103</v>
      </c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</row>
    <row r="777" spans="1:31" ht="16.5" x14ac:dyDescent="0.35">
      <c r="A777" s="136">
        <v>771</v>
      </c>
      <c r="B777" s="105">
        <v>2005212101</v>
      </c>
      <c r="C777" s="145" t="s">
        <v>2104</v>
      </c>
      <c r="D777" s="106" t="s">
        <v>241</v>
      </c>
      <c r="E777" s="146" t="s">
        <v>331</v>
      </c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</row>
    <row r="778" spans="1:31" ht="16.5" x14ac:dyDescent="0.35">
      <c r="A778" s="71">
        <v>772</v>
      </c>
      <c r="B778" s="105">
        <v>2041214066</v>
      </c>
      <c r="C778" s="145" t="s">
        <v>2105</v>
      </c>
      <c r="D778" s="106" t="s">
        <v>318</v>
      </c>
      <c r="E778" s="146" t="s">
        <v>319</v>
      </c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</row>
    <row r="779" spans="1:31" ht="16.5" x14ac:dyDescent="0.35">
      <c r="A779" s="136">
        <v>773</v>
      </c>
      <c r="B779" s="105">
        <v>2041214089</v>
      </c>
      <c r="C779" s="145" t="s">
        <v>2106</v>
      </c>
      <c r="D779" s="106" t="s">
        <v>123</v>
      </c>
      <c r="E779" s="146" t="s">
        <v>319</v>
      </c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</row>
    <row r="780" spans="1:31" ht="16.5" x14ac:dyDescent="0.35">
      <c r="A780" s="71">
        <v>774</v>
      </c>
      <c r="B780" s="105">
        <v>2041210254</v>
      </c>
      <c r="C780" s="145" t="s">
        <v>2107</v>
      </c>
      <c r="D780" s="106" t="s">
        <v>306</v>
      </c>
      <c r="E780" s="146" t="s">
        <v>307</v>
      </c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</row>
    <row r="781" spans="1:31" ht="16.5" x14ac:dyDescent="0.35">
      <c r="A781" s="136">
        <v>775</v>
      </c>
      <c r="B781" s="105">
        <v>2005230005</v>
      </c>
      <c r="C781" s="145" t="s">
        <v>2108</v>
      </c>
      <c r="D781" s="106" t="s">
        <v>71</v>
      </c>
      <c r="E781" s="146" t="s">
        <v>439</v>
      </c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</row>
    <row r="782" spans="1:31" ht="16.5" x14ac:dyDescent="0.35">
      <c r="A782" s="71">
        <v>776</v>
      </c>
      <c r="B782" s="105">
        <v>2005191538</v>
      </c>
      <c r="C782" s="145" t="s">
        <v>2109</v>
      </c>
      <c r="D782" s="106" t="s">
        <v>2110</v>
      </c>
      <c r="E782" s="146" t="s">
        <v>83</v>
      </c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</row>
    <row r="783" spans="1:31" ht="16.5" x14ac:dyDescent="0.35">
      <c r="A783" s="136">
        <v>777</v>
      </c>
      <c r="B783" s="105">
        <v>2005210136</v>
      </c>
      <c r="C783" s="145" t="s">
        <v>2111</v>
      </c>
      <c r="D783" s="106" t="s">
        <v>327</v>
      </c>
      <c r="E783" s="146" t="s">
        <v>326</v>
      </c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</row>
    <row r="784" spans="1:31" ht="16.5" x14ac:dyDescent="0.35">
      <c r="A784" s="71">
        <v>778</v>
      </c>
      <c r="B784" s="105">
        <v>2041210260</v>
      </c>
      <c r="C784" s="145" t="s">
        <v>2112</v>
      </c>
      <c r="D784" s="106" t="s">
        <v>258</v>
      </c>
      <c r="E784" s="146" t="s">
        <v>307</v>
      </c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</row>
    <row r="785" spans="1:31" ht="16.5" x14ac:dyDescent="0.35">
      <c r="A785" s="136">
        <v>779</v>
      </c>
      <c r="B785" s="105">
        <v>2005202121</v>
      </c>
      <c r="C785" s="145" t="s">
        <v>2113</v>
      </c>
      <c r="D785" s="106" t="s">
        <v>2114</v>
      </c>
      <c r="E785" s="146" t="s">
        <v>2115</v>
      </c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</row>
    <row r="786" spans="1:31" ht="16.5" x14ac:dyDescent="0.35">
      <c r="A786" s="71">
        <v>780</v>
      </c>
      <c r="B786" s="105">
        <v>2041210169</v>
      </c>
      <c r="C786" s="145" t="s">
        <v>2116</v>
      </c>
      <c r="D786" s="106" t="s">
        <v>316</v>
      </c>
      <c r="E786" s="146" t="s">
        <v>310</v>
      </c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</row>
    <row r="787" spans="1:31" ht="16.5" x14ac:dyDescent="0.35">
      <c r="A787" s="136">
        <v>781</v>
      </c>
      <c r="B787" s="105">
        <v>2022210071</v>
      </c>
      <c r="C787" s="145" t="s">
        <v>2117</v>
      </c>
      <c r="D787" s="106" t="s">
        <v>36</v>
      </c>
      <c r="E787" s="146" t="s">
        <v>296</v>
      </c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</row>
    <row r="788" spans="1:31" ht="16.5" x14ac:dyDescent="0.35">
      <c r="A788" s="71">
        <v>782</v>
      </c>
      <c r="B788" s="105">
        <v>2022202006</v>
      </c>
      <c r="C788" s="145" t="s">
        <v>2118</v>
      </c>
      <c r="D788" s="106" t="s">
        <v>2119</v>
      </c>
      <c r="E788" s="146" t="s">
        <v>107</v>
      </c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</row>
    <row r="789" spans="1:31" ht="16.5" x14ac:dyDescent="0.35">
      <c r="A789" s="136">
        <v>783</v>
      </c>
      <c r="B789" s="105">
        <v>2022218227</v>
      </c>
      <c r="C789" s="145" t="s">
        <v>2120</v>
      </c>
      <c r="D789" s="106" t="s">
        <v>2121</v>
      </c>
      <c r="E789" s="146" t="s">
        <v>2122</v>
      </c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</row>
    <row r="790" spans="1:31" ht="16.5" x14ac:dyDescent="0.35">
      <c r="A790" s="71">
        <v>784</v>
      </c>
      <c r="B790" s="105">
        <v>2022230026</v>
      </c>
      <c r="C790" s="145" t="s">
        <v>436</v>
      </c>
      <c r="D790" s="106" t="s">
        <v>437</v>
      </c>
      <c r="E790" s="146" t="s">
        <v>2123</v>
      </c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</row>
    <row r="791" spans="1:31" ht="16.5" x14ac:dyDescent="0.35">
      <c r="A791" s="136">
        <v>785</v>
      </c>
      <c r="B791" s="105">
        <v>2022210268</v>
      </c>
      <c r="C791" s="145" t="s">
        <v>2124</v>
      </c>
      <c r="D791" s="106" t="s">
        <v>2125</v>
      </c>
      <c r="E791" s="146" t="s">
        <v>296</v>
      </c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</row>
    <row r="792" spans="1:31" ht="16.5" x14ac:dyDescent="0.35">
      <c r="A792" s="71">
        <v>786</v>
      </c>
      <c r="B792" s="105">
        <v>2022218279</v>
      </c>
      <c r="C792" s="145" t="s">
        <v>2126</v>
      </c>
      <c r="D792" s="106" t="s">
        <v>2127</v>
      </c>
      <c r="E792" s="146" t="s">
        <v>302</v>
      </c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</row>
    <row r="793" spans="1:31" ht="16.5" x14ac:dyDescent="0.35">
      <c r="A793" s="136">
        <v>787</v>
      </c>
      <c r="B793" s="105">
        <v>2022210264</v>
      </c>
      <c r="C793" s="145" t="s">
        <v>2128</v>
      </c>
      <c r="D793" s="106" t="s">
        <v>51</v>
      </c>
      <c r="E793" s="146" t="s">
        <v>296</v>
      </c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</row>
    <row r="794" spans="1:31" ht="16.5" x14ac:dyDescent="0.35">
      <c r="A794" s="71">
        <v>788</v>
      </c>
      <c r="B794" s="105">
        <v>2022218289</v>
      </c>
      <c r="C794" s="145" t="s">
        <v>2129</v>
      </c>
      <c r="D794" s="106" t="s">
        <v>76</v>
      </c>
      <c r="E794" s="146" t="s">
        <v>2122</v>
      </c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</row>
    <row r="795" spans="1:31" ht="16.5" x14ac:dyDescent="0.35">
      <c r="A795" s="136">
        <v>789</v>
      </c>
      <c r="B795" s="105">
        <v>2022218304</v>
      </c>
      <c r="C795" s="145" t="s">
        <v>2130</v>
      </c>
      <c r="D795" s="106" t="s">
        <v>303</v>
      </c>
      <c r="E795" s="146" t="s">
        <v>302</v>
      </c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</row>
    <row r="796" spans="1:31" ht="16.5" x14ac:dyDescent="0.35">
      <c r="A796" s="71">
        <v>790</v>
      </c>
      <c r="B796" s="105">
        <v>2022200050</v>
      </c>
      <c r="C796" s="145" t="s">
        <v>2131</v>
      </c>
      <c r="D796" s="106" t="s">
        <v>2132</v>
      </c>
      <c r="E796" s="146" t="s">
        <v>108</v>
      </c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</row>
    <row r="797" spans="1:31" ht="16.5" x14ac:dyDescent="0.35">
      <c r="A797" s="136">
        <v>791</v>
      </c>
      <c r="B797" s="105">
        <v>2022218332</v>
      </c>
      <c r="C797" s="145" t="s">
        <v>293</v>
      </c>
      <c r="D797" s="106" t="s">
        <v>102</v>
      </c>
      <c r="E797" s="146" t="s">
        <v>2122</v>
      </c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</row>
    <row r="798" spans="1:31" ht="16.5" x14ac:dyDescent="0.35">
      <c r="A798" s="71">
        <v>792</v>
      </c>
      <c r="B798" s="105">
        <v>2022218336</v>
      </c>
      <c r="C798" s="145" t="s">
        <v>2133</v>
      </c>
      <c r="D798" s="106" t="s">
        <v>304</v>
      </c>
      <c r="E798" s="146" t="s">
        <v>302</v>
      </c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</row>
    <row r="799" spans="1:31" ht="16.5" x14ac:dyDescent="0.35">
      <c r="A799" s="136">
        <v>793</v>
      </c>
      <c r="B799" s="105">
        <v>2022218340</v>
      </c>
      <c r="C799" s="145" t="s">
        <v>264</v>
      </c>
      <c r="D799" s="106" t="s">
        <v>211</v>
      </c>
      <c r="E799" s="146" t="s">
        <v>302</v>
      </c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</row>
    <row r="800" spans="1:31" ht="16.5" x14ac:dyDescent="0.35">
      <c r="A800" s="71">
        <v>794</v>
      </c>
      <c r="B800" s="105">
        <v>2022210085</v>
      </c>
      <c r="C800" s="145" t="s">
        <v>297</v>
      </c>
      <c r="D800" s="106" t="s">
        <v>54</v>
      </c>
      <c r="E800" s="146" t="s">
        <v>296</v>
      </c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</row>
    <row r="801" spans="1:31" ht="16.5" x14ac:dyDescent="0.35">
      <c r="A801" s="136">
        <v>795</v>
      </c>
      <c r="B801" s="105">
        <v>2022210035</v>
      </c>
      <c r="C801" s="145" t="s">
        <v>299</v>
      </c>
      <c r="D801" s="106" t="s">
        <v>115</v>
      </c>
      <c r="E801" s="146" t="s">
        <v>300</v>
      </c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</row>
    <row r="802" spans="1:31" ht="16.5" x14ac:dyDescent="0.35">
      <c r="A802" s="71">
        <v>796</v>
      </c>
      <c r="B802" s="105">
        <v>2022200318</v>
      </c>
      <c r="C802" s="145" t="s">
        <v>2134</v>
      </c>
      <c r="D802" s="106" t="s">
        <v>2135</v>
      </c>
      <c r="E802" s="146" t="s">
        <v>108</v>
      </c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</row>
    <row r="803" spans="1:31" ht="16.5" x14ac:dyDescent="0.35">
      <c r="A803" s="136">
        <v>797</v>
      </c>
      <c r="B803" s="105">
        <v>2022218183</v>
      </c>
      <c r="C803" s="145" t="s">
        <v>2136</v>
      </c>
      <c r="D803" s="106" t="s">
        <v>36</v>
      </c>
      <c r="E803" s="146" t="s">
        <v>2122</v>
      </c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</row>
    <row r="804" spans="1:31" ht="16.5" x14ac:dyDescent="0.35">
      <c r="A804" s="71">
        <v>798</v>
      </c>
      <c r="B804" s="105">
        <v>2022218185</v>
      </c>
      <c r="C804" s="145" t="s">
        <v>2137</v>
      </c>
      <c r="D804" s="106" t="s">
        <v>36</v>
      </c>
      <c r="E804" s="146" t="s">
        <v>2122</v>
      </c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</row>
    <row r="805" spans="1:31" ht="16.5" x14ac:dyDescent="0.35">
      <c r="A805" s="136">
        <v>799</v>
      </c>
      <c r="B805" s="105">
        <v>2022210077</v>
      </c>
      <c r="C805" s="145" t="s">
        <v>9</v>
      </c>
      <c r="D805" s="106" t="s">
        <v>298</v>
      </c>
      <c r="E805" s="146" t="s">
        <v>296</v>
      </c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</row>
    <row r="806" spans="1:31" ht="16.5" x14ac:dyDescent="0.35">
      <c r="A806" s="71">
        <v>800</v>
      </c>
      <c r="B806" s="105">
        <v>2022218319</v>
      </c>
      <c r="C806" s="145" t="s">
        <v>2138</v>
      </c>
      <c r="D806" s="106" t="s">
        <v>208</v>
      </c>
      <c r="E806" s="146" t="s">
        <v>2139</v>
      </c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</row>
    <row r="807" spans="1:31" ht="16.5" x14ac:dyDescent="0.35">
      <c r="A807" s="136">
        <v>801</v>
      </c>
      <c r="B807" s="105">
        <v>2022218376</v>
      </c>
      <c r="C807" s="145" t="s">
        <v>2140</v>
      </c>
      <c r="D807" s="106" t="s">
        <v>305</v>
      </c>
      <c r="E807" s="146" t="s">
        <v>302</v>
      </c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</row>
    <row r="808" spans="1:31" ht="16.5" x14ac:dyDescent="0.35">
      <c r="A808" s="71">
        <v>802</v>
      </c>
      <c r="B808" s="105">
        <v>2022218394</v>
      </c>
      <c r="C808" s="145" t="s">
        <v>2141</v>
      </c>
      <c r="D808" s="106" t="s">
        <v>56</v>
      </c>
      <c r="E808" s="146" t="s">
        <v>302</v>
      </c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</row>
    <row r="809" spans="1:31" x14ac:dyDescent="0.35">
      <c r="B809" s="143"/>
    </row>
    <row r="810" spans="1:31" x14ac:dyDescent="0.35">
      <c r="B810" s="92"/>
    </row>
    <row r="811" spans="1:31" x14ac:dyDescent="0.35">
      <c r="B811" s="93"/>
    </row>
    <row r="812" spans="1:31" x14ac:dyDescent="0.35">
      <c r="B812" s="92"/>
    </row>
    <row r="813" spans="1:31" x14ac:dyDescent="0.35">
      <c r="B813" s="93"/>
    </row>
    <row r="814" spans="1:31" x14ac:dyDescent="0.35">
      <c r="B814" s="92"/>
    </row>
    <row r="815" spans="1:31" x14ac:dyDescent="0.35">
      <c r="B815" s="93"/>
    </row>
    <row r="816" spans="1:31" x14ac:dyDescent="0.35">
      <c r="B816" s="92"/>
    </row>
    <row r="817" spans="2:2" x14ac:dyDescent="0.35">
      <c r="B817" s="93"/>
    </row>
    <row r="818" spans="2:2" x14ac:dyDescent="0.35">
      <c r="B818" s="92"/>
    </row>
    <row r="819" spans="2:2" x14ac:dyDescent="0.35">
      <c r="B819" s="93"/>
    </row>
    <row r="820" spans="2:2" x14ac:dyDescent="0.35">
      <c r="B820" s="92"/>
    </row>
    <row r="821" spans="2:2" x14ac:dyDescent="0.35">
      <c r="B821" s="94"/>
    </row>
  </sheetData>
  <autoFilter ref="A4:AE769" xr:uid="{00000000-0009-0000-0000-000003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</autoFilter>
  <mergeCells count="14">
    <mergeCell ref="G6:K6"/>
    <mergeCell ref="L6:P6"/>
    <mergeCell ref="Q6:U6"/>
    <mergeCell ref="V6:Z6"/>
    <mergeCell ref="AA6:AE6"/>
    <mergeCell ref="AA4:AE4"/>
    <mergeCell ref="A1:N1"/>
    <mergeCell ref="Q1:Z1"/>
    <mergeCell ref="A2:N2"/>
    <mergeCell ref="Q2:Z2"/>
    <mergeCell ref="G4:K4"/>
    <mergeCell ref="L4:P4"/>
    <mergeCell ref="Q4:U4"/>
    <mergeCell ref="V4:Z4"/>
  </mergeCells>
  <conditionalFormatting sqref="B1:B6 B785:B1048576 B770:B774">
    <cfRule type="duplicateValues" dxfId="71" priority="36"/>
  </conditionalFormatting>
  <conditionalFormatting sqref="B1:B6">
    <cfRule type="duplicateValues" dxfId="70" priority="71"/>
    <cfRule type="duplicateValues" dxfId="69" priority="72"/>
    <cfRule type="duplicateValues" dxfId="68" priority="73"/>
    <cfRule type="duplicateValues" dxfId="67" priority="74"/>
    <cfRule type="duplicateValues" dxfId="66" priority="75"/>
    <cfRule type="duplicateValues" dxfId="65" priority="76"/>
    <cfRule type="duplicateValues" dxfId="64" priority="77"/>
    <cfRule type="duplicateValues" dxfId="63" priority="78"/>
    <cfRule type="duplicateValues" dxfId="62" priority="79"/>
    <cfRule type="duplicateValues" dxfId="61" priority="80"/>
    <cfRule type="duplicateValues" dxfId="60" priority="81"/>
    <cfRule type="duplicateValues" dxfId="59" priority="82"/>
    <cfRule type="duplicateValues" dxfId="58" priority="83"/>
    <cfRule type="duplicateValues" dxfId="57" priority="84"/>
    <cfRule type="duplicateValues" dxfId="56" priority="85"/>
    <cfRule type="duplicateValues" dxfId="55" priority="86"/>
    <cfRule type="duplicateValues" dxfId="54" priority="87"/>
    <cfRule type="duplicateValues" dxfId="53" priority="88"/>
    <cfRule type="duplicateValues" dxfId="52" priority="89"/>
    <cfRule type="duplicateValues" dxfId="51" priority="90"/>
    <cfRule type="duplicateValues" dxfId="50" priority="91"/>
    <cfRule type="duplicateValues" dxfId="49" priority="92"/>
    <cfRule type="duplicateValues" dxfId="48" priority="93"/>
    <cfRule type="duplicateValues" dxfId="47" priority="94"/>
    <cfRule type="duplicateValues" dxfId="46" priority="95"/>
    <cfRule type="duplicateValues" dxfId="45" priority="96"/>
    <cfRule type="duplicateValues" dxfId="44" priority="97"/>
    <cfRule type="duplicateValues" dxfId="43" priority="98"/>
    <cfRule type="duplicateValues" dxfId="42" priority="99"/>
    <cfRule type="duplicateValues" dxfId="41" priority="100"/>
    <cfRule type="duplicateValues" dxfId="40" priority="101"/>
    <cfRule type="duplicateValues" dxfId="39" priority="102"/>
    <cfRule type="duplicateValues" dxfId="38" priority="103"/>
    <cfRule type="duplicateValues" dxfId="37" priority="104"/>
  </conditionalFormatting>
  <conditionalFormatting sqref="B7:B769">
    <cfRule type="duplicateValues" dxfId="36" priority="1"/>
    <cfRule type="duplicateValues" dxfId="35" priority="2"/>
    <cfRule type="duplicateValues" dxfId="34" priority="3"/>
    <cfRule type="duplicateValues" dxfId="33" priority="4"/>
    <cfRule type="duplicateValues" dxfId="32" priority="5"/>
    <cfRule type="duplicateValues" dxfId="31" priority="6"/>
    <cfRule type="duplicateValues" dxfId="30" priority="7"/>
    <cfRule type="duplicateValues" dxfId="29" priority="8"/>
    <cfRule type="duplicateValues" dxfId="28" priority="9"/>
    <cfRule type="duplicateValues" dxfId="27" priority="10"/>
    <cfRule type="duplicateValues" dxfId="26" priority="11"/>
    <cfRule type="duplicateValues" dxfId="25" priority="12"/>
    <cfRule type="duplicateValues" dxfId="24" priority="13"/>
    <cfRule type="duplicateValues" dxfId="23" priority="14"/>
    <cfRule type="duplicateValues" dxfId="22" priority="15"/>
    <cfRule type="duplicateValues" dxfId="21" priority="16"/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  <cfRule type="duplicateValues" dxfId="15" priority="22"/>
    <cfRule type="duplicateValues" dxfId="14" priority="23"/>
    <cfRule type="duplicateValues" dxfId="13" priority="24"/>
    <cfRule type="duplicateValues" dxfId="12" priority="25"/>
    <cfRule type="duplicateValues" dxfId="11" priority="26"/>
    <cfRule type="duplicateValues" dxfId="10" priority="27"/>
    <cfRule type="duplicateValues" dxfId="9" priority="28"/>
    <cfRule type="duplicateValues" dxfId="8" priority="29"/>
    <cfRule type="duplicateValues" dxfId="7" priority="30"/>
    <cfRule type="duplicateValues" dxfId="6" priority="31"/>
    <cfRule type="duplicateValues" dxfId="5" priority="32"/>
    <cfRule type="duplicateValues" dxfId="4" priority="33"/>
    <cfRule type="duplicateValues" dxfId="3" priority="34"/>
    <cfRule type="duplicateValues" dxfId="2" priority="35"/>
  </conditionalFormatting>
  <conditionalFormatting sqref="B770:B774 B788:B1048576">
    <cfRule type="duplicateValues" dxfId="1" priority="105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993"/>
  <sheetViews>
    <sheetView topLeftCell="A1965" workbookViewId="0">
      <selection activeCell="E16" sqref="E16"/>
    </sheetView>
  </sheetViews>
  <sheetFormatPr defaultColWidth="14.453125" defaultRowHeight="14.5" x14ac:dyDescent="0.35"/>
  <cols>
    <col min="1" max="1" width="13.453125" style="96" customWidth="1"/>
    <col min="2" max="2" width="24.6328125" style="99" bestFit="1" customWidth="1"/>
    <col min="3" max="3" width="16.81640625" style="96" customWidth="1"/>
    <col min="4" max="4" width="23.6328125" style="96" customWidth="1"/>
    <col min="5" max="5" width="52.36328125" style="96" customWidth="1"/>
    <col min="6" max="6" width="20.81640625" style="96" customWidth="1"/>
    <col min="7" max="7" width="26.81640625" style="96" bestFit="1" customWidth="1"/>
  </cols>
  <sheetData>
    <row r="1" spans="1:20" x14ac:dyDescent="0.35">
      <c r="A1" s="102" t="s">
        <v>2090</v>
      </c>
    </row>
    <row r="2" spans="1:20" ht="15" thickBot="1" x14ac:dyDescent="0.4">
      <c r="A2" s="97" t="s">
        <v>1292</v>
      </c>
      <c r="B2" s="100" t="str">
        <f ca="1">IFERROR(__xludf.DUMMYFUNCTION("""COMPUTED_VALUE"""),"Họ và tên")</f>
        <v>Họ và tên</v>
      </c>
      <c r="C2" s="97" t="str">
        <f ca="1">IFERROR(__xludf.DUMMYFUNCTION("""COMPUTED_VALUE"""),"Lớp")</f>
        <v>Lớp</v>
      </c>
      <c r="D2" s="97" t="str">
        <f ca="1">IFERROR(__xludf.DUMMYFUNCTION("""COMPUTED_VALUE"""),"Giảng viên hướng dẫn")</f>
        <v>Giảng viên hướng dẫn</v>
      </c>
      <c r="E2" s="97" t="str">
        <f ca="1">IFERROR(__xludf.DUMMYFUNCTION("""COMPUTED_VALUE"""),"Tên nhà máy")</f>
        <v>Tên nhà máy</v>
      </c>
      <c r="F2" s="97" t="str">
        <f ca="1">IFERROR(__xludf.DUMMYFUNCTION("""COMPUTED_VALUE"""),"Loại hình chuyến TQNM")</f>
        <v>Loại hình chuyến TQNM</v>
      </c>
      <c r="G2" s="97" t="str">
        <f ca="1">IFERROR(__xludf.DUMMYFUNCTION("""COMPUTED_VALUE"""),"Hình thức tham quan nhà máy")</f>
        <v>Hình thức tham quan nhà máy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15" thickBot="1" x14ac:dyDescent="0.4">
      <c r="A3" s="98">
        <v>2041222734</v>
      </c>
      <c r="B3" s="101" t="s">
        <v>1316</v>
      </c>
      <c r="C3" s="98" t="s">
        <v>148</v>
      </c>
      <c r="D3" s="98" t="s">
        <v>133</v>
      </c>
      <c r="E3" s="98" t="s">
        <v>914</v>
      </c>
      <c r="F3" s="98" t="s">
        <v>1317</v>
      </c>
      <c r="G3" s="98" t="s">
        <v>1318</v>
      </c>
    </row>
    <row r="4" spans="1:20" ht="15" thickBot="1" x14ac:dyDescent="0.4">
      <c r="A4" s="98">
        <v>2041222734</v>
      </c>
      <c r="B4" s="101" t="s">
        <v>1316</v>
      </c>
      <c r="C4" s="98" t="s">
        <v>148</v>
      </c>
      <c r="D4" s="98" t="s">
        <v>133</v>
      </c>
      <c r="E4" s="98" t="s">
        <v>915</v>
      </c>
      <c r="F4" s="98" t="s">
        <v>1317</v>
      </c>
      <c r="G4" s="98" t="s">
        <v>1319</v>
      </c>
    </row>
    <row r="5" spans="1:20" ht="15" thickBot="1" x14ac:dyDescent="0.4">
      <c r="A5" s="98">
        <v>2041220829</v>
      </c>
      <c r="B5" s="101" t="s">
        <v>1320</v>
      </c>
      <c r="C5" s="98" t="s">
        <v>148</v>
      </c>
      <c r="D5" s="98" t="s">
        <v>133</v>
      </c>
      <c r="E5" s="98" t="s">
        <v>1321</v>
      </c>
      <c r="F5" s="98" t="s">
        <v>1317</v>
      </c>
      <c r="G5" s="98" t="s">
        <v>1318</v>
      </c>
    </row>
    <row r="6" spans="1:20" ht="15" thickBot="1" x14ac:dyDescent="0.4">
      <c r="A6" s="98">
        <v>2041220829</v>
      </c>
      <c r="B6" s="101" t="s">
        <v>1320</v>
      </c>
      <c r="C6" s="98" t="s">
        <v>148</v>
      </c>
      <c r="D6" s="98" t="s">
        <v>133</v>
      </c>
      <c r="E6" s="98" t="s">
        <v>915</v>
      </c>
      <c r="F6" s="98" t="s">
        <v>1317</v>
      </c>
      <c r="G6" s="98" t="s">
        <v>1319</v>
      </c>
    </row>
    <row r="7" spans="1:20" ht="15" thickBot="1" x14ac:dyDescent="0.4">
      <c r="A7" s="98">
        <v>2041220829</v>
      </c>
      <c r="B7" s="101" t="s">
        <v>1320</v>
      </c>
      <c r="C7" s="98" t="s">
        <v>148</v>
      </c>
      <c r="D7" s="98" t="s">
        <v>133</v>
      </c>
      <c r="E7" s="98" t="s">
        <v>911</v>
      </c>
      <c r="F7" s="98" t="s">
        <v>1317</v>
      </c>
      <c r="G7" s="98" t="s">
        <v>1318</v>
      </c>
    </row>
    <row r="8" spans="1:20" ht="15" thickBot="1" x14ac:dyDescent="0.4">
      <c r="A8" s="98">
        <v>2041224117</v>
      </c>
      <c r="B8" s="101" t="s">
        <v>1322</v>
      </c>
      <c r="C8" s="98" t="s">
        <v>132</v>
      </c>
      <c r="D8" s="98" t="s">
        <v>133</v>
      </c>
      <c r="E8" s="98" t="s">
        <v>911</v>
      </c>
      <c r="F8" s="98" t="s">
        <v>1317</v>
      </c>
      <c r="G8" s="98" t="s">
        <v>1318</v>
      </c>
    </row>
    <row r="9" spans="1:20" ht="15" thickBot="1" x14ac:dyDescent="0.4">
      <c r="A9" s="98">
        <v>2041224117</v>
      </c>
      <c r="B9" s="101" t="s">
        <v>1322</v>
      </c>
      <c r="C9" s="98" t="s">
        <v>132</v>
      </c>
      <c r="D9" s="98" t="s">
        <v>133</v>
      </c>
      <c r="E9" s="98" t="s">
        <v>2086</v>
      </c>
      <c r="F9" s="98" t="s">
        <v>1323</v>
      </c>
      <c r="G9" s="98" t="s">
        <v>1318</v>
      </c>
    </row>
    <row r="10" spans="1:20" ht="15" thickBot="1" x14ac:dyDescent="0.4">
      <c r="A10" s="98">
        <v>2041224117</v>
      </c>
      <c r="B10" s="101" t="s">
        <v>1322</v>
      </c>
      <c r="C10" s="98" t="s">
        <v>132</v>
      </c>
      <c r="D10" s="98" t="s">
        <v>133</v>
      </c>
      <c r="E10" s="98" t="s">
        <v>915</v>
      </c>
      <c r="F10" s="98" t="s">
        <v>1317</v>
      </c>
      <c r="G10" s="98" t="s">
        <v>1319</v>
      </c>
    </row>
    <row r="11" spans="1:20" ht="15" thickBot="1" x14ac:dyDescent="0.4">
      <c r="A11" s="98">
        <v>2041225111</v>
      </c>
      <c r="B11" s="101" t="s">
        <v>1324</v>
      </c>
      <c r="C11" s="98" t="s">
        <v>148</v>
      </c>
      <c r="D11" s="98" t="s">
        <v>133</v>
      </c>
      <c r="E11" s="98" t="s">
        <v>911</v>
      </c>
      <c r="F11" s="98" t="s">
        <v>1317</v>
      </c>
      <c r="G11" s="98" t="s">
        <v>1318</v>
      </c>
    </row>
    <row r="12" spans="1:20" ht="15" thickBot="1" x14ac:dyDescent="0.4">
      <c r="A12" s="98">
        <v>2041225111</v>
      </c>
      <c r="B12" s="101" t="s">
        <v>1324</v>
      </c>
      <c r="C12" s="98" t="s">
        <v>148</v>
      </c>
      <c r="D12" s="98" t="s">
        <v>133</v>
      </c>
      <c r="E12" s="98" t="s">
        <v>915</v>
      </c>
      <c r="F12" s="98" t="s">
        <v>1317</v>
      </c>
      <c r="G12" s="98" t="s">
        <v>1319</v>
      </c>
    </row>
    <row r="13" spans="1:20" ht="15" thickBot="1" x14ac:dyDescent="0.4">
      <c r="A13" s="98">
        <v>2041225111</v>
      </c>
      <c r="B13" s="101" t="s">
        <v>1324</v>
      </c>
      <c r="C13" s="98" t="s">
        <v>148</v>
      </c>
      <c r="D13" s="98" t="s">
        <v>133</v>
      </c>
      <c r="E13" s="98" t="s">
        <v>912</v>
      </c>
      <c r="F13" s="98" t="s">
        <v>1317</v>
      </c>
      <c r="G13" s="98" t="s">
        <v>1318</v>
      </c>
    </row>
    <row r="14" spans="1:20" ht="15" thickBot="1" x14ac:dyDescent="0.4">
      <c r="A14" s="98">
        <v>2041222515</v>
      </c>
      <c r="B14" s="101" t="s">
        <v>1325</v>
      </c>
      <c r="C14" s="98" t="s">
        <v>148</v>
      </c>
      <c r="D14" s="98" t="s">
        <v>133</v>
      </c>
      <c r="E14" s="98" t="s">
        <v>912</v>
      </c>
      <c r="F14" s="98" t="s">
        <v>1317</v>
      </c>
      <c r="G14" s="98" t="s">
        <v>1318</v>
      </c>
    </row>
    <row r="15" spans="1:20" ht="15" thickBot="1" x14ac:dyDescent="0.4">
      <c r="A15" s="98">
        <v>2041222515</v>
      </c>
      <c r="B15" s="101" t="s">
        <v>1325</v>
      </c>
      <c r="C15" s="98" t="s">
        <v>148</v>
      </c>
      <c r="D15" s="98" t="s">
        <v>133</v>
      </c>
      <c r="E15" s="98" t="s">
        <v>911</v>
      </c>
      <c r="F15" s="98" t="s">
        <v>1317</v>
      </c>
      <c r="G15" s="98" t="s">
        <v>1318</v>
      </c>
    </row>
    <row r="16" spans="1:20" ht="15" thickBot="1" x14ac:dyDescent="0.4">
      <c r="A16" s="98">
        <v>2041224820</v>
      </c>
      <c r="B16" s="101" t="s">
        <v>1326</v>
      </c>
      <c r="C16" s="98" t="s">
        <v>132</v>
      </c>
      <c r="D16" s="98" t="s">
        <v>133</v>
      </c>
      <c r="E16" s="98" t="s">
        <v>911</v>
      </c>
      <c r="F16" s="98" t="s">
        <v>1317</v>
      </c>
      <c r="G16" s="98" t="s">
        <v>1318</v>
      </c>
    </row>
    <row r="17" spans="1:7" ht="15" thickBot="1" x14ac:dyDescent="0.4">
      <c r="A17" s="98">
        <v>2041224820</v>
      </c>
      <c r="B17" s="101" t="s">
        <v>1326</v>
      </c>
      <c r="C17" s="98" t="s">
        <v>132</v>
      </c>
      <c r="D17" s="98" t="s">
        <v>133</v>
      </c>
      <c r="E17" s="98" t="s">
        <v>912</v>
      </c>
      <c r="F17" s="98" t="s">
        <v>1317</v>
      </c>
      <c r="G17" s="98" t="s">
        <v>1318</v>
      </c>
    </row>
    <row r="18" spans="1:7" ht="15" thickBot="1" x14ac:dyDescent="0.4">
      <c r="A18" s="98">
        <v>2041224820</v>
      </c>
      <c r="B18" s="101" t="s">
        <v>1326</v>
      </c>
      <c r="C18" s="98" t="s">
        <v>132</v>
      </c>
      <c r="D18" s="98" t="s">
        <v>133</v>
      </c>
      <c r="E18" s="98" t="s">
        <v>915</v>
      </c>
      <c r="F18" s="98" t="s">
        <v>1317</v>
      </c>
      <c r="G18" s="98" t="s">
        <v>1319</v>
      </c>
    </row>
    <row r="19" spans="1:7" ht="15" thickBot="1" x14ac:dyDescent="0.4">
      <c r="A19" s="98">
        <v>2041225318</v>
      </c>
      <c r="B19" s="101" t="s">
        <v>1327</v>
      </c>
      <c r="C19" s="98" t="s">
        <v>132</v>
      </c>
      <c r="D19" s="98" t="s">
        <v>133</v>
      </c>
      <c r="E19" s="98" t="s">
        <v>913</v>
      </c>
      <c r="F19" s="98" t="s">
        <v>1317</v>
      </c>
      <c r="G19" s="98" t="s">
        <v>1318</v>
      </c>
    </row>
    <row r="20" spans="1:7" ht="15" thickBot="1" x14ac:dyDescent="0.4">
      <c r="A20" s="98">
        <v>2041225318</v>
      </c>
      <c r="B20" s="101" t="s">
        <v>1327</v>
      </c>
      <c r="C20" s="98" t="s">
        <v>132</v>
      </c>
      <c r="D20" s="98" t="s">
        <v>133</v>
      </c>
      <c r="E20" s="98" t="s">
        <v>912</v>
      </c>
      <c r="F20" s="98" t="s">
        <v>1317</v>
      </c>
      <c r="G20" s="98" t="s">
        <v>1318</v>
      </c>
    </row>
    <row r="21" spans="1:7" ht="15" thickBot="1" x14ac:dyDescent="0.4">
      <c r="A21" s="98">
        <v>2041225318</v>
      </c>
      <c r="B21" s="101" t="s">
        <v>1327</v>
      </c>
      <c r="C21" s="98" t="s">
        <v>132</v>
      </c>
      <c r="D21" s="98" t="s">
        <v>133</v>
      </c>
      <c r="E21" s="98" t="s">
        <v>915</v>
      </c>
      <c r="F21" s="98" t="s">
        <v>1323</v>
      </c>
      <c r="G21" s="98" t="s">
        <v>1319</v>
      </c>
    </row>
    <row r="22" spans="1:7" ht="15" thickBot="1" x14ac:dyDescent="0.4">
      <c r="A22" s="98">
        <v>2041223376</v>
      </c>
      <c r="B22" s="101" t="s">
        <v>1328</v>
      </c>
      <c r="C22" s="98" t="s">
        <v>148</v>
      </c>
      <c r="D22" s="98" t="s">
        <v>133</v>
      </c>
      <c r="E22" s="98" t="s">
        <v>916</v>
      </c>
      <c r="F22" s="98" t="s">
        <v>1323</v>
      </c>
      <c r="G22" s="98" t="s">
        <v>1319</v>
      </c>
    </row>
    <row r="23" spans="1:7" ht="15" thickBot="1" x14ac:dyDescent="0.4">
      <c r="A23" s="98">
        <v>2041223376</v>
      </c>
      <c r="B23" s="101" t="s">
        <v>1328</v>
      </c>
      <c r="C23" s="98" t="s">
        <v>148</v>
      </c>
      <c r="D23" s="98" t="s">
        <v>133</v>
      </c>
      <c r="E23" s="98" t="s">
        <v>911</v>
      </c>
      <c r="F23" s="98" t="s">
        <v>1317</v>
      </c>
      <c r="G23" s="98" t="s">
        <v>1318</v>
      </c>
    </row>
    <row r="24" spans="1:7" ht="15" thickBot="1" x14ac:dyDescent="0.4">
      <c r="A24" s="98">
        <v>2041223376</v>
      </c>
      <c r="B24" s="101" t="s">
        <v>1328</v>
      </c>
      <c r="C24" s="98" t="s">
        <v>148</v>
      </c>
      <c r="D24" s="98" t="s">
        <v>133</v>
      </c>
      <c r="E24" s="98" t="s">
        <v>912</v>
      </c>
      <c r="F24" s="98" t="s">
        <v>1317</v>
      </c>
      <c r="G24" s="98" t="s">
        <v>1318</v>
      </c>
    </row>
    <row r="25" spans="1:7" ht="15" thickBot="1" x14ac:dyDescent="0.4">
      <c r="A25" s="98">
        <v>2041225179</v>
      </c>
      <c r="B25" s="101" t="s">
        <v>2047</v>
      </c>
      <c r="C25" s="98" t="s">
        <v>148</v>
      </c>
      <c r="D25" s="98" t="s">
        <v>133</v>
      </c>
      <c r="E25" s="98" t="s">
        <v>1321</v>
      </c>
      <c r="F25" s="98" t="s">
        <v>1317</v>
      </c>
      <c r="G25" s="98" t="s">
        <v>1318</v>
      </c>
    </row>
    <row r="26" spans="1:7" ht="15" thickBot="1" x14ac:dyDescent="0.4">
      <c r="A26" s="98">
        <v>2041225179</v>
      </c>
      <c r="B26" s="101" t="s">
        <v>2047</v>
      </c>
      <c r="C26" s="98" t="s">
        <v>148</v>
      </c>
      <c r="D26" s="98" t="s">
        <v>133</v>
      </c>
      <c r="E26" s="98" t="s">
        <v>914</v>
      </c>
      <c r="F26" s="98" t="s">
        <v>1317</v>
      </c>
      <c r="G26" s="98" t="s">
        <v>1318</v>
      </c>
    </row>
    <row r="27" spans="1:7" ht="15" thickBot="1" x14ac:dyDescent="0.4">
      <c r="A27" s="98">
        <v>2041224179</v>
      </c>
      <c r="B27" s="101" t="s">
        <v>2047</v>
      </c>
      <c r="C27" s="98" t="s">
        <v>148</v>
      </c>
      <c r="D27" s="98" t="s">
        <v>133</v>
      </c>
      <c r="E27" s="98" t="s">
        <v>911</v>
      </c>
      <c r="F27" s="98" t="s">
        <v>1317</v>
      </c>
      <c r="G27" s="98" t="s">
        <v>1318</v>
      </c>
    </row>
    <row r="28" spans="1:7" ht="15" thickBot="1" x14ac:dyDescent="0.4">
      <c r="A28" s="98">
        <v>2041221821</v>
      </c>
      <c r="B28" s="101" t="s">
        <v>1329</v>
      </c>
      <c r="C28" s="98" t="s">
        <v>148</v>
      </c>
      <c r="D28" s="98" t="s">
        <v>133</v>
      </c>
      <c r="E28" s="98" t="s">
        <v>912</v>
      </c>
      <c r="F28" s="98" t="s">
        <v>1317</v>
      </c>
      <c r="G28" s="98" t="s">
        <v>1318</v>
      </c>
    </row>
    <row r="29" spans="1:7" ht="15" thickBot="1" x14ac:dyDescent="0.4">
      <c r="A29" s="98">
        <v>2041221821</v>
      </c>
      <c r="B29" s="101" t="s">
        <v>1329</v>
      </c>
      <c r="C29" s="98" t="s">
        <v>148</v>
      </c>
      <c r="D29" s="98" t="s">
        <v>133</v>
      </c>
      <c r="E29" s="98" t="s">
        <v>913</v>
      </c>
      <c r="F29" s="98" t="s">
        <v>1317</v>
      </c>
      <c r="G29" s="98" t="s">
        <v>1318</v>
      </c>
    </row>
    <row r="30" spans="1:7" ht="15" thickBot="1" x14ac:dyDescent="0.4">
      <c r="A30" s="98">
        <v>2041221821</v>
      </c>
      <c r="B30" s="101" t="s">
        <v>1329</v>
      </c>
      <c r="C30" s="98" t="s">
        <v>148</v>
      </c>
      <c r="D30" s="98" t="s">
        <v>133</v>
      </c>
      <c r="E30" s="98" t="s">
        <v>1321</v>
      </c>
      <c r="F30" s="98" t="s">
        <v>1317</v>
      </c>
      <c r="G30" s="98" t="s">
        <v>1318</v>
      </c>
    </row>
    <row r="31" spans="1:7" ht="15" thickBot="1" x14ac:dyDescent="0.4">
      <c r="A31" s="98">
        <v>2041225451</v>
      </c>
      <c r="B31" s="101" t="s">
        <v>1330</v>
      </c>
      <c r="C31" s="98" t="s">
        <v>132</v>
      </c>
      <c r="D31" s="98" t="s">
        <v>133</v>
      </c>
      <c r="E31" s="98" t="s">
        <v>911</v>
      </c>
      <c r="F31" s="98" t="s">
        <v>1317</v>
      </c>
      <c r="G31" s="98" t="s">
        <v>1318</v>
      </c>
    </row>
    <row r="32" spans="1:7" ht="15" thickBot="1" x14ac:dyDescent="0.4">
      <c r="A32" s="98">
        <v>2041225451</v>
      </c>
      <c r="B32" s="101" t="s">
        <v>1330</v>
      </c>
      <c r="C32" s="98" t="s">
        <v>132</v>
      </c>
      <c r="D32" s="98" t="s">
        <v>133</v>
      </c>
      <c r="E32" s="98" t="s">
        <v>915</v>
      </c>
      <c r="F32" s="98" t="s">
        <v>1317</v>
      </c>
      <c r="G32" s="98" t="s">
        <v>1319</v>
      </c>
    </row>
    <row r="33" spans="1:7" ht="15" thickBot="1" x14ac:dyDescent="0.4">
      <c r="A33" s="98">
        <v>2041225846</v>
      </c>
      <c r="B33" s="101" t="s">
        <v>1331</v>
      </c>
      <c r="C33" s="98" t="s">
        <v>132</v>
      </c>
      <c r="D33" s="98" t="s">
        <v>133</v>
      </c>
      <c r="E33" s="98" t="s">
        <v>911</v>
      </c>
      <c r="F33" s="98" t="s">
        <v>1317</v>
      </c>
      <c r="G33" s="98" t="s">
        <v>1318</v>
      </c>
    </row>
    <row r="34" spans="1:7" ht="15" thickBot="1" x14ac:dyDescent="0.4">
      <c r="A34" s="98">
        <v>2041225846</v>
      </c>
      <c r="B34" s="101" t="s">
        <v>1331</v>
      </c>
      <c r="C34" s="98" t="s">
        <v>132</v>
      </c>
      <c r="D34" s="98" t="s">
        <v>133</v>
      </c>
      <c r="E34" s="98" t="s">
        <v>912</v>
      </c>
      <c r="F34" s="98" t="s">
        <v>1317</v>
      </c>
      <c r="G34" s="98" t="s">
        <v>1318</v>
      </c>
    </row>
    <row r="35" spans="1:7" ht="15" thickBot="1" x14ac:dyDescent="0.4">
      <c r="A35" s="98">
        <v>2041224545</v>
      </c>
      <c r="B35" s="101" t="s">
        <v>1332</v>
      </c>
      <c r="C35" s="98" t="s">
        <v>132</v>
      </c>
      <c r="D35" s="98" t="s">
        <v>133</v>
      </c>
      <c r="E35" s="98" t="s">
        <v>915</v>
      </c>
      <c r="F35" s="98" t="s">
        <v>1323</v>
      </c>
      <c r="G35" s="98" t="s">
        <v>1319</v>
      </c>
    </row>
    <row r="36" spans="1:7" ht="15" thickBot="1" x14ac:dyDescent="0.4">
      <c r="A36" s="98">
        <v>2041224545</v>
      </c>
      <c r="B36" s="101" t="s">
        <v>1332</v>
      </c>
      <c r="C36" s="98" t="s">
        <v>132</v>
      </c>
      <c r="D36" s="98" t="s">
        <v>133</v>
      </c>
      <c r="E36" s="98" t="s">
        <v>913</v>
      </c>
      <c r="F36" s="98" t="s">
        <v>1317</v>
      </c>
      <c r="G36" s="98" t="s">
        <v>1318</v>
      </c>
    </row>
    <row r="37" spans="1:7" ht="15" thickBot="1" x14ac:dyDescent="0.4">
      <c r="A37" s="98">
        <v>2041224545</v>
      </c>
      <c r="B37" s="101" t="s">
        <v>1332</v>
      </c>
      <c r="C37" s="98" t="s">
        <v>132</v>
      </c>
      <c r="D37" s="98" t="s">
        <v>133</v>
      </c>
      <c r="E37" s="98" t="s">
        <v>912</v>
      </c>
      <c r="F37" s="98" t="s">
        <v>1317</v>
      </c>
      <c r="G37" s="98" t="s">
        <v>1318</v>
      </c>
    </row>
    <row r="38" spans="1:7" ht="15" thickBot="1" x14ac:dyDescent="0.4">
      <c r="A38" s="98">
        <v>2041226099</v>
      </c>
      <c r="B38" s="101" t="s">
        <v>1333</v>
      </c>
      <c r="C38" s="98" t="s">
        <v>132</v>
      </c>
      <c r="D38" s="98" t="s">
        <v>133</v>
      </c>
      <c r="E38" s="98" t="s">
        <v>913</v>
      </c>
      <c r="F38" s="98" t="s">
        <v>1317</v>
      </c>
      <c r="G38" s="98" t="s">
        <v>1318</v>
      </c>
    </row>
    <row r="39" spans="1:7" ht="15" thickBot="1" x14ac:dyDescent="0.4">
      <c r="A39" s="98">
        <v>2041222755</v>
      </c>
      <c r="B39" s="101" t="s">
        <v>1334</v>
      </c>
      <c r="C39" s="98" t="s">
        <v>148</v>
      </c>
      <c r="D39" s="98" t="s">
        <v>133</v>
      </c>
      <c r="E39" s="98" t="s">
        <v>912</v>
      </c>
      <c r="F39" s="98" t="s">
        <v>1317</v>
      </c>
      <c r="G39" s="98" t="s">
        <v>1318</v>
      </c>
    </row>
    <row r="40" spans="1:7" ht="15" thickBot="1" x14ac:dyDescent="0.4">
      <c r="A40" s="98">
        <v>2041222755</v>
      </c>
      <c r="B40" s="101" t="s">
        <v>1334</v>
      </c>
      <c r="C40" s="98" t="s">
        <v>148</v>
      </c>
      <c r="D40" s="98" t="s">
        <v>133</v>
      </c>
      <c r="E40" s="98" t="s">
        <v>914</v>
      </c>
      <c r="F40" s="98" t="s">
        <v>1317</v>
      </c>
      <c r="G40" s="98" t="s">
        <v>1318</v>
      </c>
    </row>
    <row r="41" spans="1:7" ht="15" thickBot="1" x14ac:dyDescent="0.4">
      <c r="A41" s="98">
        <v>2041222755</v>
      </c>
      <c r="B41" s="101" t="s">
        <v>1334</v>
      </c>
      <c r="C41" s="98" t="s">
        <v>148</v>
      </c>
      <c r="D41" s="98" t="s">
        <v>133</v>
      </c>
      <c r="E41" s="98" t="s">
        <v>916</v>
      </c>
      <c r="F41" s="98" t="s">
        <v>1317</v>
      </c>
      <c r="G41" s="98" t="s">
        <v>1319</v>
      </c>
    </row>
    <row r="42" spans="1:7" ht="15" thickBot="1" x14ac:dyDescent="0.4">
      <c r="A42" s="98">
        <v>2041224257</v>
      </c>
      <c r="B42" s="101" t="s">
        <v>1335</v>
      </c>
      <c r="C42" s="98" t="s">
        <v>132</v>
      </c>
      <c r="D42" s="98" t="s">
        <v>133</v>
      </c>
      <c r="E42" s="98" t="s">
        <v>1321</v>
      </c>
      <c r="F42" s="98" t="s">
        <v>1317</v>
      </c>
      <c r="G42" s="98" t="s">
        <v>1318</v>
      </c>
    </row>
    <row r="43" spans="1:7" ht="15" thickBot="1" x14ac:dyDescent="0.4">
      <c r="A43" s="98">
        <v>2041224257</v>
      </c>
      <c r="B43" s="101" t="s">
        <v>1335</v>
      </c>
      <c r="C43" s="98" t="s">
        <v>132</v>
      </c>
      <c r="D43" s="98" t="s">
        <v>133</v>
      </c>
      <c r="E43" s="98" t="s">
        <v>912</v>
      </c>
      <c r="F43" s="98" t="s">
        <v>1317</v>
      </c>
      <c r="G43" s="98" t="s">
        <v>1318</v>
      </c>
    </row>
    <row r="44" spans="1:7" ht="15" thickBot="1" x14ac:dyDescent="0.4">
      <c r="A44" s="98">
        <v>2041224257</v>
      </c>
      <c r="B44" s="101" t="s">
        <v>1335</v>
      </c>
      <c r="C44" s="98" t="s">
        <v>132</v>
      </c>
      <c r="D44" s="98" t="s">
        <v>133</v>
      </c>
      <c r="E44" s="98" t="s">
        <v>916</v>
      </c>
      <c r="F44" s="98" t="s">
        <v>1323</v>
      </c>
      <c r="G44" s="98" t="s">
        <v>1319</v>
      </c>
    </row>
    <row r="45" spans="1:7" ht="15" thickBot="1" x14ac:dyDescent="0.4">
      <c r="A45" s="98">
        <v>2041225524</v>
      </c>
      <c r="B45" s="101" t="s">
        <v>1336</v>
      </c>
      <c r="C45" s="98" t="s">
        <v>148</v>
      </c>
      <c r="D45" s="98" t="s">
        <v>133</v>
      </c>
      <c r="E45" s="98" t="s">
        <v>912</v>
      </c>
      <c r="F45" s="98" t="s">
        <v>1317</v>
      </c>
      <c r="G45" s="98" t="s">
        <v>1318</v>
      </c>
    </row>
    <row r="46" spans="1:7" ht="15" thickBot="1" x14ac:dyDescent="0.4">
      <c r="A46" s="98">
        <v>2041225524</v>
      </c>
      <c r="B46" s="101" t="s">
        <v>1336</v>
      </c>
      <c r="C46" s="98" t="s">
        <v>148</v>
      </c>
      <c r="D46" s="98" t="s">
        <v>133</v>
      </c>
      <c r="E46" s="98" t="s">
        <v>915</v>
      </c>
      <c r="F46" s="98" t="s">
        <v>1323</v>
      </c>
      <c r="G46" s="98" t="s">
        <v>1319</v>
      </c>
    </row>
    <row r="47" spans="1:7" ht="15" thickBot="1" x14ac:dyDescent="0.4">
      <c r="A47" s="98">
        <v>2041222309</v>
      </c>
      <c r="B47" s="101" t="s">
        <v>1337</v>
      </c>
      <c r="C47" s="98" t="s">
        <v>148</v>
      </c>
      <c r="D47" s="98" t="s">
        <v>133</v>
      </c>
      <c r="E47" s="98" t="s">
        <v>914</v>
      </c>
      <c r="F47" s="98" t="s">
        <v>1317</v>
      </c>
      <c r="G47" s="98" t="s">
        <v>1318</v>
      </c>
    </row>
    <row r="48" spans="1:7" ht="15" thickBot="1" x14ac:dyDescent="0.4">
      <c r="A48" s="98">
        <v>2041222309</v>
      </c>
      <c r="B48" s="101" t="s">
        <v>1337</v>
      </c>
      <c r="C48" s="98" t="s">
        <v>148</v>
      </c>
      <c r="D48" s="98" t="s">
        <v>133</v>
      </c>
      <c r="E48" s="98" t="s">
        <v>912</v>
      </c>
      <c r="F48" s="98" t="s">
        <v>1317</v>
      </c>
      <c r="G48" s="98" t="s">
        <v>1318</v>
      </c>
    </row>
    <row r="49" spans="1:7" ht="15" thickBot="1" x14ac:dyDescent="0.4">
      <c r="A49" s="98">
        <v>2041222309</v>
      </c>
      <c r="B49" s="101" t="s">
        <v>1337</v>
      </c>
      <c r="C49" s="98" t="s">
        <v>148</v>
      </c>
      <c r="D49" s="98" t="s">
        <v>133</v>
      </c>
      <c r="E49" s="98" t="s">
        <v>914</v>
      </c>
      <c r="F49" s="98" t="s">
        <v>1317</v>
      </c>
      <c r="G49" s="98" t="s">
        <v>1318</v>
      </c>
    </row>
    <row r="50" spans="1:7" ht="15" thickBot="1" x14ac:dyDescent="0.4">
      <c r="A50" s="98">
        <v>2041222309</v>
      </c>
      <c r="B50" s="101" t="s">
        <v>1337</v>
      </c>
      <c r="C50" s="98" t="s">
        <v>148</v>
      </c>
      <c r="D50" s="98" t="s">
        <v>133</v>
      </c>
      <c r="E50" s="98" t="s">
        <v>912</v>
      </c>
      <c r="F50" s="98" t="s">
        <v>1317</v>
      </c>
      <c r="G50" s="98" t="s">
        <v>1318</v>
      </c>
    </row>
    <row r="51" spans="1:7" ht="15" thickBot="1" x14ac:dyDescent="0.4">
      <c r="A51" s="98">
        <v>2041222309</v>
      </c>
      <c r="B51" s="101" t="s">
        <v>1337</v>
      </c>
      <c r="C51" s="98" t="s">
        <v>148</v>
      </c>
      <c r="D51" s="98" t="s">
        <v>133</v>
      </c>
      <c r="E51" s="98" t="s">
        <v>915</v>
      </c>
      <c r="F51" s="98" t="s">
        <v>1323</v>
      </c>
      <c r="G51" s="98" t="s">
        <v>1319</v>
      </c>
    </row>
    <row r="52" spans="1:7" ht="15" thickBot="1" x14ac:dyDescent="0.4">
      <c r="A52" s="98">
        <v>2041222309</v>
      </c>
      <c r="B52" s="101" t="s">
        <v>1337</v>
      </c>
      <c r="C52" s="98" t="s">
        <v>148</v>
      </c>
      <c r="D52" s="98" t="s">
        <v>133</v>
      </c>
      <c r="E52" s="98" t="s">
        <v>915</v>
      </c>
      <c r="F52" s="98" t="s">
        <v>1323</v>
      </c>
      <c r="G52" s="98" t="s">
        <v>1319</v>
      </c>
    </row>
    <row r="53" spans="1:7" ht="15" thickBot="1" x14ac:dyDescent="0.4">
      <c r="A53" s="98">
        <v>2041224065</v>
      </c>
      <c r="B53" s="101" t="s">
        <v>2054</v>
      </c>
      <c r="C53" s="98" t="s">
        <v>148</v>
      </c>
      <c r="D53" s="98" t="s">
        <v>133</v>
      </c>
      <c r="E53" s="98" t="s">
        <v>912</v>
      </c>
      <c r="F53" s="98" t="s">
        <v>1317</v>
      </c>
      <c r="G53" s="98" t="s">
        <v>1318</v>
      </c>
    </row>
    <row r="54" spans="1:7" ht="15" thickBot="1" x14ac:dyDescent="0.4">
      <c r="A54" s="98">
        <v>2041224065</v>
      </c>
      <c r="B54" s="101" t="s">
        <v>2054</v>
      </c>
      <c r="C54" s="98" t="s">
        <v>148</v>
      </c>
      <c r="D54" s="98" t="s">
        <v>133</v>
      </c>
      <c r="E54" s="98" t="s">
        <v>911</v>
      </c>
      <c r="F54" s="98" t="s">
        <v>1317</v>
      </c>
      <c r="G54" s="98" t="s">
        <v>1318</v>
      </c>
    </row>
    <row r="55" spans="1:7" ht="15" thickBot="1" x14ac:dyDescent="0.4">
      <c r="A55" s="98">
        <v>2041224065</v>
      </c>
      <c r="B55" s="101" t="s">
        <v>2054</v>
      </c>
      <c r="C55" s="98" t="s">
        <v>148</v>
      </c>
      <c r="D55" s="98" t="s">
        <v>133</v>
      </c>
      <c r="E55" s="98" t="s">
        <v>916</v>
      </c>
      <c r="F55" s="98" t="s">
        <v>1317</v>
      </c>
      <c r="G55" s="98" t="s">
        <v>1319</v>
      </c>
    </row>
    <row r="56" spans="1:7" ht="15" thickBot="1" x14ac:dyDescent="0.4">
      <c r="A56" s="98">
        <v>2041226123</v>
      </c>
      <c r="B56" s="101" t="s">
        <v>1338</v>
      </c>
      <c r="C56" s="98" t="s">
        <v>132</v>
      </c>
      <c r="D56" s="98" t="s">
        <v>133</v>
      </c>
      <c r="E56" s="98" t="s">
        <v>911</v>
      </c>
      <c r="F56" s="98" t="s">
        <v>1317</v>
      </c>
      <c r="G56" s="98" t="s">
        <v>1318</v>
      </c>
    </row>
    <row r="57" spans="1:7" ht="15" thickBot="1" x14ac:dyDescent="0.4">
      <c r="A57" s="98">
        <v>2041226123</v>
      </c>
      <c r="B57" s="101" t="s">
        <v>1338</v>
      </c>
      <c r="C57" s="98" t="s">
        <v>132</v>
      </c>
      <c r="D57" s="98" t="s">
        <v>133</v>
      </c>
      <c r="E57" s="98" t="s">
        <v>912</v>
      </c>
      <c r="F57" s="98" t="s">
        <v>1317</v>
      </c>
      <c r="G57" s="98" t="s">
        <v>1318</v>
      </c>
    </row>
    <row r="58" spans="1:7" ht="15" thickBot="1" x14ac:dyDescent="0.4">
      <c r="A58" s="98">
        <v>2041226123</v>
      </c>
      <c r="B58" s="101" t="s">
        <v>1338</v>
      </c>
      <c r="C58" s="98" t="s">
        <v>132</v>
      </c>
      <c r="D58" s="98" t="s">
        <v>133</v>
      </c>
      <c r="E58" s="98" t="s">
        <v>915</v>
      </c>
      <c r="F58" s="98" t="s">
        <v>1323</v>
      </c>
      <c r="G58" s="98" t="s">
        <v>1319</v>
      </c>
    </row>
    <row r="59" spans="1:7" ht="15" thickBot="1" x14ac:dyDescent="0.4">
      <c r="A59" s="98">
        <v>2041221454</v>
      </c>
      <c r="B59" s="101" t="s">
        <v>1339</v>
      </c>
      <c r="C59" s="98" t="s">
        <v>148</v>
      </c>
      <c r="D59" s="98" t="s">
        <v>133</v>
      </c>
      <c r="E59" s="98" t="s">
        <v>914</v>
      </c>
      <c r="F59" s="98" t="s">
        <v>1317</v>
      </c>
      <c r="G59" s="98" t="s">
        <v>1318</v>
      </c>
    </row>
    <row r="60" spans="1:7" ht="15" thickBot="1" x14ac:dyDescent="0.4">
      <c r="A60" s="98">
        <v>2041221454</v>
      </c>
      <c r="B60" s="101" t="s">
        <v>1340</v>
      </c>
      <c r="C60" s="98" t="s">
        <v>148</v>
      </c>
      <c r="D60" s="98" t="s">
        <v>133</v>
      </c>
      <c r="E60" s="98" t="s">
        <v>911</v>
      </c>
      <c r="F60" s="98" t="s">
        <v>1317</v>
      </c>
      <c r="G60" s="98" t="s">
        <v>1318</v>
      </c>
    </row>
    <row r="61" spans="1:7" ht="15" thickBot="1" x14ac:dyDescent="0.4">
      <c r="A61" s="98">
        <v>2041220863</v>
      </c>
      <c r="B61" s="101" t="s">
        <v>1341</v>
      </c>
      <c r="C61" s="98" t="s">
        <v>148</v>
      </c>
      <c r="D61" s="98" t="s">
        <v>133</v>
      </c>
      <c r="E61" s="98" t="s">
        <v>1321</v>
      </c>
      <c r="F61" s="98" t="s">
        <v>1317</v>
      </c>
      <c r="G61" s="98" t="s">
        <v>1318</v>
      </c>
    </row>
    <row r="62" spans="1:7" ht="15" thickBot="1" x14ac:dyDescent="0.4">
      <c r="A62" s="98">
        <v>2041220863</v>
      </c>
      <c r="B62" s="101" t="s">
        <v>1341</v>
      </c>
      <c r="C62" s="98" t="s">
        <v>148</v>
      </c>
      <c r="D62" s="98" t="s">
        <v>133</v>
      </c>
      <c r="E62" s="98" t="s">
        <v>911</v>
      </c>
      <c r="F62" s="98" t="s">
        <v>1317</v>
      </c>
      <c r="G62" s="98" t="s">
        <v>1318</v>
      </c>
    </row>
    <row r="63" spans="1:7" ht="15" thickBot="1" x14ac:dyDescent="0.4">
      <c r="A63" s="98">
        <v>2041220863</v>
      </c>
      <c r="B63" s="101" t="s">
        <v>1341</v>
      </c>
      <c r="C63" s="98" t="s">
        <v>148</v>
      </c>
      <c r="D63" s="98" t="s">
        <v>133</v>
      </c>
      <c r="E63" s="98" t="s">
        <v>1342</v>
      </c>
      <c r="F63" s="98" t="s">
        <v>1317</v>
      </c>
      <c r="G63" s="98" t="s">
        <v>1318</v>
      </c>
    </row>
    <row r="64" spans="1:7" ht="15" thickBot="1" x14ac:dyDescent="0.4">
      <c r="A64" s="98">
        <v>2041224348</v>
      </c>
      <c r="B64" s="101" t="s">
        <v>1343</v>
      </c>
      <c r="C64" s="98" t="s">
        <v>132</v>
      </c>
      <c r="D64" s="98" t="s">
        <v>133</v>
      </c>
      <c r="E64" s="98" t="s">
        <v>911</v>
      </c>
      <c r="F64" s="98" t="s">
        <v>1317</v>
      </c>
      <c r="G64" s="98" t="s">
        <v>1318</v>
      </c>
    </row>
    <row r="65" spans="1:7" ht="15" thickBot="1" x14ac:dyDescent="0.4">
      <c r="A65" s="98">
        <v>2041224424</v>
      </c>
      <c r="B65" s="101" t="s">
        <v>1344</v>
      </c>
      <c r="C65" s="98" t="s">
        <v>148</v>
      </c>
      <c r="D65" s="98" t="s">
        <v>133</v>
      </c>
      <c r="E65" s="98" t="s">
        <v>912</v>
      </c>
      <c r="F65" s="98" t="s">
        <v>1317</v>
      </c>
      <c r="G65" s="98" t="s">
        <v>1318</v>
      </c>
    </row>
    <row r="66" spans="1:7" ht="15" thickBot="1" x14ac:dyDescent="0.4">
      <c r="A66" s="98">
        <v>2041224424</v>
      </c>
      <c r="B66" s="101" t="s">
        <v>1344</v>
      </c>
      <c r="C66" s="98" t="s">
        <v>148</v>
      </c>
      <c r="D66" s="98" t="s">
        <v>133</v>
      </c>
      <c r="E66" s="98" t="s">
        <v>911</v>
      </c>
      <c r="F66" s="98" t="s">
        <v>1317</v>
      </c>
      <c r="G66" s="98" t="s">
        <v>1318</v>
      </c>
    </row>
    <row r="67" spans="1:7" ht="15" thickBot="1" x14ac:dyDescent="0.4">
      <c r="A67" s="98">
        <v>2041222986</v>
      </c>
      <c r="B67" s="101" t="s">
        <v>1345</v>
      </c>
      <c r="C67" s="98" t="s">
        <v>132</v>
      </c>
      <c r="D67" s="98" t="s">
        <v>133</v>
      </c>
      <c r="E67" s="98" t="s">
        <v>914</v>
      </c>
      <c r="F67" s="98" t="s">
        <v>1317</v>
      </c>
      <c r="G67" s="98" t="s">
        <v>1318</v>
      </c>
    </row>
    <row r="68" spans="1:7" ht="15" thickBot="1" x14ac:dyDescent="0.4">
      <c r="A68" s="98">
        <v>2041222986</v>
      </c>
      <c r="B68" s="101" t="s">
        <v>1345</v>
      </c>
      <c r="C68" s="98" t="s">
        <v>132</v>
      </c>
      <c r="D68" s="98" t="s">
        <v>133</v>
      </c>
      <c r="E68" s="98" t="s">
        <v>911</v>
      </c>
      <c r="F68" s="98" t="s">
        <v>1317</v>
      </c>
      <c r="G68" s="98" t="s">
        <v>1318</v>
      </c>
    </row>
    <row r="69" spans="1:7" ht="15" thickBot="1" x14ac:dyDescent="0.4">
      <c r="A69" s="98">
        <v>2041223767</v>
      </c>
      <c r="B69" s="101" t="s">
        <v>1346</v>
      </c>
      <c r="C69" s="98" t="s">
        <v>148</v>
      </c>
      <c r="D69" s="98" t="s">
        <v>133</v>
      </c>
      <c r="E69" s="98" t="s">
        <v>912</v>
      </c>
      <c r="F69" s="98" t="s">
        <v>1317</v>
      </c>
      <c r="G69" s="98" t="s">
        <v>1318</v>
      </c>
    </row>
    <row r="70" spans="1:7" ht="15" thickBot="1" x14ac:dyDescent="0.4">
      <c r="A70" s="98">
        <v>2041223767</v>
      </c>
      <c r="B70" s="101" t="s">
        <v>1346</v>
      </c>
      <c r="C70" s="98" t="s">
        <v>148</v>
      </c>
      <c r="D70" s="98" t="s">
        <v>133</v>
      </c>
      <c r="E70" s="98" t="s">
        <v>911</v>
      </c>
      <c r="F70" s="98" t="s">
        <v>1317</v>
      </c>
      <c r="G70" s="98" t="s">
        <v>1318</v>
      </c>
    </row>
    <row r="71" spans="1:7" ht="15" thickBot="1" x14ac:dyDescent="0.4">
      <c r="A71" s="98">
        <v>2041223767</v>
      </c>
      <c r="B71" s="101" t="s">
        <v>1346</v>
      </c>
      <c r="C71" s="98" t="s">
        <v>148</v>
      </c>
      <c r="D71" s="98" t="s">
        <v>133</v>
      </c>
      <c r="E71" s="98" t="s">
        <v>916</v>
      </c>
      <c r="F71" s="98" t="s">
        <v>1317</v>
      </c>
      <c r="G71" s="98" t="s">
        <v>1319</v>
      </c>
    </row>
    <row r="72" spans="1:7" ht="15" thickBot="1" x14ac:dyDescent="0.4">
      <c r="A72" s="98">
        <v>2041221287</v>
      </c>
      <c r="B72" s="101" t="s">
        <v>2069</v>
      </c>
      <c r="C72" s="98" t="s">
        <v>148</v>
      </c>
      <c r="D72" s="98" t="s">
        <v>133</v>
      </c>
      <c r="E72" s="98" t="s">
        <v>912</v>
      </c>
      <c r="F72" s="98" t="s">
        <v>1317</v>
      </c>
      <c r="G72" s="98" t="s">
        <v>1318</v>
      </c>
    </row>
    <row r="73" spans="1:7" ht="15" thickBot="1" x14ac:dyDescent="0.4">
      <c r="A73" s="98">
        <v>2041221287</v>
      </c>
      <c r="B73" s="101" t="s">
        <v>2069</v>
      </c>
      <c r="C73" s="98" t="s">
        <v>148</v>
      </c>
      <c r="D73" s="98" t="s">
        <v>133</v>
      </c>
      <c r="E73" s="98" t="s">
        <v>911</v>
      </c>
      <c r="F73" s="98" t="s">
        <v>1317</v>
      </c>
      <c r="G73" s="98" t="s">
        <v>1318</v>
      </c>
    </row>
    <row r="74" spans="1:7" ht="15" thickBot="1" x14ac:dyDescent="0.4">
      <c r="A74" s="98">
        <v>2041225321</v>
      </c>
      <c r="B74" s="101" t="s">
        <v>1347</v>
      </c>
      <c r="C74" s="98" t="s">
        <v>132</v>
      </c>
      <c r="D74" s="98" t="s">
        <v>133</v>
      </c>
      <c r="E74" s="98" t="s">
        <v>913</v>
      </c>
      <c r="F74" s="98" t="s">
        <v>1317</v>
      </c>
      <c r="G74" s="98" t="s">
        <v>1318</v>
      </c>
    </row>
    <row r="75" spans="1:7" ht="15" thickBot="1" x14ac:dyDescent="0.4">
      <c r="A75" s="98">
        <v>2041225321</v>
      </c>
      <c r="B75" s="101" t="s">
        <v>1347</v>
      </c>
      <c r="C75" s="98" t="s">
        <v>132</v>
      </c>
      <c r="D75" s="98" t="s">
        <v>133</v>
      </c>
      <c r="E75" s="98" t="s">
        <v>912</v>
      </c>
      <c r="F75" s="98" t="s">
        <v>1317</v>
      </c>
      <c r="G75" s="98" t="s">
        <v>1318</v>
      </c>
    </row>
    <row r="76" spans="1:7" ht="15" thickBot="1" x14ac:dyDescent="0.4">
      <c r="A76" s="98">
        <v>2041225321</v>
      </c>
      <c r="B76" s="101" t="s">
        <v>1347</v>
      </c>
      <c r="C76" s="98" t="s">
        <v>132</v>
      </c>
      <c r="D76" s="98" t="s">
        <v>133</v>
      </c>
      <c r="E76" s="98" t="s">
        <v>915</v>
      </c>
      <c r="F76" s="98" t="s">
        <v>1323</v>
      </c>
      <c r="G76" s="98" t="s">
        <v>1319</v>
      </c>
    </row>
    <row r="77" spans="1:7" ht="15" thickBot="1" x14ac:dyDescent="0.4">
      <c r="A77" s="98">
        <v>2022218340</v>
      </c>
      <c r="B77" s="101" t="s">
        <v>1348</v>
      </c>
      <c r="C77" s="98" t="s">
        <v>302</v>
      </c>
      <c r="D77" s="98" t="s">
        <v>133</v>
      </c>
      <c r="E77" s="98" t="s">
        <v>916</v>
      </c>
      <c r="F77" s="98" t="s">
        <v>1323</v>
      </c>
      <c r="G77" s="98" t="s">
        <v>1319</v>
      </c>
    </row>
    <row r="78" spans="1:7" ht="15" thickBot="1" x14ac:dyDescent="0.4">
      <c r="A78" s="98">
        <v>2041226084</v>
      </c>
      <c r="B78" s="101" t="s">
        <v>2046</v>
      </c>
      <c r="C78" s="98" t="s">
        <v>132</v>
      </c>
      <c r="D78" s="98" t="s">
        <v>133</v>
      </c>
      <c r="E78" s="98" t="s">
        <v>1321</v>
      </c>
      <c r="F78" s="98" t="s">
        <v>1317</v>
      </c>
      <c r="G78" s="98" t="s">
        <v>1318</v>
      </c>
    </row>
    <row r="79" spans="1:7" ht="15" thickBot="1" x14ac:dyDescent="0.4">
      <c r="A79" s="98">
        <v>2041226084</v>
      </c>
      <c r="B79" s="101" t="s">
        <v>2046</v>
      </c>
      <c r="C79" s="98" t="s">
        <v>132</v>
      </c>
      <c r="D79" s="98" t="s">
        <v>133</v>
      </c>
      <c r="E79" s="98" t="s">
        <v>911</v>
      </c>
      <c r="F79" s="98" t="s">
        <v>1317</v>
      </c>
      <c r="G79" s="98" t="s">
        <v>1318</v>
      </c>
    </row>
    <row r="80" spans="1:7" ht="15" thickBot="1" x14ac:dyDescent="0.4">
      <c r="A80" s="98">
        <v>2041226084</v>
      </c>
      <c r="B80" s="101" t="s">
        <v>2046</v>
      </c>
      <c r="C80" s="98" t="s">
        <v>132</v>
      </c>
      <c r="D80" s="98" t="s">
        <v>133</v>
      </c>
      <c r="E80" s="98" t="s">
        <v>915</v>
      </c>
      <c r="F80" s="98" t="s">
        <v>1317</v>
      </c>
      <c r="G80" s="98" t="s">
        <v>1319</v>
      </c>
    </row>
    <row r="81" spans="1:7" ht="15" thickBot="1" x14ac:dyDescent="0.4">
      <c r="A81" s="98">
        <v>2041225290</v>
      </c>
      <c r="B81" s="101" t="s">
        <v>1349</v>
      </c>
      <c r="C81" s="98" t="s">
        <v>132</v>
      </c>
      <c r="D81" s="98" t="s">
        <v>133</v>
      </c>
      <c r="E81" s="98" t="s">
        <v>911</v>
      </c>
      <c r="F81" s="98" t="s">
        <v>1323</v>
      </c>
      <c r="G81" s="98" t="s">
        <v>1318</v>
      </c>
    </row>
    <row r="82" spans="1:7" ht="15" thickBot="1" x14ac:dyDescent="0.4">
      <c r="A82" s="98">
        <v>2041225290</v>
      </c>
      <c r="B82" s="101" t="s">
        <v>1349</v>
      </c>
      <c r="C82" s="98" t="s">
        <v>132</v>
      </c>
      <c r="D82" s="98" t="s">
        <v>133</v>
      </c>
      <c r="E82" s="98" t="s">
        <v>912</v>
      </c>
      <c r="F82" s="98" t="s">
        <v>1317</v>
      </c>
      <c r="G82" s="98" t="s">
        <v>1318</v>
      </c>
    </row>
    <row r="83" spans="1:7" ht="15" thickBot="1" x14ac:dyDescent="0.4">
      <c r="A83" s="98">
        <v>2041225290</v>
      </c>
      <c r="B83" s="101" t="s">
        <v>1349</v>
      </c>
      <c r="C83" s="98" t="s">
        <v>132</v>
      </c>
      <c r="D83" s="98" t="s">
        <v>133</v>
      </c>
      <c r="E83" s="98" t="s">
        <v>915</v>
      </c>
      <c r="F83" s="98" t="s">
        <v>1317</v>
      </c>
      <c r="G83" s="98" t="s">
        <v>1319</v>
      </c>
    </row>
    <row r="84" spans="1:7" ht="15" thickBot="1" x14ac:dyDescent="0.4">
      <c r="A84" s="98">
        <v>2041224811</v>
      </c>
      <c r="B84" s="101" t="s">
        <v>2076</v>
      </c>
      <c r="C84" s="98" t="s">
        <v>148</v>
      </c>
      <c r="D84" s="98" t="s">
        <v>133</v>
      </c>
      <c r="E84" s="98" t="s">
        <v>911</v>
      </c>
      <c r="F84" s="98" t="s">
        <v>1317</v>
      </c>
      <c r="G84" s="98" t="s">
        <v>1318</v>
      </c>
    </row>
    <row r="85" spans="1:7" ht="15" thickBot="1" x14ac:dyDescent="0.4">
      <c r="A85" s="98">
        <v>2041222688</v>
      </c>
      <c r="B85" s="101" t="s">
        <v>1350</v>
      </c>
      <c r="C85" s="98" t="s">
        <v>148</v>
      </c>
      <c r="D85" s="98" t="s">
        <v>133</v>
      </c>
      <c r="E85" s="98" t="s">
        <v>911</v>
      </c>
      <c r="F85" s="98" t="s">
        <v>1317</v>
      </c>
      <c r="G85" s="98" t="s">
        <v>1318</v>
      </c>
    </row>
    <row r="86" spans="1:7" ht="15" thickBot="1" x14ac:dyDescent="0.4">
      <c r="A86" s="98">
        <v>2041222688</v>
      </c>
      <c r="B86" s="101" t="s">
        <v>1350</v>
      </c>
      <c r="C86" s="98" t="s">
        <v>148</v>
      </c>
      <c r="D86" s="98" t="s">
        <v>133</v>
      </c>
      <c r="E86" s="98" t="s">
        <v>915</v>
      </c>
      <c r="F86" s="98" t="s">
        <v>1317</v>
      </c>
      <c r="G86" s="98" t="s">
        <v>1319</v>
      </c>
    </row>
    <row r="87" spans="1:7" ht="15" thickBot="1" x14ac:dyDescent="0.4">
      <c r="A87" s="98">
        <v>2041222688</v>
      </c>
      <c r="B87" s="101" t="s">
        <v>1350</v>
      </c>
      <c r="C87" s="98" t="s">
        <v>148</v>
      </c>
      <c r="D87" s="98" t="s">
        <v>133</v>
      </c>
      <c r="E87" s="98" t="s">
        <v>912</v>
      </c>
      <c r="F87" s="98" t="s">
        <v>1317</v>
      </c>
      <c r="G87" s="98" t="s">
        <v>1318</v>
      </c>
    </row>
    <row r="88" spans="1:7" ht="15" thickBot="1" x14ac:dyDescent="0.4">
      <c r="A88" s="98">
        <v>2041222302</v>
      </c>
      <c r="B88" s="101" t="s">
        <v>1351</v>
      </c>
      <c r="C88" s="98" t="s">
        <v>148</v>
      </c>
      <c r="D88" s="98" t="s">
        <v>133</v>
      </c>
      <c r="E88" s="98" t="s">
        <v>1321</v>
      </c>
      <c r="F88" s="98" t="s">
        <v>1317</v>
      </c>
      <c r="G88" s="98" t="s">
        <v>1318</v>
      </c>
    </row>
    <row r="89" spans="1:7" ht="15" thickBot="1" x14ac:dyDescent="0.4">
      <c r="A89" s="98">
        <v>2041222302</v>
      </c>
      <c r="B89" s="101" t="s">
        <v>1351</v>
      </c>
      <c r="C89" s="98" t="s">
        <v>148</v>
      </c>
      <c r="D89" s="98" t="s">
        <v>133</v>
      </c>
      <c r="E89" s="98" t="s">
        <v>916</v>
      </c>
      <c r="F89" s="98" t="s">
        <v>1317</v>
      </c>
      <c r="G89" s="98" t="s">
        <v>1319</v>
      </c>
    </row>
    <row r="90" spans="1:7" ht="15" thickBot="1" x14ac:dyDescent="0.4">
      <c r="A90" s="98">
        <v>2041222302</v>
      </c>
      <c r="B90" s="101" t="s">
        <v>1351</v>
      </c>
      <c r="C90" s="98" t="s">
        <v>148</v>
      </c>
      <c r="D90" s="98" t="s">
        <v>133</v>
      </c>
      <c r="E90" s="98" t="s">
        <v>911</v>
      </c>
      <c r="F90" s="98" t="s">
        <v>1317</v>
      </c>
      <c r="G90" s="98" t="s">
        <v>1318</v>
      </c>
    </row>
    <row r="91" spans="1:7" ht="15" thickBot="1" x14ac:dyDescent="0.4">
      <c r="A91" s="98">
        <v>2041220248</v>
      </c>
      <c r="B91" s="101" t="s">
        <v>1352</v>
      </c>
      <c r="C91" s="98" t="s">
        <v>148</v>
      </c>
      <c r="D91" s="98" t="s">
        <v>133</v>
      </c>
      <c r="E91" s="98" t="s">
        <v>1321</v>
      </c>
      <c r="F91" s="98" t="s">
        <v>1317</v>
      </c>
      <c r="G91" s="98" t="s">
        <v>1318</v>
      </c>
    </row>
    <row r="92" spans="1:7" ht="15" thickBot="1" x14ac:dyDescent="0.4">
      <c r="A92" s="98">
        <v>2041220248</v>
      </c>
      <c r="B92" s="101" t="s">
        <v>1352</v>
      </c>
      <c r="C92" s="98" t="s">
        <v>148</v>
      </c>
      <c r="D92" s="98" t="s">
        <v>133</v>
      </c>
      <c r="E92" s="98" t="s">
        <v>912</v>
      </c>
      <c r="F92" s="98" t="s">
        <v>1317</v>
      </c>
      <c r="G92" s="98" t="s">
        <v>1318</v>
      </c>
    </row>
    <row r="93" spans="1:7" ht="15" thickBot="1" x14ac:dyDescent="0.4">
      <c r="A93" s="98">
        <v>2041220248</v>
      </c>
      <c r="B93" s="101" t="s">
        <v>1352</v>
      </c>
      <c r="C93" s="98" t="s">
        <v>148</v>
      </c>
      <c r="D93" s="98" t="s">
        <v>133</v>
      </c>
      <c r="E93" s="98" t="s">
        <v>1321</v>
      </c>
      <c r="F93" s="98" t="s">
        <v>1317</v>
      </c>
      <c r="G93" s="98" t="s">
        <v>1318</v>
      </c>
    </row>
    <row r="94" spans="1:7" ht="15" thickBot="1" x14ac:dyDescent="0.4">
      <c r="A94" s="98">
        <v>2041220248</v>
      </c>
      <c r="B94" s="101" t="s">
        <v>1352</v>
      </c>
      <c r="C94" s="98" t="s">
        <v>148</v>
      </c>
      <c r="D94" s="98" t="s">
        <v>133</v>
      </c>
      <c r="E94" s="98" t="s">
        <v>911</v>
      </c>
      <c r="F94" s="98" t="s">
        <v>1317</v>
      </c>
      <c r="G94" s="98" t="s">
        <v>1318</v>
      </c>
    </row>
    <row r="95" spans="1:7" ht="15" thickBot="1" x14ac:dyDescent="0.4">
      <c r="A95" s="98">
        <v>2041226111</v>
      </c>
      <c r="B95" s="101" t="s">
        <v>1353</v>
      </c>
      <c r="C95" s="98" t="s">
        <v>132</v>
      </c>
      <c r="D95" s="98" t="s">
        <v>133</v>
      </c>
      <c r="E95" s="98" t="s">
        <v>912</v>
      </c>
      <c r="F95" s="98" t="s">
        <v>1317</v>
      </c>
      <c r="G95" s="98" t="s">
        <v>1318</v>
      </c>
    </row>
    <row r="96" spans="1:7" ht="15" thickBot="1" x14ac:dyDescent="0.4">
      <c r="A96" s="98">
        <v>2041226111</v>
      </c>
      <c r="B96" s="101" t="s">
        <v>1353</v>
      </c>
      <c r="C96" s="98" t="s">
        <v>132</v>
      </c>
      <c r="D96" s="98" t="s">
        <v>133</v>
      </c>
      <c r="E96" s="98" t="s">
        <v>911</v>
      </c>
      <c r="F96" s="98" t="s">
        <v>1317</v>
      </c>
      <c r="G96" s="98" t="s">
        <v>1318</v>
      </c>
    </row>
    <row r="97" spans="1:7" ht="15" thickBot="1" x14ac:dyDescent="0.4">
      <c r="A97" s="98">
        <v>2041226111</v>
      </c>
      <c r="B97" s="101" t="s">
        <v>1353</v>
      </c>
      <c r="C97" s="98" t="s">
        <v>132</v>
      </c>
      <c r="D97" s="98" t="s">
        <v>133</v>
      </c>
      <c r="E97" s="98" t="s">
        <v>915</v>
      </c>
      <c r="F97" s="98" t="s">
        <v>1317</v>
      </c>
      <c r="G97" s="98" t="s">
        <v>1319</v>
      </c>
    </row>
    <row r="98" spans="1:7" ht="15" thickBot="1" x14ac:dyDescent="0.4">
      <c r="A98" s="98">
        <v>2041224166</v>
      </c>
      <c r="B98" s="101" t="s">
        <v>1354</v>
      </c>
      <c r="C98" s="98" t="s">
        <v>148</v>
      </c>
      <c r="D98" s="98" t="s">
        <v>133</v>
      </c>
      <c r="E98" s="98" t="s">
        <v>912</v>
      </c>
      <c r="F98" s="98" t="s">
        <v>1317</v>
      </c>
      <c r="G98" s="98" t="s">
        <v>1318</v>
      </c>
    </row>
    <row r="99" spans="1:7" ht="15" thickBot="1" x14ac:dyDescent="0.4">
      <c r="A99" s="98">
        <v>2041224166</v>
      </c>
      <c r="B99" s="101" t="s">
        <v>1354</v>
      </c>
      <c r="C99" s="98" t="s">
        <v>148</v>
      </c>
      <c r="D99" s="98" t="s">
        <v>133</v>
      </c>
      <c r="E99" s="98" t="s">
        <v>911</v>
      </c>
      <c r="F99" s="98" t="s">
        <v>1317</v>
      </c>
      <c r="G99" s="98" t="s">
        <v>1318</v>
      </c>
    </row>
    <row r="100" spans="1:7" ht="15" thickBot="1" x14ac:dyDescent="0.4">
      <c r="A100" s="98">
        <v>2041224166</v>
      </c>
      <c r="B100" s="101" t="s">
        <v>1354</v>
      </c>
      <c r="C100" s="98" t="s">
        <v>148</v>
      </c>
      <c r="D100" s="98" t="s">
        <v>133</v>
      </c>
      <c r="E100" s="98" t="s">
        <v>915</v>
      </c>
      <c r="F100" s="98" t="s">
        <v>1323</v>
      </c>
      <c r="G100" s="98" t="s">
        <v>1319</v>
      </c>
    </row>
    <row r="101" spans="1:7" ht="15" thickBot="1" x14ac:dyDescent="0.4">
      <c r="A101" s="98">
        <v>2041225749</v>
      </c>
      <c r="B101" s="101" t="s">
        <v>1597</v>
      </c>
      <c r="C101" s="98" t="s">
        <v>148</v>
      </c>
      <c r="D101" s="98" t="s">
        <v>133</v>
      </c>
      <c r="E101" s="98" t="s">
        <v>914</v>
      </c>
      <c r="F101" s="98" t="s">
        <v>1317</v>
      </c>
      <c r="G101" s="98" t="s">
        <v>1318</v>
      </c>
    </row>
    <row r="102" spans="1:7" ht="15" thickBot="1" x14ac:dyDescent="0.4">
      <c r="A102" s="98">
        <v>2041221730</v>
      </c>
      <c r="B102" s="101" t="s">
        <v>1355</v>
      </c>
      <c r="C102" s="98" t="s">
        <v>148</v>
      </c>
      <c r="D102" s="98" t="s">
        <v>133</v>
      </c>
      <c r="E102" s="98" t="s">
        <v>911</v>
      </c>
      <c r="F102" s="98" t="s">
        <v>1317</v>
      </c>
      <c r="G102" s="98" t="s">
        <v>1318</v>
      </c>
    </row>
    <row r="103" spans="1:7" ht="15" thickBot="1" x14ac:dyDescent="0.4">
      <c r="A103" s="98">
        <v>2041221730</v>
      </c>
      <c r="B103" s="101" t="s">
        <v>1355</v>
      </c>
      <c r="C103" s="98" t="s">
        <v>148</v>
      </c>
      <c r="D103" s="98" t="s">
        <v>133</v>
      </c>
      <c r="E103" s="98" t="s">
        <v>915</v>
      </c>
      <c r="F103" s="98" t="s">
        <v>1317</v>
      </c>
      <c r="G103" s="98" t="s">
        <v>1319</v>
      </c>
    </row>
    <row r="104" spans="1:7" ht="15" thickBot="1" x14ac:dyDescent="0.4">
      <c r="A104" s="98">
        <v>2041224352</v>
      </c>
      <c r="B104" s="101" t="s">
        <v>1356</v>
      </c>
      <c r="C104" s="98" t="s">
        <v>148</v>
      </c>
      <c r="D104" s="98" t="s">
        <v>133</v>
      </c>
      <c r="E104" s="98" t="s">
        <v>913</v>
      </c>
      <c r="F104" s="98" t="s">
        <v>1317</v>
      </c>
      <c r="G104" s="98" t="s">
        <v>1318</v>
      </c>
    </row>
    <row r="105" spans="1:7" ht="15" thickBot="1" x14ac:dyDescent="0.4">
      <c r="A105" s="98">
        <v>2041224352</v>
      </c>
      <c r="B105" s="101" t="s">
        <v>1356</v>
      </c>
      <c r="C105" s="98" t="s">
        <v>148</v>
      </c>
      <c r="D105" s="98" t="s">
        <v>133</v>
      </c>
      <c r="E105" s="98" t="s">
        <v>911</v>
      </c>
      <c r="F105" s="98" t="s">
        <v>1317</v>
      </c>
      <c r="G105" s="98" t="s">
        <v>1318</v>
      </c>
    </row>
    <row r="106" spans="1:7" ht="15" thickBot="1" x14ac:dyDescent="0.4">
      <c r="A106" s="98">
        <v>2041224352</v>
      </c>
      <c r="B106" s="101" t="s">
        <v>1356</v>
      </c>
      <c r="C106" s="98" t="s">
        <v>148</v>
      </c>
      <c r="D106" s="98" t="s">
        <v>133</v>
      </c>
      <c r="E106" s="98" t="s">
        <v>912</v>
      </c>
      <c r="F106" s="98" t="s">
        <v>1317</v>
      </c>
      <c r="G106" s="98" t="s">
        <v>1318</v>
      </c>
    </row>
    <row r="107" spans="1:7" ht="15" thickBot="1" x14ac:dyDescent="0.4">
      <c r="A107" s="98">
        <v>2041222814</v>
      </c>
      <c r="B107" s="101" t="s">
        <v>1357</v>
      </c>
      <c r="C107" s="98" t="s">
        <v>148</v>
      </c>
      <c r="D107" s="98" t="s">
        <v>133</v>
      </c>
      <c r="E107" s="98" t="s">
        <v>914</v>
      </c>
      <c r="F107" s="98" t="s">
        <v>1317</v>
      </c>
      <c r="G107" s="98" t="s">
        <v>1318</v>
      </c>
    </row>
    <row r="108" spans="1:7" ht="15" thickBot="1" x14ac:dyDescent="0.4">
      <c r="A108" s="98">
        <v>2041222814</v>
      </c>
      <c r="B108" s="101" t="s">
        <v>1357</v>
      </c>
      <c r="C108" s="98" t="s">
        <v>148</v>
      </c>
      <c r="D108" s="98" t="s">
        <v>133</v>
      </c>
      <c r="E108" s="98" t="s">
        <v>912</v>
      </c>
      <c r="F108" s="98" t="s">
        <v>1317</v>
      </c>
      <c r="G108" s="98" t="s">
        <v>1318</v>
      </c>
    </row>
    <row r="109" spans="1:7" ht="15" thickBot="1" x14ac:dyDescent="0.4">
      <c r="A109" s="98">
        <v>2041223998</v>
      </c>
      <c r="B109" s="101" t="s">
        <v>1358</v>
      </c>
      <c r="C109" s="98" t="s">
        <v>148</v>
      </c>
      <c r="D109" s="98" t="s">
        <v>133</v>
      </c>
      <c r="E109" s="98" t="s">
        <v>914</v>
      </c>
      <c r="F109" s="98" t="s">
        <v>1317</v>
      </c>
      <c r="G109" s="98" t="s">
        <v>1318</v>
      </c>
    </row>
    <row r="110" spans="1:7" ht="15" thickBot="1" x14ac:dyDescent="0.4">
      <c r="A110" s="98">
        <v>2041223998</v>
      </c>
      <c r="B110" s="101" t="s">
        <v>1358</v>
      </c>
      <c r="C110" s="98" t="s">
        <v>148</v>
      </c>
      <c r="D110" s="98" t="s">
        <v>133</v>
      </c>
      <c r="E110" s="98" t="s">
        <v>911</v>
      </c>
      <c r="F110" s="98" t="s">
        <v>1317</v>
      </c>
      <c r="G110" s="98" t="s">
        <v>1319</v>
      </c>
    </row>
    <row r="111" spans="1:7" ht="15" thickBot="1" x14ac:dyDescent="0.4">
      <c r="A111" s="98">
        <v>2041223425</v>
      </c>
      <c r="B111" s="101" t="s">
        <v>1359</v>
      </c>
      <c r="C111" s="98" t="s">
        <v>148</v>
      </c>
      <c r="D111" s="98" t="s">
        <v>133</v>
      </c>
      <c r="E111" s="98" t="s">
        <v>911</v>
      </c>
      <c r="F111" s="98" t="s">
        <v>1317</v>
      </c>
      <c r="G111" s="98" t="s">
        <v>1318</v>
      </c>
    </row>
    <row r="112" spans="1:7" ht="15" thickBot="1" x14ac:dyDescent="0.4">
      <c r="A112" s="98">
        <v>2041223425</v>
      </c>
      <c r="B112" s="101" t="s">
        <v>1359</v>
      </c>
      <c r="C112" s="98" t="s">
        <v>148</v>
      </c>
      <c r="D112" s="98" t="s">
        <v>133</v>
      </c>
      <c r="E112" s="98" t="s">
        <v>912</v>
      </c>
      <c r="F112" s="98" t="s">
        <v>1317</v>
      </c>
      <c r="G112" s="98" t="s">
        <v>1318</v>
      </c>
    </row>
    <row r="113" spans="1:7" ht="15" thickBot="1" x14ac:dyDescent="0.4">
      <c r="A113" s="98">
        <v>2041223425</v>
      </c>
      <c r="B113" s="101" t="s">
        <v>1359</v>
      </c>
      <c r="C113" s="98" t="s">
        <v>148</v>
      </c>
      <c r="D113" s="98" t="s">
        <v>133</v>
      </c>
      <c r="E113" s="98" t="s">
        <v>915</v>
      </c>
      <c r="F113" s="98" t="s">
        <v>1317</v>
      </c>
      <c r="G113" s="98" t="s">
        <v>1319</v>
      </c>
    </row>
    <row r="114" spans="1:7" ht="15" thickBot="1" x14ac:dyDescent="0.4">
      <c r="A114" s="98">
        <v>2041224842</v>
      </c>
      <c r="B114" s="101" t="s">
        <v>1360</v>
      </c>
      <c r="C114" s="98" t="s">
        <v>132</v>
      </c>
      <c r="D114" s="98" t="s">
        <v>133</v>
      </c>
      <c r="E114" s="98" t="s">
        <v>913</v>
      </c>
      <c r="F114" s="98" t="s">
        <v>1317</v>
      </c>
      <c r="G114" s="98" t="s">
        <v>1318</v>
      </c>
    </row>
    <row r="115" spans="1:7" ht="15" thickBot="1" x14ac:dyDescent="0.4">
      <c r="A115" s="98">
        <v>2041224842</v>
      </c>
      <c r="B115" s="101" t="s">
        <v>1360</v>
      </c>
      <c r="C115" s="98" t="s">
        <v>132</v>
      </c>
      <c r="D115" s="98" t="s">
        <v>133</v>
      </c>
      <c r="E115" s="98" t="s">
        <v>1321</v>
      </c>
      <c r="F115" s="98" t="s">
        <v>1317</v>
      </c>
      <c r="G115" s="98" t="s">
        <v>1318</v>
      </c>
    </row>
    <row r="116" spans="1:7" ht="15" thickBot="1" x14ac:dyDescent="0.4">
      <c r="A116" s="98">
        <v>2041224842</v>
      </c>
      <c r="B116" s="101" t="s">
        <v>1360</v>
      </c>
      <c r="C116" s="98" t="s">
        <v>132</v>
      </c>
      <c r="D116" s="98" t="s">
        <v>133</v>
      </c>
      <c r="E116" s="98" t="s">
        <v>915</v>
      </c>
      <c r="F116" s="98" t="s">
        <v>1317</v>
      </c>
      <c r="G116" s="98" t="s">
        <v>1319</v>
      </c>
    </row>
    <row r="117" spans="1:7" ht="15" thickBot="1" x14ac:dyDescent="0.4">
      <c r="A117" s="98">
        <v>2041226133</v>
      </c>
      <c r="B117" s="101" t="s">
        <v>1361</v>
      </c>
      <c r="C117" s="98" t="s">
        <v>132</v>
      </c>
      <c r="D117" s="98" t="s">
        <v>133</v>
      </c>
      <c r="E117" s="98" t="s">
        <v>914</v>
      </c>
      <c r="F117" s="98" t="s">
        <v>1317</v>
      </c>
      <c r="G117" s="98" t="s">
        <v>1318</v>
      </c>
    </row>
    <row r="118" spans="1:7" ht="15" thickBot="1" x14ac:dyDescent="0.4">
      <c r="A118" s="98">
        <v>2041226133</v>
      </c>
      <c r="B118" s="101" t="s">
        <v>1361</v>
      </c>
      <c r="C118" s="98" t="s">
        <v>132</v>
      </c>
      <c r="D118" s="98" t="s">
        <v>133</v>
      </c>
      <c r="E118" s="98" t="s">
        <v>911</v>
      </c>
      <c r="F118" s="98" t="s">
        <v>1317</v>
      </c>
      <c r="G118" s="98" t="s">
        <v>1318</v>
      </c>
    </row>
    <row r="119" spans="1:7" ht="15" thickBot="1" x14ac:dyDescent="0.4">
      <c r="A119" s="98">
        <v>2041226133</v>
      </c>
      <c r="B119" s="101" t="s">
        <v>1361</v>
      </c>
      <c r="C119" s="98" t="s">
        <v>132</v>
      </c>
      <c r="D119" s="98" t="s">
        <v>133</v>
      </c>
      <c r="E119" s="98" t="s">
        <v>915</v>
      </c>
      <c r="F119" s="98" t="s">
        <v>1323</v>
      </c>
      <c r="G119" s="98" t="s">
        <v>1319</v>
      </c>
    </row>
    <row r="120" spans="1:7" ht="15" thickBot="1" x14ac:dyDescent="0.4">
      <c r="A120" s="98">
        <v>2041224037</v>
      </c>
      <c r="B120" s="101" t="s">
        <v>1362</v>
      </c>
      <c r="C120" s="98" t="s">
        <v>148</v>
      </c>
      <c r="D120" s="98" t="s">
        <v>133</v>
      </c>
      <c r="E120" s="98" t="s">
        <v>1321</v>
      </c>
      <c r="F120" s="98" t="s">
        <v>1317</v>
      </c>
      <c r="G120" s="98" t="s">
        <v>1318</v>
      </c>
    </row>
    <row r="121" spans="1:7" ht="15" thickBot="1" x14ac:dyDescent="0.4">
      <c r="A121" s="98">
        <v>2041224037</v>
      </c>
      <c r="B121" s="101" t="s">
        <v>1362</v>
      </c>
      <c r="C121" s="98" t="s">
        <v>148</v>
      </c>
      <c r="D121" s="98" t="s">
        <v>133</v>
      </c>
      <c r="E121" s="98" t="s">
        <v>912</v>
      </c>
      <c r="F121" s="98" t="s">
        <v>1317</v>
      </c>
      <c r="G121" s="98" t="s">
        <v>1318</v>
      </c>
    </row>
    <row r="122" spans="1:7" ht="15" thickBot="1" x14ac:dyDescent="0.4">
      <c r="A122" s="98">
        <v>2041224037</v>
      </c>
      <c r="B122" s="101" t="s">
        <v>2081</v>
      </c>
      <c r="C122" s="98" t="s">
        <v>148</v>
      </c>
      <c r="D122" s="98" t="s">
        <v>133</v>
      </c>
      <c r="E122" s="98" t="s">
        <v>911</v>
      </c>
      <c r="F122" s="98" t="s">
        <v>1317</v>
      </c>
      <c r="G122" s="98" t="s">
        <v>1318</v>
      </c>
    </row>
    <row r="123" spans="1:7" ht="15" thickBot="1" x14ac:dyDescent="0.4">
      <c r="A123" s="98">
        <v>2041224381</v>
      </c>
      <c r="B123" s="101" t="s">
        <v>1363</v>
      </c>
      <c r="C123" s="98" t="s">
        <v>132</v>
      </c>
      <c r="D123" s="98" t="s">
        <v>133</v>
      </c>
      <c r="E123" s="98" t="s">
        <v>911</v>
      </c>
      <c r="F123" s="98" t="s">
        <v>1323</v>
      </c>
      <c r="G123" s="98" t="s">
        <v>1318</v>
      </c>
    </row>
    <row r="124" spans="1:7" ht="15" thickBot="1" x14ac:dyDescent="0.4">
      <c r="A124" s="98">
        <v>2041224381</v>
      </c>
      <c r="B124" s="101" t="s">
        <v>1363</v>
      </c>
      <c r="C124" s="98" t="s">
        <v>132</v>
      </c>
      <c r="D124" s="98" t="s">
        <v>133</v>
      </c>
      <c r="E124" s="98" t="s">
        <v>912</v>
      </c>
      <c r="F124" s="98" t="s">
        <v>1317</v>
      </c>
      <c r="G124" s="98" t="s">
        <v>1318</v>
      </c>
    </row>
    <row r="125" spans="1:7" ht="15" thickBot="1" x14ac:dyDescent="0.4">
      <c r="A125" s="98">
        <v>2041224381</v>
      </c>
      <c r="B125" s="101" t="s">
        <v>1363</v>
      </c>
      <c r="C125" s="98" t="s">
        <v>132</v>
      </c>
      <c r="D125" s="98" t="s">
        <v>133</v>
      </c>
      <c r="E125" s="98" t="s">
        <v>915</v>
      </c>
      <c r="F125" s="98" t="s">
        <v>1317</v>
      </c>
      <c r="G125" s="98" t="s">
        <v>1319</v>
      </c>
    </row>
    <row r="126" spans="1:7" ht="15" thickBot="1" x14ac:dyDescent="0.4">
      <c r="A126" s="98">
        <v>2041225005</v>
      </c>
      <c r="B126" s="101" t="s">
        <v>1364</v>
      </c>
      <c r="C126" s="98" t="s">
        <v>132</v>
      </c>
      <c r="D126" s="98" t="s">
        <v>133</v>
      </c>
      <c r="E126" s="98" t="s">
        <v>913</v>
      </c>
      <c r="F126" s="98" t="s">
        <v>1317</v>
      </c>
      <c r="G126" s="98" t="s">
        <v>1318</v>
      </c>
    </row>
    <row r="127" spans="1:7" ht="15" thickBot="1" x14ac:dyDescent="0.4">
      <c r="A127" s="98">
        <v>2041225005</v>
      </c>
      <c r="B127" s="101" t="s">
        <v>1364</v>
      </c>
      <c r="C127" s="98" t="s">
        <v>132</v>
      </c>
      <c r="D127" s="98" t="s">
        <v>133</v>
      </c>
      <c r="E127" s="98" t="s">
        <v>912</v>
      </c>
      <c r="F127" s="98" t="s">
        <v>1317</v>
      </c>
      <c r="G127" s="98" t="s">
        <v>1318</v>
      </c>
    </row>
    <row r="128" spans="1:7" ht="15" thickBot="1" x14ac:dyDescent="0.4">
      <c r="A128" s="98">
        <v>2041225005</v>
      </c>
      <c r="B128" s="101" t="s">
        <v>1364</v>
      </c>
      <c r="C128" s="98" t="s">
        <v>132</v>
      </c>
      <c r="D128" s="98" t="s">
        <v>133</v>
      </c>
      <c r="E128" s="98" t="s">
        <v>915</v>
      </c>
      <c r="F128" s="98" t="s">
        <v>1317</v>
      </c>
      <c r="G128" s="98" t="s">
        <v>1319</v>
      </c>
    </row>
    <row r="129" spans="1:7" ht="15" thickBot="1" x14ac:dyDescent="0.4">
      <c r="A129" s="98">
        <v>2041225523</v>
      </c>
      <c r="B129" s="101" t="s">
        <v>1365</v>
      </c>
      <c r="C129" s="98" t="s">
        <v>148</v>
      </c>
      <c r="D129" s="98" t="s">
        <v>133</v>
      </c>
      <c r="E129" s="98" t="s">
        <v>914</v>
      </c>
      <c r="F129" s="98" t="s">
        <v>1317</v>
      </c>
      <c r="G129" s="98" t="s">
        <v>1318</v>
      </c>
    </row>
    <row r="130" spans="1:7" ht="15" thickBot="1" x14ac:dyDescent="0.4">
      <c r="A130" s="98">
        <v>2041225523</v>
      </c>
      <c r="B130" s="101" t="s">
        <v>1365</v>
      </c>
      <c r="C130" s="98" t="s">
        <v>148</v>
      </c>
      <c r="D130" s="98" t="s">
        <v>133</v>
      </c>
      <c r="E130" s="98" t="s">
        <v>912</v>
      </c>
      <c r="F130" s="98" t="s">
        <v>1317</v>
      </c>
      <c r="G130" s="98" t="s">
        <v>1318</v>
      </c>
    </row>
    <row r="131" spans="1:7" ht="15" thickBot="1" x14ac:dyDescent="0.4">
      <c r="A131" s="98">
        <v>2041225523</v>
      </c>
      <c r="B131" s="101" t="s">
        <v>1365</v>
      </c>
      <c r="C131" s="98" t="s">
        <v>148</v>
      </c>
      <c r="D131" s="98" t="s">
        <v>133</v>
      </c>
      <c r="E131" s="98" t="s">
        <v>915</v>
      </c>
      <c r="F131" s="98" t="s">
        <v>1323</v>
      </c>
      <c r="G131" s="98" t="s">
        <v>1319</v>
      </c>
    </row>
    <row r="132" spans="1:7" ht="15" thickBot="1" x14ac:dyDescent="0.4">
      <c r="A132" s="98">
        <v>2041221401</v>
      </c>
      <c r="B132" s="101" t="s">
        <v>1366</v>
      </c>
      <c r="C132" s="98" t="s">
        <v>148</v>
      </c>
      <c r="D132" s="98" t="s">
        <v>133</v>
      </c>
      <c r="E132" s="98" t="s">
        <v>914</v>
      </c>
      <c r="F132" s="98" t="s">
        <v>1317</v>
      </c>
      <c r="G132" s="98" t="s">
        <v>1318</v>
      </c>
    </row>
    <row r="133" spans="1:7" ht="15" thickBot="1" x14ac:dyDescent="0.4">
      <c r="A133" s="98">
        <v>2041221401</v>
      </c>
      <c r="B133" s="101" t="s">
        <v>1366</v>
      </c>
      <c r="C133" s="98" t="s">
        <v>148</v>
      </c>
      <c r="D133" s="98" t="s">
        <v>133</v>
      </c>
      <c r="E133" s="98" t="s">
        <v>913</v>
      </c>
      <c r="F133" s="98" t="s">
        <v>1317</v>
      </c>
      <c r="G133" s="98" t="s">
        <v>1318</v>
      </c>
    </row>
    <row r="134" spans="1:7" ht="15" thickBot="1" x14ac:dyDescent="0.4">
      <c r="A134" s="98">
        <v>2041221401</v>
      </c>
      <c r="B134" s="101" t="s">
        <v>1366</v>
      </c>
      <c r="C134" s="98" t="s">
        <v>148</v>
      </c>
      <c r="D134" s="98" t="s">
        <v>133</v>
      </c>
      <c r="E134" s="98" t="s">
        <v>915</v>
      </c>
      <c r="F134" s="98" t="s">
        <v>1323</v>
      </c>
      <c r="G134" s="98" t="s">
        <v>1319</v>
      </c>
    </row>
    <row r="135" spans="1:7" ht="15" thickBot="1" x14ac:dyDescent="0.4">
      <c r="A135" s="98">
        <v>2041221401</v>
      </c>
      <c r="B135" s="101" t="s">
        <v>1366</v>
      </c>
      <c r="C135" s="98" t="s">
        <v>148</v>
      </c>
      <c r="D135" s="98" t="s">
        <v>133</v>
      </c>
      <c r="E135" s="98" t="s">
        <v>914</v>
      </c>
      <c r="F135" s="98" t="s">
        <v>1317</v>
      </c>
      <c r="G135" s="98" t="s">
        <v>1318</v>
      </c>
    </row>
    <row r="136" spans="1:7" ht="15" thickBot="1" x14ac:dyDescent="0.4">
      <c r="A136" s="98">
        <v>2041221401</v>
      </c>
      <c r="B136" s="101" t="s">
        <v>1366</v>
      </c>
      <c r="C136" s="98" t="s">
        <v>148</v>
      </c>
      <c r="D136" s="98" t="s">
        <v>133</v>
      </c>
      <c r="E136" s="98" t="s">
        <v>913</v>
      </c>
      <c r="F136" s="98" t="s">
        <v>1317</v>
      </c>
      <c r="G136" s="98" t="s">
        <v>1318</v>
      </c>
    </row>
    <row r="137" spans="1:7" ht="15" thickBot="1" x14ac:dyDescent="0.4">
      <c r="A137" s="98">
        <v>2041221401</v>
      </c>
      <c r="B137" s="101" t="s">
        <v>1366</v>
      </c>
      <c r="C137" s="98" t="s">
        <v>148</v>
      </c>
      <c r="D137" s="98" t="s">
        <v>133</v>
      </c>
      <c r="E137" s="98" t="s">
        <v>913</v>
      </c>
      <c r="F137" s="98" t="s">
        <v>1317</v>
      </c>
      <c r="G137" s="98" t="s">
        <v>1318</v>
      </c>
    </row>
    <row r="138" spans="1:7" ht="15" thickBot="1" x14ac:dyDescent="0.4">
      <c r="A138" s="98">
        <v>2041221401</v>
      </c>
      <c r="B138" s="101" t="s">
        <v>1366</v>
      </c>
      <c r="C138" s="98" t="s">
        <v>148</v>
      </c>
      <c r="D138" s="98" t="s">
        <v>133</v>
      </c>
      <c r="E138" s="98" t="s">
        <v>915</v>
      </c>
      <c r="F138" s="98" t="s">
        <v>1323</v>
      </c>
      <c r="G138" s="98" t="s">
        <v>1319</v>
      </c>
    </row>
    <row r="139" spans="1:7" ht="15" thickBot="1" x14ac:dyDescent="0.4">
      <c r="A139" s="98">
        <v>2041221593</v>
      </c>
      <c r="B139" s="101" t="s">
        <v>1367</v>
      </c>
      <c r="C139" s="98" t="s">
        <v>148</v>
      </c>
      <c r="D139" s="98" t="s">
        <v>133</v>
      </c>
      <c r="E139" s="98" t="s">
        <v>912</v>
      </c>
      <c r="F139" s="98" t="s">
        <v>1317</v>
      </c>
      <c r="G139" s="98" t="s">
        <v>1318</v>
      </c>
    </row>
    <row r="140" spans="1:7" ht="15" thickBot="1" x14ac:dyDescent="0.4">
      <c r="A140" s="98">
        <v>2041221593</v>
      </c>
      <c r="B140" s="101" t="s">
        <v>1367</v>
      </c>
      <c r="C140" s="98" t="s">
        <v>148</v>
      </c>
      <c r="D140" s="98" t="s">
        <v>133</v>
      </c>
      <c r="E140" s="98" t="s">
        <v>911</v>
      </c>
      <c r="F140" s="98" t="s">
        <v>1317</v>
      </c>
      <c r="G140" s="98" t="s">
        <v>1318</v>
      </c>
    </row>
    <row r="141" spans="1:7" ht="15" thickBot="1" x14ac:dyDescent="0.4">
      <c r="A141" s="98">
        <v>2041221593</v>
      </c>
      <c r="B141" s="101" t="s">
        <v>1367</v>
      </c>
      <c r="C141" s="98" t="s">
        <v>148</v>
      </c>
      <c r="D141" s="98" t="s">
        <v>133</v>
      </c>
      <c r="E141" s="98" t="s">
        <v>915</v>
      </c>
      <c r="F141" s="98" t="s">
        <v>1323</v>
      </c>
      <c r="G141" s="98" t="s">
        <v>1319</v>
      </c>
    </row>
    <row r="142" spans="1:7" ht="15" thickBot="1" x14ac:dyDescent="0.4">
      <c r="A142" s="98">
        <v>2041225301</v>
      </c>
      <c r="B142" s="101" t="s">
        <v>2044</v>
      </c>
      <c r="C142" s="98" t="s">
        <v>148</v>
      </c>
      <c r="D142" s="98" t="s">
        <v>133</v>
      </c>
      <c r="E142" s="98" t="s">
        <v>913</v>
      </c>
      <c r="F142" s="98" t="s">
        <v>1317</v>
      </c>
      <c r="G142" s="98" t="s">
        <v>1318</v>
      </c>
    </row>
    <row r="143" spans="1:7" ht="15" thickBot="1" x14ac:dyDescent="0.4">
      <c r="A143" s="98">
        <v>2041225301</v>
      </c>
      <c r="B143" s="101" t="s">
        <v>2044</v>
      </c>
      <c r="C143" s="98" t="s">
        <v>148</v>
      </c>
      <c r="D143" s="98" t="s">
        <v>133</v>
      </c>
      <c r="E143" s="98" t="s">
        <v>912</v>
      </c>
      <c r="F143" s="98" t="s">
        <v>1317</v>
      </c>
      <c r="G143" s="98" t="s">
        <v>1318</v>
      </c>
    </row>
    <row r="144" spans="1:7" ht="15" thickBot="1" x14ac:dyDescent="0.4">
      <c r="A144" s="98">
        <v>2041225301</v>
      </c>
      <c r="B144" s="101" t="s">
        <v>2044</v>
      </c>
      <c r="C144" s="98" t="s">
        <v>148</v>
      </c>
      <c r="D144" s="98" t="s">
        <v>133</v>
      </c>
      <c r="E144" s="98" t="s">
        <v>911</v>
      </c>
      <c r="F144" s="98" t="s">
        <v>1317</v>
      </c>
      <c r="G144" s="98" t="s">
        <v>1318</v>
      </c>
    </row>
    <row r="145" spans="1:7" ht="15" thickBot="1" x14ac:dyDescent="0.4">
      <c r="A145" s="98">
        <v>2041221845</v>
      </c>
      <c r="B145" s="101" t="s">
        <v>1368</v>
      </c>
      <c r="C145" s="98" t="s">
        <v>148</v>
      </c>
      <c r="D145" s="98" t="s">
        <v>133</v>
      </c>
      <c r="E145" s="98" t="s">
        <v>911</v>
      </c>
      <c r="F145" s="98" t="s">
        <v>1317</v>
      </c>
      <c r="G145" s="98" t="s">
        <v>1318</v>
      </c>
    </row>
    <row r="146" spans="1:7" ht="15" thickBot="1" x14ac:dyDescent="0.4">
      <c r="A146" s="98">
        <v>2041221845</v>
      </c>
      <c r="B146" s="101" t="s">
        <v>1368</v>
      </c>
      <c r="C146" s="98" t="s">
        <v>148</v>
      </c>
      <c r="D146" s="98" t="s">
        <v>133</v>
      </c>
      <c r="E146" s="98" t="s">
        <v>912</v>
      </c>
      <c r="F146" s="98" t="s">
        <v>1317</v>
      </c>
      <c r="G146" s="98" t="s">
        <v>1318</v>
      </c>
    </row>
    <row r="147" spans="1:7" ht="15" thickBot="1" x14ac:dyDescent="0.4">
      <c r="A147" s="98">
        <v>2041221845</v>
      </c>
      <c r="B147" s="101" t="s">
        <v>1368</v>
      </c>
      <c r="C147" s="98" t="s">
        <v>148</v>
      </c>
      <c r="D147" s="98" t="s">
        <v>133</v>
      </c>
      <c r="E147" s="98" t="s">
        <v>916</v>
      </c>
      <c r="F147" s="98" t="s">
        <v>1317</v>
      </c>
      <c r="G147" s="98" t="s">
        <v>1319</v>
      </c>
    </row>
    <row r="148" spans="1:7" ht="15" thickBot="1" x14ac:dyDescent="0.4">
      <c r="A148" s="98">
        <v>2041220760</v>
      </c>
      <c r="B148" s="101" t="s">
        <v>1369</v>
      </c>
      <c r="C148" s="98" t="s">
        <v>148</v>
      </c>
      <c r="D148" s="98" t="s">
        <v>133</v>
      </c>
      <c r="E148" s="98" t="s">
        <v>911</v>
      </c>
      <c r="F148" s="98" t="s">
        <v>1317</v>
      </c>
      <c r="G148" s="98" t="s">
        <v>1318</v>
      </c>
    </row>
    <row r="149" spans="1:7" ht="15" thickBot="1" x14ac:dyDescent="0.4">
      <c r="A149" s="98">
        <v>2041220760</v>
      </c>
      <c r="B149" s="101" t="s">
        <v>1369</v>
      </c>
      <c r="C149" s="98" t="s">
        <v>148</v>
      </c>
      <c r="D149" s="98" t="s">
        <v>133</v>
      </c>
      <c r="E149" s="98" t="s">
        <v>913</v>
      </c>
      <c r="F149" s="98" t="s">
        <v>1317</v>
      </c>
      <c r="G149" s="98" t="s">
        <v>1318</v>
      </c>
    </row>
    <row r="150" spans="1:7" ht="15" thickBot="1" x14ac:dyDescent="0.4">
      <c r="A150" s="98">
        <v>2041220760</v>
      </c>
      <c r="B150" s="101" t="s">
        <v>1369</v>
      </c>
      <c r="C150" s="98" t="s">
        <v>148</v>
      </c>
      <c r="D150" s="98" t="s">
        <v>133</v>
      </c>
      <c r="E150" s="98" t="s">
        <v>916</v>
      </c>
      <c r="F150" s="98" t="s">
        <v>1323</v>
      </c>
      <c r="G150" s="98" t="s">
        <v>1319</v>
      </c>
    </row>
    <row r="151" spans="1:7" ht="15" thickBot="1" x14ac:dyDescent="0.4">
      <c r="A151" s="98">
        <v>2041225296</v>
      </c>
      <c r="B151" s="101" t="s">
        <v>1370</v>
      </c>
      <c r="C151" s="98" t="s">
        <v>148</v>
      </c>
      <c r="D151" s="98" t="s">
        <v>133</v>
      </c>
      <c r="E151" s="98" t="s">
        <v>911</v>
      </c>
      <c r="F151" s="98" t="s">
        <v>1317</v>
      </c>
      <c r="G151" s="98" t="s">
        <v>1318</v>
      </c>
    </row>
    <row r="152" spans="1:7" ht="15" thickBot="1" x14ac:dyDescent="0.4">
      <c r="A152" s="98">
        <v>2041225296</v>
      </c>
      <c r="B152" s="101" t="s">
        <v>1370</v>
      </c>
      <c r="C152" s="98" t="s">
        <v>148</v>
      </c>
      <c r="D152" s="98" t="s">
        <v>133</v>
      </c>
      <c r="E152" s="98" t="s">
        <v>912</v>
      </c>
      <c r="F152" s="98" t="s">
        <v>1317</v>
      </c>
      <c r="G152" s="98" t="s">
        <v>1318</v>
      </c>
    </row>
    <row r="153" spans="1:7" ht="15" thickBot="1" x14ac:dyDescent="0.4">
      <c r="A153" s="98">
        <v>2041225296</v>
      </c>
      <c r="B153" s="101" t="s">
        <v>1370</v>
      </c>
      <c r="C153" s="98" t="s">
        <v>148</v>
      </c>
      <c r="D153" s="98" t="s">
        <v>133</v>
      </c>
      <c r="E153" s="98" t="s">
        <v>915</v>
      </c>
      <c r="F153" s="98" t="s">
        <v>1317</v>
      </c>
      <c r="G153" s="98" t="s">
        <v>1319</v>
      </c>
    </row>
    <row r="154" spans="1:7" ht="15" thickBot="1" x14ac:dyDescent="0.4">
      <c r="A154" s="98">
        <v>2041225352</v>
      </c>
      <c r="B154" s="101" t="s">
        <v>1371</v>
      </c>
      <c r="C154" s="98" t="s">
        <v>132</v>
      </c>
      <c r="D154" s="98" t="s">
        <v>133</v>
      </c>
      <c r="E154" s="98" t="s">
        <v>911</v>
      </c>
      <c r="F154" s="98" t="s">
        <v>1317</v>
      </c>
      <c r="G154" s="98" t="s">
        <v>1318</v>
      </c>
    </row>
    <row r="155" spans="1:7" ht="15" thickBot="1" x14ac:dyDescent="0.4">
      <c r="A155" s="98">
        <v>2041225827</v>
      </c>
      <c r="B155" s="101" t="s">
        <v>1372</v>
      </c>
      <c r="C155" s="98" t="s">
        <v>132</v>
      </c>
      <c r="D155" s="98" t="s">
        <v>133</v>
      </c>
      <c r="E155" s="98" t="s">
        <v>912</v>
      </c>
      <c r="F155" s="98" t="s">
        <v>1317</v>
      </c>
      <c r="G155" s="98" t="s">
        <v>1318</v>
      </c>
    </row>
    <row r="156" spans="1:7" ht="15" thickBot="1" x14ac:dyDescent="0.4">
      <c r="A156" s="98">
        <v>2041225827</v>
      </c>
      <c r="B156" s="101" t="s">
        <v>1372</v>
      </c>
      <c r="C156" s="98" t="s">
        <v>132</v>
      </c>
      <c r="D156" s="98" t="s">
        <v>133</v>
      </c>
      <c r="E156" s="98" t="s">
        <v>911</v>
      </c>
      <c r="F156" s="98" t="s">
        <v>1317</v>
      </c>
      <c r="G156" s="98" t="s">
        <v>1318</v>
      </c>
    </row>
    <row r="157" spans="1:7" ht="15" thickBot="1" x14ac:dyDescent="0.4">
      <c r="A157" s="98">
        <v>2041225827</v>
      </c>
      <c r="B157" s="101" t="s">
        <v>1372</v>
      </c>
      <c r="C157" s="98" t="s">
        <v>132</v>
      </c>
      <c r="D157" s="98" t="s">
        <v>133</v>
      </c>
      <c r="E157" s="98" t="s">
        <v>912</v>
      </c>
      <c r="F157" s="98" t="s">
        <v>1317</v>
      </c>
      <c r="G157" s="98" t="s">
        <v>1318</v>
      </c>
    </row>
    <row r="158" spans="1:7" ht="15" thickBot="1" x14ac:dyDescent="0.4">
      <c r="A158" s="98">
        <v>2041225827</v>
      </c>
      <c r="B158" s="101" t="s">
        <v>1372</v>
      </c>
      <c r="C158" s="98" t="s">
        <v>132</v>
      </c>
      <c r="D158" s="98" t="s">
        <v>133</v>
      </c>
      <c r="E158" s="98" t="s">
        <v>916</v>
      </c>
      <c r="F158" s="98" t="s">
        <v>1317</v>
      </c>
      <c r="G158" s="98" t="s">
        <v>1319</v>
      </c>
    </row>
    <row r="159" spans="1:7" ht="15" thickBot="1" x14ac:dyDescent="0.4">
      <c r="A159" s="98">
        <v>2041224201</v>
      </c>
      <c r="B159" s="101" t="s">
        <v>1373</v>
      </c>
      <c r="C159" s="98" t="s">
        <v>132</v>
      </c>
      <c r="D159" s="98" t="s">
        <v>133</v>
      </c>
      <c r="E159" s="98" t="s">
        <v>912</v>
      </c>
      <c r="F159" s="98" t="s">
        <v>1317</v>
      </c>
      <c r="G159" s="98" t="s">
        <v>1318</v>
      </c>
    </row>
    <row r="160" spans="1:7" ht="15" thickBot="1" x14ac:dyDescent="0.4">
      <c r="A160" s="98">
        <v>2041224201</v>
      </c>
      <c r="B160" s="101" t="s">
        <v>1373</v>
      </c>
      <c r="C160" s="98" t="s">
        <v>132</v>
      </c>
      <c r="D160" s="98" t="s">
        <v>133</v>
      </c>
      <c r="E160" s="98" t="s">
        <v>912</v>
      </c>
      <c r="F160" s="98" t="s">
        <v>1317</v>
      </c>
      <c r="G160" s="98" t="s">
        <v>1318</v>
      </c>
    </row>
    <row r="161" spans="1:7" ht="15" thickBot="1" x14ac:dyDescent="0.4">
      <c r="A161" s="98">
        <v>2041224201</v>
      </c>
      <c r="B161" s="101" t="s">
        <v>1373</v>
      </c>
      <c r="C161" s="98" t="s">
        <v>132</v>
      </c>
      <c r="D161" s="98" t="s">
        <v>133</v>
      </c>
      <c r="E161" s="98" t="s">
        <v>911</v>
      </c>
      <c r="F161" s="98" t="s">
        <v>1317</v>
      </c>
      <c r="G161" s="98" t="s">
        <v>1318</v>
      </c>
    </row>
    <row r="162" spans="1:7" ht="15" thickBot="1" x14ac:dyDescent="0.4">
      <c r="A162" s="98">
        <v>2041224201</v>
      </c>
      <c r="B162" s="101" t="s">
        <v>1373</v>
      </c>
      <c r="C162" s="98" t="s">
        <v>132</v>
      </c>
      <c r="D162" s="98" t="s">
        <v>133</v>
      </c>
      <c r="E162" s="98" t="s">
        <v>915</v>
      </c>
      <c r="F162" s="98" t="s">
        <v>1323</v>
      </c>
      <c r="G162" s="98" t="s">
        <v>1319</v>
      </c>
    </row>
    <row r="163" spans="1:7" ht="15" thickBot="1" x14ac:dyDescent="0.4">
      <c r="A163" s="98">
        <v>2041223428</v>
      </c>
      <c r="B163" s="101" t="s">
        <v>1374</v>
      </c>
      <c r="C163" s="98" t="s">
        <v>148</v>
      </c>
      <c r="D163" s="98" t="s">
        <v>133</v>
      </c>
      <c r="E163" s="98" t="s">
        <v>1321</v>
      </c>
      <c r="F163" s="98" t="s">
        <v>1317</v>
      </c>
      <c r="G163" s="98" t="s">
        <v>1318</v>
      </c>
    </row>
    <row r="164" spans="1:7" ht="15" thickBot="1" x14ac:dyDescent="0.4">
      <c r="A164" s="98">
        <v>2041220290</v>
      </c>
      <c r="B164" s="101" t="s">
        <v>1375</v>
      </c>
      <c r="C164" s="98" t="s">
        <v>148</v>
      </c>
      <c r="D164" s="98" t="s">
        <v>133</v>
      </c>
      <c r="E164" s="98" t="s">
        <v>912</v>
      </c>
      <c r="F164" s="98" t="s">
        <v>1317</v>
      </c>
      <c r="G164" s="98" t="s">
        <v>1318</v>
      </c>
    </row>
    <row r="165" spans="1:7" ht="15" thickBot="1" x14ac:dyDescent="0.4">
      <c r="A165" s="98">
        <v>2041220290</v>
      </c>
      <c r="B165" s="101" t="s">
        <v>1375</v>
      </c>
      <c r="C165" s="98" t="s">
        <v>148</v>
      </c>
      <c r="D165" s="98" t="s">
        <v>133</v>
      </c>
      <c r="E165" s="98" t="s">
        <v>914</v>
      </c>
      <c r="F165" s="98" t="s">
        <v>1317</v>
      </c>
      <c r="G165" s="98" t="s">
        <v>1318</v>
      </c>
    </row>
    <row r="166" spans="1:7" ht="15" thickBot="1" x14ac:dyDescent="0.4">
      <c r="A166" s="98">
        <v>2041224656</v>
      </c>
      <c r="B166" s="101" t="s">
        <v>1376</v>
      </c>
      <c r="C166" s="98" t="s">
        <v>148</v>
      </c>
      <c r="D166" s="98" t="s">
        <v>133</v>
      </c>
      <c r="E166" s="98" t="s">
        <v>914</v>
      </c>
      <c r="F166" s="98" t="s">
        <v>1317</v>
      </c>
      <c r="G166" s="98" t="s">
        <v>1318</v>
      </c>
    </row>
    <row r="167" spans="1:7" ht="15" thickBot="1" x14ac:dyDescent="0.4">
      <c r="A167" s="98">
        <v>2041224656</v>
      </c>
      <c r="B167" s="101" t="s">
        <v>1377</v>
      </c>
      <c r="C167" s="98" t="s">
        <v>148</v>
      </c>
      <c r="D167" s="98" t="s">
        <v>133</v>
      </c>
      <c r="E167" s="98" t="s">
        <v>912</v>
      </c>
      <c r="F167" s="98" t="s">
        <v>1317</v>
      </c>
      <c r="G167" s="98" t="s">
        <v>1318</v>
      </c>
    </row>
    <row r="168" spans="1:7" ht="15" thickBot="1" x14ac:dyDescent="0.4">
      <c r="A168" s="98">
        <v>2041224656</v>
      </c>
      <c r="B168" s="101" t="s">
        <v>1377</v>
      </c>
      <c r="C168" s="98" t="s">
        <v>148</v>
      </c>
      <c r="D168" s="98" t="s">
        <v>133</v>
      </c>
      <c r="E168" s="98" t="s">
        <v>915</v>
      </c>
      <c r="F168" s="98" t="s">
        <v>1323</v>
      </c>
      <c r="G168" s="98" t="s">
        <v>1319</v>
      </c>
    </row>
    <row r="169" spans="1:7" ht="15" thickBot="1" x14ac:dyDescent="0.4">
      <c r="A169" s="98">
        <v>2041224656</v>
      </c>
      <c r="B169" s="101" t="s">
        <v>1377</v>
      </c>
      <c r="C169" s="98" t="s">
        <v>148</v>
      </c>
      <c r="D169" s="98" t="s">
        <v>133</v>
      </c>
      <c r="E169" s="98" t="s">
        <v>915</v>
      </c>
      <c r="F169" s="98" t="s">
        <v>1323</v>
      </c>
      <c r="G169" s="98" t="s">
        <v>1319</v>
      </c>
    </row>
    <row r="170" spans="1:7" ht="15" thickBot="1" x14ac:dyDescent="0.4">
      <c r="A170" s="98">
        <v>2041221464</v>
      </c>
      <c r="B170" s="101" t="s">
        <v>1378</v>
      </c>
      <c r="C170" s="98" t="s">
        <v>148</v>
      </c>
      <c r="D170" s="98" t="s">
        <v>133</v>
      </c>
      <c r="E170" s="98" t="s">
        <v>912</v>
      </c>
      <c r="F170" s="98" t="s">
        <v>1317</v>
      </c>
      <c r="G170" s="98" t="s">
        <v>1318</v>
      </c>
    </row>
    <row r="171" spans="1:7" ht="15" thickBot="1" x14ac:dyDescent="0.4">
      <c r="A171" s="98">
        <v>2041221464</v>
      </c>
      <c r="B171" s="101" t="s">
        <v>1378</v>
      </c>
      <c r="C171" s="98" t="s">
        <v>148</v>
      </c>
      <c r="D171" s="98" t="s">
        <v>133</v>
      </c>
      <c r="E171" s="98" t="s">
        <v>914</v>
      </c>
      <c r="F171" s="98" t="s">
        <v>1317</v>
      </c>
      <c r="G171" s="98" t="s">
        <v>1318</v>
      </c>
    </row>
    <row r="172" spans="1:7" ht="15" thickBot="1" x14ac:dyDescent="0.4">
      <c r="A172" s="98">
        <v>2041221464</v>
      </c>
      <c r="B172" s="101" t="s">
        <v>1378</v>
      </c>
      <c r="C172" s="98" t="s">
        <v>148</v>
      </c>
      <c r="D172" s="98" t="s">
        <v>133</v>
      </c>
      <c r="E172" s="98" t="s">
        <v>915</v>
      </c>
      <c r="F172" s="98" t="s">
        <v>1323</v>
      </c>
      <c r="G172" s="98" t="s">
        <v>1319</v>
      </c>
    </row>
    <row r="173" spans="1:7" ht="15" thickBot="1" x14ac:dyDescent="0.4">
      <c r="A173" s="98">
        <v>2041224112</v>
      </c>
      <c r="B173" s="101" t="s">
        <v>1379</v>
      </c>
      <c r="C173" s="98" t="s">
        <v>148</v>
      </c>
      <c r="D173" s="98" t="s">
        <v>133</v>
      </c>
      <c r="E173" s="98" t="s">
        <v>911</v>
      </c>
      <c r="F173" s="98" t="s">
        <v>1317</v>
      </c>
      <c r="G173" s="98" t="s">
        <v>1318</v>
      </c>
    </row>
    <row r="174" spans="1:7" ht="15" thickBot="1" x14ac:dyDescent="0.4">
      <c r="A174" s="98">
        <v>2041224112</v>
      </c>
      <c r="B174" s="101" t="s">
        <v>1379</v>
      </c>
      <c r="C174" s="98" t="s">
        <v>148</v>
      </c>
      <c r="D174" s="98" t="s">
        <v>133</v>
      </c>
      <c r="E174" s="98" t="s">
        <v>912</v>
      </c>
      <c r="F174" s="98" t="s">
        <v>1317</v>
      </c>
      <c r="G174" s="98" t="s">
        <v>1318</v>
      </c>
    </row>
    <row r="175" spans="1:7" ht="15" thickBot="1" x14ac:dyDescent="0.4">
      <c r="A175" s="98">
        <v>2041224112</v>
      </c>
      <c r="B175" s="101" t="s">
        <v>1379</v>
      </c>
      <c r="C175" s="98" t="s">
        <v>148</v>
      </c>
      <c r="D175" s="98" t="s">
        <v>133</v>
      </c>
      <c r="E175" s="98" t="s">
        <v>915</v>
      </c>
      <c r="F175" s="98" t="s">
        <v>1317</v>
      </c>
      <c r="G175" s="98" t="s">
        <v>1319</v>
      </c>
    </row>
    <row r="176" spans="1:7" ht="15" thickBot="1" x14ac:dyDescent="0.4">
      <c r="A176" s="98">
        <v>2041224787</v>
      </c>
      <c r="B176" s="101" t="s">
        <v>1380</v>
      </c>
      <c r="C176" s="98" t="s">
        <v>148</v>
      </c>
      <c r="D176" s="98" t="s">
        <v>133</v>
      </c>
      <c r="E176" s="98" t="s">
        <v>1321</v>
      </c>
      <c r="F176" s="98" t="s">
        <v>1317</v>
      </c>
      <c r="G176" s="98" t="s">
        <v>1318</v>
      </c>
    </row>
    <row r="177" spans="1:7" ht="15" thickBot="1" x14ac:dyDescent="0.4">
      <c r="A177" s="98">
        <v>2041224787</v>
      </c>
      <c r="B177" s="101" t="s">
        <v>1380</v>
      </c>
      <c r="C177" s="98" t="s">
        <v>148</v>
      </c>
      <c r="D177" s="98" t="s">
        <v>133</v>
      </c>
      <c r="E177" s="98" t="s">
        <v>912</v>
      </c>
      <c r="F177" s="98" t="s">
        <v>1317</v>
      </c>
      <c r="G177" s="98" t="s">
        <v>1318</v>
      </c>
    </row>
    <row r="178" spans="1:7" ht="15" thickBot="1" x14ac:dyDescent="0.4">
      <c r="A178" s="98">
        <v>2041224787</v>
      </c>
      <c r="B178" s="101" t="s">
        <v>1380</v>
      </c>
      <c r="C178" s="98" t="s">
        <v>148</v>
      </c>
      <c r="D178" s="98" t="s">
        <v>133</v>
      </c>
      <c r="E178" s="98" t="s">
        <v>911</v>
      </c>
      <c r="F178" s="98" t="s">
        <v>1317</v>
      </c>
      <c r="G178" s="98" t="s">
        <v>1318</v>
      </c>
    </row>
    <row r="179" spans="1:7" ht="15" thickBot="1" x14ac:dyDescent="0.4">
      <c r="A179" s="98">
        <v>2041225260</v>
      </c>
      <c r="B179" s="101" t="s">
        <v>1381</v>
      </c>
      <c r="C179" s="98" t="s">
        <v>132</v>
      </c>
      <c r="D179" s="98" t="s">
        <v>133</v>
      </c>
      <c r="E179" s="98" t="s">
        <v>912</v>
      </c>
      <c r="F179" s="98" t="s">
        <v>1317</v>
      </c>
      <c r="G179" s="98" t="s">
        <v>1318</v>
      </c>
    </row>
    <row r="180" spans="1:7" ht="15" thickBot="1" x14ac:dyDescent="0.4">
      <c r="A180" s="98">
        <v>2041225260</v>
      </c>
      <c r="B180" s="101" t="s">
        <v>1381</v>
      </c>
      <c r="C180" s="98" t="s">
        <v>132</v>
      </c>
      <c r="D180" s="98" t="s">
        <v>133</v>
      </c>
      <c r="E180" s="98" t="s">
        <v>914</v>
      </c>
      <c r="F180" s="98" t="s">
        <v>1317</v>
      </c>
      <c r="G180" s="98" t="s">
        <v>1318</v>
      </c>
    </row>
    <row r="181" spans="1:7" ht="15" thickBot="1" x14ac:dyDescent="0.4">
      <c r="A181" s="98">
        <v>2041225260</v>
      </c>
      <c r="B181" s="101" t="s">
        <v>1381</v>
      </c>
      <c r="C181" s="98" t="s">
        <v>132</v>
      </c>
      <c r="D181" s="98" t="s">
        <v>133</v>
      </c>
      <c r="E181" s="98" t="s">
        <v>911</v>
      </c>
      <c r="F181" s="98" t="s">
        <v>1317</v>
      </c>
      <c r="G181" s="98" t="s">
        <v>1318</v>
      </c>
    </row>
    <row r="182" spans="1:7" ht="15" thickBot="1" x14ac:dyDescent="0.4">
      <c r="A182" s="98">
        <v>2041224669</v>
      </c>
      <c r="B182" s="101" t="s">
        <v>2082</v>
      </c>
      <c r="C182" s="98" t="s">
        <v>148</v>
      </c>
      <c r="D182" s="98" t="s">
        <v>133</v>
      </c>
      <c r="E182" s="98" t="s">
        <v>913</v>
      </c>
      <c r="F182" s="98" t="s">
        <v>1317</v>
      </c>
      <c r="G182" s="98" t="s">
        <v>1318</v>
      </c>
    </row>
    <row r="183" spans="1:7" ht="15" thickBot="1" x14ac:dyDescent="0.4">
      <c r="A183" s="98">
        <v>2041222836</v>
      </c>
      <c r="B183" s="101" t="s">
        <v>1382</v>
      </c>
      <c r="C183" s="98" t="s">
        <v>1383</v>
      </c>
      <c r="D183" s="98" t="s">
        <v>133</v>
      </c>
      <c r="E183" s="98" t="s">
        <v>911</v>
      </c>
      <c r="F183" s="98" t="s">
        <v>1317</v>
      </c>
      <c r="G183" s="98" t="s">
        <v>1319</v>
      </c>
    </row>
    <row r="184" spans="1:7" ht="15" thickBot="1" x14ac:dyDescent="0.4">
      <c r="A184" s="98">
        <v>2041222836</v>
      </c>
      <c r="B184" s="101" t="s">
        <v>1382</v>
      </c>
      <c r="C184" s="98" t="s">
        <v>1383</v>
      </c>
      <c r="D184" s="98" t="s">
        <v>133</v>
      </c>
      <c r="E184" s="98" t="s">
        <v>916</v>
      </c>
      <c r="F184" s="98" t="s">
        <v>1317</v>
      </c>
      <c r="G184" s="98" t="s">
        <v>1319</v>
      </c>
    </row>
    <row r="185" spans="1:7" ht="15" thickBot="1" x14ac:dyDescent="0.4">
      <c r="A185" s="98">
        <v>2041222836</v>
      </c>
      <c r="B185" s="101" t="s">
        <v>1382</v>
      </c>
      <c r="C185" s="98" t="s">
        <v>1383</v>
      </c>
      <c r="D185" s="98" t="s">
        <v>133</v>
      </c>
      <c r="E185" s="98" t="s">
        <v>912</v>
      </c>
      <c r="F185" s="98" t="s">
        <v>1317</v>
      </c>
      <c r="G185" s="98" t="s">
        <v>1318</v>
      </c>
    </row>
    <row r="186" spans="1:7" ht="15" thickBot="1" x14ac:dyDescent="0.4">
      <c r="A186" s="98">
        <v>2041225236</v>
      </c>
      <c r="B186" s="101" t="s">
        <v>2050</v>
      </c>
      <c r="C186" s="98" t="s">
        <v>1384</v>
      </c>
      <c r="D186" s="98" t="s">
        <v>133</v>
      </c>
      <c r="E186" s="98" t="s">
        <v>911</v>
      </c>
      <c r="F186" s="98" t="s">
        <v>1317</v>
      </c>
      <c r="G186" s="98" t="s">
        <v>1318</v>
      </c>
    </row>
    <row r="187" spans="1:7" ht="15" thickBot="1" x14ac:dyDescent="0.4">
      <c r="A187" s="98">
        <v>2041225236</v>
      </c>
      <c r="B187" s="101" t="s">
        <v>2050</v>
      </c>
      <c r="C187" s="98" t="s">
        <v>1384</v>
      </c>
      <c r="D187" s="98" t="s">
        <v>133</v>
      </c>
      <c r="E187" s="98" t="s">
        <v>915</v>
      </c>
      <c r="F187" s="98" t="s">
        <v>1317</v>
      </c>
      <c r="G187" s="98" t="s">
        <v>1319</v>
      </c>
    </row>
    <row r="188" spans="1:7" ht="15" thickBot="1" x14ac:dyDescent="0.4">
      <c r="A188" s="98">
        <v>2041225236</v>
      </c>
      <c r="B188" s="101" t="s">
        <v>2050</v>
      </c>
      <c r="C188" s="98" t="s">
        <v>1384</v>
      </c>
      <c r="D188" s="98" t="s">
        <v>133</v>
      </c>
      <c r="E188" s="98" t="s">
        <v>914</v>
      </c>
      <c r="F188" s="98" t="s">
        <v>1317</v>
      </c>
      <c r="G188" s="98" t="s">
        <v>1318</v>
      </c>
    </row>
    <row r="189" spans="1:7" ht="15" thickBot="1" x14ac:dyDescent="0.4">
      <c r="A189" s="98">
        <v>2005222576</v>
      </c>
      <c r="B189" s="101" t="s">
        <v>1385</v>
      </c>
      <c r="C189" s="98" t="s">
        <v>283</v>
      </c>
      <c r="D189" s="98" t="s">
        <v>197</v>
      </c>
      <c r="E189" s="98" t="s">
        <v>913</v>
      </c>
      <c r="F189" s="98" t="s">
        <v>1317</v>
      </c>
      <c r="G189" s="98" t="s">
        <v>1318</v>
      </c>
    </row>
    <row r="190" spans="1:7" ht="15" thickBot="1" x14ac:dyDescent="0.4">
      <c r="A190" s="98">
        <v>2005222576</v>
      </c>
      <c r="B190" s="101" t="s">
        <v>1385</v>
      </c>
      <c r="C190" s="98" t="s">
        <v>283</v>
      </c>
      <c r="D190" s="98" t="s">
        <v>197</v>
      </c>
      <c r="E190" s="98" t="s">
        <v>912</v>
      </c>
      <c r="F190" s="98" t="s">
        <v>1317</v>
      </c>
      <c r="G190" s="98" t="s">
        <v>1318</v>
      </c>
    </row>
    <row r="191" spans="1:7" ht="15" thickBot="1" x14ac:dyDescent="0.4">
      <c r="A191" s="98">
        <v>2005220377</v>
      </c>
      <c r="B191" s="101" t="s">
        <v>1386</v>
      </c>
      <c r="C191" s="98" t="s">
        <v>283</v>
      </c>
      <c r="D191" s="98" t="s">
        <v>197</v>
      </c>
      <c r="E191" s="98" t="s">
        <v>1387</v>
      </c>
      <c r="F191" s="98" t="s">
        <v>1323</v>
      </c>
      <c r="G191" s="98" t="s">
        <v>1318</v>
      </c>
    </row>
    <row r="192" spans="1:7" ht="15" thickBot="1" x14ac:dyDescent="0.4">
      <c r="A192" s="98">
        <v>2005220377</v>
      </c>
      <c r="B192" s="101" t="s">
        <v>1386</v>
      </c>
      <c r="C192" s="98" t="s">
        <v>283</v>
      </c>
      <c r="D192" s="98" t="s">
        <v>197</v>
      </c>
      <c r="E192" s="98" t="s">
        <v>1387</v>
      </c>
      <c r="F192" s="98" t="s">
        <v>1323</v>
      </c>
      <c r="G192" s="98" t="s">
        <v>1318</v>
      </c>
    </row>
    <row r="193" spans="1:7" ht="15" thickBot="1" x14ac:dyDescent="0.4">
      <c r="A193" s="98">
        <v>2005222347</v>
      </c>
      <c r="B193" s="101" t="s">
        <v>1388</v>
      </c>
      <c r="C193" s="98" t="s">
        <v>196</v>
      </c>
      <c r="D193" s="98" t="s">
        <v>197</v>
      </c>
      <c r="E193" s="98" t="s">
        <v>913</v>
      </c>
      <c r="F193" s="98" t="s">
        <v>1317</v>
      </c>
      <c r="G193" s="98" t="s">
        <v>1318</v>
      </c>
    </row>
    <row r="194" spans="1:7" ht="15" thickBot="1" x14ac:dyDescent="0.4">
      <c r="A194" s="98">
        <v>2005222347</v>
      </c>
      <c r="B194" s="101" t="s">
        <v>1388</v>
      </c>
      <c r="C194" s="98" t="s">
        <v>196</v>
      </c>
      <c r="D194" s="98" t="s">
        <v>197</v>
      </c>
      <c r="E194" s="98" t="s">
        <v>912</v>
      </c>
      <c r="F194" s="98" t="s">
        <v>1317</v>
      </c>
      <c r="G194" s="98" t="s">
        <v>1318</v>
      </c>
    </row>
    <row r="195" spans="1:7" ht="15" thickBot="1" x14ac:dyDescent="0.4">
      <c r="A195" s="98">
        <v>2005222347</v>
      </c>
      <c r="B195" s="101" t="s">
        <v>1388</v>
      </c>
      <c r="C195" s="98" t="s">
        <v>196</v>
      </c>
      <c r="D195" s="98" t="s">
        <v>197</v>
      </c>
      <c r="E195" s="98" t="s">
        <v>915</v>
      </c>
      <c r="F195" s="98" t="s">
        <v>1317</v>
      </c>
      <c r="G195" s="98" t="s">
        <v>1319</v>
      </c>
    </row>
    <row r="196" spans="1:7" ht="15" thickBot="1" x14ac:dyDescent="0.4">
      <c r="A196" s="98">
        <v>2005220875</v>
      </c>
      <c r="B196" s="101" t="s">
        <v>1389</v>
      </c>
      <c r="C196" s="98" t="s">
        <v>283</v>
      </c>
      <c r="D196" s="98" t="s">
        <v>197</v>
      </c>
      <c r="E196" s="98" t="s">
        <v>911</v>
      </c>
      <c r="F196" s="98" t="s">
        <v>1317</v>
      </c>
      <c r="G196" s="98" t="s">
        <v>1318</v>
      </c>
    </row>
    <row r="197" spans="1:7" ht="15" thickBot="1" x14ac:dyDescent="0.4">
      <c r="A197" s="98">
        <v>2005220875</v>
      </c>
      <c r="B197" s="101" t="s">
        <v>1389</v>
      </c>
      <c r="C197" s="98" t="s">
        <v>283</v>
      </c>
      <c r="D197" s="98" t="s">
        <v>197</v>
      </c>
      <c r="E197" s="98" t="s">
        <v>914</v>
      </c>
      <c r="F197" s="98" t="s">
        <v>1317</v>
      </c>
      <c r="G197" s="98" t="s">
        <v>1318</v>
      </c>
    </row>
    <row r="198" spans="1:7" ht="15" thickBot="1" x14ac:dyDescent="0.4">
      <c r="A198" s="98">
        <v>2005220875</v>
      </c>
      <c r="B198" s="101" t="s">
        <v>1389</v>
      </c>
      <c r="C198" s="98" t="s">
        <v>283</v>
      </c>
      <c r="D198" s="98" t="s">
        <v>197</v>
      </c>
      <c r="E198" s="98" t="s">
        <v>912</v>
      </c>
      <c r="F198" s="98" t="s">
        <v>1317</v>
      </c>
      <c r="G198" s="98" t="s">
        <v>1318</v>
      </c>
    </row>
    <row r="199" spans="1:7" ht="15" thickBot="1" x14ac:dyDescent="0.4">
      <c r="A199" s="98">
        <v>2005220785</v>
      </c>
      <c r="B199" s="101" t="s">
        <v>1390</v>
      </c>
      <c r="C199" s="98" t="s">
        <v>283</v>
      </c>
      <c r="D199" s="98" t="s">
        <v>197</v>
      </c>
      <c r="E199" s="98" t="s">
        <v>913</v>
      </c>
      <c r="F199" s="98" t="s">
        <v>1317</v>
      </c>
      <c r="G199" s="98" t="s">
        <v>1318</v>
      </c>
    </row>
    <row r="200" spans="1:7" ht="15" thickBot="1" x14ac:dyDescent="0.4">
      <c r="A200" s="98">
        <v>2005220785</v>
      </c>
      <c r="B200" s="101" t="s">
        <v>1390</v>
      </c>
      <c r="C200" s="98" t="s">
        <v>283</v>
      </c>
      <c r="D200" s="98" t="s">
        <v>197</v>
      </c>
      <c r="E200" s="98" t="s">
        <v>911</v>
      </c>
      <c r="F200" s="98" t="s">
        <v>1317</v>
      </c>
      <c r="G200" s="98" t="s">
        <v>1318</v>
      </c>
    </row>
    <row r="201" spans="1:7" ht="15" thickBot="1" x14ac:dyDescent="0.4">
      <c r="A201" s="98">
        <v>2005220785</v>
      </c>
      <c r="B201" s="101" t="s">
        <v>1390</v>
      </c>
      <c r="C201" s="98" t="s">
        <v>283</v>
      </c>
      <c r="D201" s="98" t="s">
        <v>197</v>
      </c>
      <c r="E201" s="98" t="s">
        <v>915</v>
      </c>
      <c r="F201" s="98" t="s">
        <v>1317</v>
      </c>
      <c r="G201" s="98" t="s">
        <v>1319</v>
      </c>
    </row>
    <row r="202" spans="1:7" ht="15" thickBot="1" x14ac:dyDescent="0.4">
      <c r="A202" s="98">
        <v>2005222757</v>
      </c>
      <c r="B202" s="101" t="s">
        <v>1391</v>
      </c>
      <c r="C202" s="98" t="s">
        <v>196</v>
      </c>
      <c r="D202" s="98" t="s">
        <v>197</v>
      </c>
      <c r="E202" s="98" t="s">
        <v>912</v>
      </c>
      <c r="F202" s="98" t="s">
        <v>1317</v>
      </c>
      <c r="G202" s="98" t="s">
        <v>1318</v>
      </c>
    </row>
    <row r="203" spans="1:7" ht="15" thickBot="1" x14ac:dyDescent="0.4">
      <c r="A203" s="98">
        <v>2005222757</v>
      </c>
      <c r="B203" s="101" t="s">
        <v>1391</v>
      </c>
      <c r="C203" s="98" t="s">
        <v>196</v>
      </c>
      <c r="D203" s="98" t="s">
        <v>197</v>
      </c>
      <c r="E203" s="98" t="s">
        <v>911</v>
      </c>
      <c r="F203" s="98" t="s">
        <v>1317</v>
      </c>
      <c r="G203" s="98" t="s">
        <v>1318</v>
      </c>
    </row>
    <row r="204" spans="1:7" ht="15" thickBot="1" x14ac:dyDescent="0.4">
      <c r="A204" s="98">
        <v>2005222757</v>
      </c>
      <c r="B204" s="101" t="s">
        <v>1391</v>
      </c>
      <c r="C204" s="98" t="s">
        <v>196</v>
      </c>
      <c r="D204" s="98" t="s">
        <v>197</v>
      </c>
      <c r="E204" s="98" t="s">
        <v>915</v>
      </c>
      <c r="F204" s="98" t="s">
        <v>1317</v>
      </c>
      <c r="G204" s="98" t="s">
        <v>1319</v>
      </c>
    </row>
    <row r="205" spans="1:7" ht="15" thickBot="1" x14ac:dyDescent="0.4">
      <c r="A205" s="98">
        <v>2005221587</v>
      </c>
      <c r="B205" s="101" t="s">
        <v>1392</v>
      </c>
      <c r="C205" s="98" t="s">
        <v>283</v>
      </c>
      <c r="D205" s="98" t="s">
        <v>197</v>
      </c>
      <c r="E205" s="98" t="s">
        <v>913</v>
      </c>
      <c r="F205" s="98" t="s">
        <v>1317</v>
      </c>
      <c r="G205" s="98" t="s">
        <v>1318</v>
      </c>
    </row>
    <row r="206" spans="1:7" ht="15" thickBot="1" x14ac:dyDescent="0.4">
      <c r="A206" s="98">
        <v>2005221587</v>
      </c>
      <c r="B206" s="101" t="s">
        <v>1392</v>
      </c>
      <c r="C206" s="98" t="s">
        <v>283</v>
      </c>
      <c r="D206" s="98" t="s">
        <v>197</v>
      </c>
      <c r="E206" s="98" t="s">
        <v>911</v>
      </c>
      <c r="F206" s="98" t="s">
        <v>1317</v>
      </c>
      <c r="G206" s="98" t="s">
        <v>1319</v>
      </c>
    </row>
    <row r="207" spans="1:7" ht="15" thickBot="1" x14ac:dyDescent="0.4">
      <c r="A207" s="98">
        <v>2005221587</v>
      </c>
      <c r="B207" s="101" t="s">
        <v>1392</v>
      </c>
      <c r="C207" s="98" t="s">
        <v>283</v>
      </c>
      <c r="D207" s="98" t="s">
        <v>197</v>
      </c>
      <c r="E207" s="98" t="s">
        <v>915</v>
      </c>
      <c r="F207" s="98" t="s">
        <v>1323</v>
      </c>
      <c r="G207" s="98" t="s">
        <v>1319</v>
      </c>
    </row>
    <row r="208" spans="1:7" ht="15" thickBot="1" x14ac:dyDescent="0.4">
      <c r="A208" s="98">
        <v>2005225186</v>
      </c>
      <c r="B208" s="101" t="s">
        <v>1393</v>
      </c>
      <c r="C208" s="98" t="s">
        <v>283</v>
      </c>
      <c r="D208" s="98" t="s">
        <v>197</v>
      </c>
      <c r="E208" s="98" t="s">
        <v>913</v>
      </c>
      <c r="F208" s="98" t="s">
        <v>1317</v>
      </c>
      <c r="G208" s="98" t="s">
        <v>1318</v>
      </c>
    </row>
    <row r="209" spans="1:7" ht="15" thickBot="1" x14ac:dyDescent="0.4">
      <c r="A209" s="98">
        <v>2005225186</v>
      </c>
      <c r="B209" s="101" t="s">
        <v>1393</v>
      </c>
      <c r="C209" s="98" t="s">
        <v>283</v>
      </c>
      <c r="D209" s="98" t="s">
        <v>197</v>
      </c>
      <c r="E209" s="98" t="s">
        <v>912</v>
      </c>
      <c r="F209" s="98" t="s">
        <v>1317</v>
      </c>
      <c r="G209" s="98" t="s">
        <v>1318</v>
      </c>
    </row>
    <row r="210" spans="1:7" ht="15" thickBot="1" x14ac:dyDescent="0.4">
      <c r="A210" s="98">
        <v>2005224932</v>
      </c>
      <c r="B210" s="101" t="s">
        <v>1394</v>
      </c>
      <c r="C210" s="98" t="s">
        <v>196</v>
      </c>
      <c r="D210" s="98" t="s">
        <v>197</v>
      </c>
      <c r="E210" s="98" t="s">
        <v>1395</v>
      </c>
      <c r="F210" s="98" t="s">
        <v>1317</v>
      </c>
      <c r="G210" s="98" t="s">
        <v>1318</v>
      </c>
    </row>
    <row r="211" spans="1:7" ht="15" thickBot="1" x14ac:dyDescent="0.4">
      <c r="A211" s="98">
        <v>2005224932</v>
      </c>
      <c r="B211" s="101" t="s">
        <v>1394</v>
      </c>
      <c r="C211" s="98" t="s">
        <v>196</v>
      </c>
      <c r="D211" s="98" t="s">
        <v>197</v>
      </c>
      <c r="E211" s="98" t="s">
        <v>912</v>
      </c>
      <c r="F211" s="98" t="s">
        <v>1317</v>
      </c>
      <c r="G211" s="98" t="s">
        <v>1318</v>
      </c>
    </row>
    <row r="212" spans="1:7" ht="15" thickBot="1" x14ac:dyDescent="0.4">
      <c r="A212" s="98">
        <v>2005224932</v>
      </c>
      <c r="B212" s="101" t="s">
        <v>1394</v>
      </c>
      <c r="C212" s="98" t="s">
        <v>196</v>
      </c>
      <c r="D212" s="98" t="s">
        <v>197</v>
      </c>
      <c r="E212" s="98" t="s">
        <v>916</v>
      </c>
      <c r="F212" s="98" t="s">
        <v>1317</v>
      </c>
      <c r="G212" s="98" t="s">
        <v>1319</v>
      </c>
    </row>
    <row r="213" spans="1:7" ht="15" thickBot="1" x14ac:dyDescent="0.4">
      <c r="A213" s="98">
        <v>2005224214</v>
      </c>
      <c r="B213" s="101" t="s">
        <v>1396</v>
      </c>
      <c r="C213" s="98" t="s">
        <v>196</v>
      </c>
      <c r="D213" s="98" t="s">
        <v>197</v>
      </c>
      <c r="E213" s="98" t="s">
        <v>912</v>
      </c>
      <c r="F213" s="98" t="s">
        <v>1317</v>
      </c>
      <c r="G213" s="98" t="s">
        <v>1318</v>
      </c>
    </row>
    <row r="214" spans="1:7" ht="15" thickBot="1" x14ac:dyDescent="0.4">
      <c r="A214" s="98">
        <v>2005220628</v>
      </c>
      <c r="B214" s="101" t="s">
        <v>1397</v>
      </c>
      <c r="C214" s="98" t="s">
        <v>196</v>
      </c>
      <c r="D214" s="98" t="s">
        <v>197</v>
      </c>
      <c r="E214" s="98" t="s">
        <v>911</v>
      </c>
      <c r="F214" s="98" t="s">
        <v>1317</v>
      </c>
      <c r="G214" s="98" t="s">
        <v>1318</v>
      </c>
    </row>
    <row r="215" spans="1:7" ht="15" thickBot="1" x14ac:dyDescent="0.4">
      <c r="A215" s="98">
        <v>2005220628</v>
      </c>
      <c r="B215" s="101" t="s">
        <v>1397</v>
      </c>
      <c r="C215" s="98" t="s">
        <v>196</v>
      </c>
      <c r="D215" s="98" t="s">
        <v>197</v>
      </c>
      <c r="E215" s="98" t="s">
        <v>912</v>
      </c>
      <c r="F215" s="98" t="s">
        <v>1317</v>
      </c>
      <c r="G215" s="98" t="s">
        <v>1318</v>
      </c>
    </row>
    <row r="216" spans="1:7" ht="15" thickBot="1" x14ac:dyDescent="0.4">
      <c r="A216" s="98">
        <v>2005220628</v>
      </c>
      <c r="B216" s="101" t="s">
        <v>1397</v>
      </c>
      <c r="C216" s="98" t="s">
        <v>196</v>
      </c>
      <c r="D216" s="98" t="s">
        <v>197</v>
      </c>
      <c r="E216" s="98" t="s">
        <v>913</v>
      </c>
      <c r="F216" s="98" t="s">
        <v>1317</v>
      </c>
      <c r="G216" s="98" t="s">
        <v>1318</v>
      </c>
    </row>
    <row r="217" spans="1:7" ht="15" thickBot="1" x14ac:dyDescent="0.4">
      <c r="A217" s="98">
        <v>2005223322</v>
      </c>
      <c r="B217" s="101" t="s">
        <v>1398</v>
      </c>
      <c r="C217" s="98" t="s">
        <v>196</v>
      </c>
      <c r="D217" s="98" t="s">
        <v>197</v>
      </c>
      <c r="E217" s="98" t="s">
        <v>911</v>
      </c>
      <c r="F217" s="98" t="s">
        <v>1317</v>
      </c>
      <c r="G217" s="98" t="s">
        <v>1318</v>
      </c>
    </row>
    <row r="218" spans="1:7" ht="15" thickBot="1" x14ac:dyDescent="0.4">
      <c r="A218" s="98">
        <v>2005223322</v>
      </c>
      <c r="B218" s="101" t="s">
        <v>1398</v>
      </c>
      <c r="C218" s="98" t="s">
        <v>196</v>
      </c>
      <c r="D218" s="98" t="s">
        <v>197</v>
      </c>
      <c r="E218" s="98" t="s">
        <v>913</v>
      </c>
      <c r="F218" s="98" t="s">
        <v>1317</v>
      </c>
      <c r="G218" s="98" t="s">
        <v>1318</v>
      </c>
    </row>
    <row r="219" spans="1:7" ht="15" thickBot="1" x14ac:dyDescent="0.4">
      <c r="A219" s="98">
        <v>2005223322</v>
      </c>
      <c r="B219" s="101" t="s">
        <v>1398</v>
      </c>
      <c r="C219" s="98" t="s">
        <v>196</v>
      </c>
      <c r="D219" s="98" t="s">
        <v>197</v>
      </c>
      <c r="E219" s="98" t="s">
        <v>915</v>
      </c>
      <c r="F219" s="98" t="s">
        <v>1317</v>
      </c>
      <c r="G219" s="98" t="s">
        <v>1319</v>
      </c>
    </row>
    <row r="220" spans="1:7" ht="15" thickBot="1" x14ac:dyDescent="0.4">
      <c r="A220" s="98">
        <v>2005225743</v>
      </c>
      <c r="B220" s="101" t="s">
        <v>1399</v>
      </c>
      <c r="C220" s="98" t="s">
        <v>196</v>
      </c>
      <c r="D220" s="98" t="s">
        <v>197</v>
      </c>
      <c r="E220" s="98" t="s">
        <v>913</v>
      </c>
      <c r="F220" s="98" t="s">
        <v>1317</v>
      </c>
      <c r="G220" s="98" t="s">
        <v>1318</v>
      </c>
    </row>
    <row r="221" spans="1:7" ht="15" thickBot="1" x14ac:dyDescent="0.4">
      <c r="A221" s="98">
        <v>2005225743</v>
      </c>
      <c r="B221" s="101" t="s">
        <v>1399</v>
      </c>
      <c r="C221" s="98" t="s">
        <v>196</v>
      </c>
      <c r="D221" s="98" t="s">
        <v>197</v>
      </c>
      <c r="E221" s="98" t="s">
        <v>911</v>
      </c>
      <c r="F221" s="98" t="s">
        <v>1317</v>
      </c>
      <c r="G221" s="98" t="s">
        <v>1318</v>
      </c>
    </row>
    <row r="222" spans="1:7" ht="15" thickBot="1" x14ac:dyDescent="0.4">
      <c r="A222" s="98">
        <v>2005225743</v>
      </c>
      <c r="B222" s="101" t="s">
        <v>1399</v>
      </c>
      <c r="C222" s="98" t="s">
        <v>196</v>
      </c>
      <c r="D222" s="98" t="s">
        <v>197</v>
      </c>
      <c r="E222" s="98" t="s">
        <v>916</v>
      </c>
      <c r="F222" s="98" t="s">
        <v>1323</v>
      </c>
      <c r="G222" s="98" t="s">
        <v>1319</v>
      </c>
    </row>
    <row r="223" spans="1:7" ht="15" thickBot="1" x14ac:dyDescent="0.4">
      <c r="A223" s="98">
        <v>2005224086</v>
      </c>
      <c r="B223" s="101" t="s">
        <v>1400</v>
      </c>
      <c r="C223" s="98" t="s">
        <v>196</v>
      </c>
      <c r="D223" s="98" t="s">
        <v>197</v>
      </c>
      <c r="E223" s="98" t="s">
        <v>912</v>
      </c>
      <c r="F223" s="98" t="s">
        <v>1317</v>
      </c>
      <c r="G223" s="98" t="s">
        <v>1318</v>
      </c>
    </row>
    <row r="224" spans="1:7" ht="15" thickBot="1" x14ac:dyDescent="0.4">
      <c r="A224" s="98">
        <v>2005224086</v>
      </c>
      <c r="B224" s="101" t="s">
        <v>1400</v>
      </c>
      <c r="C224" s="98" t="s">
        <v>196</v>
      </c>
      <c r="D224" s="98" t="s">
        <v>197</v>
      </c>
      <c r="E224" s="98" t="s">
        <v>911</v>
      </c>
      <c r="F224" s="98" t="s">
        <v>1317</v>
      </c>
      <c r="G224" s="98" t="s">
        <v>1318</v>
      </c>
    </row>
    <row r="225" spans="1:7" ht="15" thickBot="1" x14ac:dyDescent="0.4">
      <c r="A225" s="98">
        <v>2005224086</v>
      </c>
      <c r="B225" s="101" t="s">
        <v>1400</v>
      </c>
      <c r="C225" s="98" t="s">
        <v>196</v>
      </c>
      <c r="D225" s="98" t="s">
        <v>197</v>
      </c>
      <c r="E225" s="98" t="s">
        <v>915</v>
      </c>
      <c r="F225" s="98" t="s">
        <v>1323</v>
      </c>
      <c r="G225" s="98" t="s">
        <v>1319</v>
      </c>
    </row>
    <row r="226" spans="1:7" ht="15" thickBot="1" x14ac:dyDescent="0.4">
      <c r="A226" s="98">
        <v>2005225998</v>
      </c>
      <c r="B226" s="101" t="s">
        <v>1401</v>
      </c>
      <c r="C226" s="98" t="s">
        <v>196</v>
      </c>
      <c r="D226" s="98" t="s">
        <v>197</v>
      </c>
      <c r="E226" s="98" t="s">
        <v>912</v>
      </c>
      <c r="F226" s="98" t="s">
        <v>1317</v>
      </c>
      <c r="G226" s="98" t="s">
        <v>1318</v>
      </c>
    </row>
    <row r="227" spans="1:7" ht="15" thickBot="1" x14ac:dyDescent="0.4">
      <c r="A227" s="98">
        <v>2005225998</v>
      </c>
      <c r="B227" s="101" t="s">
        <v>1401</v>
      </c>
      <c r="C227" s="98" t="s">
        <v>196</v>
      </c>
      <c r="D227" s="98" t="s">
        <v>197</v>
      </c>
      <c r="E227" s="98" t="s">
        <v>914</v>
      </c>
      <c r="F227" s="98" t="s">
        <v>1317</v>
      </c>
      <c r="G227" s="98" t="s">
        <v>1318</v>
      </c>
    </row>
    <row r="228" spans="1:7" ht="15" thickBot="1" x14ac:dyDescent="0.4">
      <c r="A228" s="98">
        <v>2005225998</v>
      </c>
      <c r="B228" s="101" t="s">
        <v>1401</v>
      </c>
      <c r="C228" s="98" t="s">
        <v>196</v>
      </c>
      <c r="D228" s="98" t="s">
        <v>197</v>
      </c>
      <c r="E228" s="98" t="s">
        <v>916</v>
      </c>
      <c r="F228" s="98" t="s">
        <v>1323</v>
      </c>
      <c r="G228" s="98" t="s">
        <v>1319</v>
      </c>
    </row>
    <row r="229" spans="1:7" ht="15" thickBot="1" x14ac:dyDescent="0.4">
      <c r="A229" s="98">
        <v>2005221866</v>
      </c>
      <c r="B229" s="101" t="s">
        <v>1402</v>
      </c>
      <c r="C229" s="98" t="s">
        <v>283</v>
      </c>
      <c r="D229" s="98" t="s">
        <v>197</v>
      </c>
      <c r="E229" s="98" t="s">
        <v>913</v>
      </c>
      <c r="F229" s="98" t="s">
        <v>1317</v>
      </c>
      <c r="G229" s="98" t="s">
        <v>1318</v>
      </c>
    </row>
    <row r="230" spans="1:7" ht="15" thickBot="1" x14ac:dyDescent="0.4">
      <c r="A230" s="98">
        <v>2005221866</v>
      </c>
      <c r="B230" s="101" t="s">
        <v>1403</v>
      </c>
      <c r="C230" s="98" t="s">
        <v>283</v>
      </c>
      <c r="D230" s="98" t="s">
        <v>197</v>
      </c>
      <c r="E230" s="98" t="s">
        <v>911</v>
      </c>
      <c r="F230" s="98" t="s">
        <v>1317</v>
      </c>
      <c r="G230" s="98" t="s">
        <v>1318</v>
      </c>
    </row>
    <row r="231" spans="1:7" ht="15" thickBot="1" x14ac:dyDescent="0.4">
      <c r="A231" s="98">
        <v>2005221866</v>
      </c>
      <c r="B231" s="101" t="s">
        <v>1403</v>
      </c>
      <c r="C231" s="98" t="s">
        <v>283</v>
      </c>
      <c r="D231" s="98" t="s">
        <v>197</v>
      </c>
      <c r="E231" s="98" t="s">
        <v>911</v>
      </c>
      <c r="F231" s="98" t="s">
        <v>1317</v>
      </c>
      <c r="G231" s="98" t="s">
        <v>1318</v>
      </c>
    </row>
    <row r="232" spans="1:7" ht="15" thickBot="1" x14ac:dyDescent="0.4">
      <c r="A232" s="98">
        <v>2005221866</v>
      </c>
      <c r="B232" s="101" t="s">
        <v>1402</v>
      </c>
      <c r="C232" s="98" t="s">
        <v>283</v>
      </c>
      <c r="D232" s="98" t="s">
        <v>197</v>
      </c>
      <c r="E232" s="98" t="s">
        <v>912</v>
      </c>
      <c r="F232" s="98" t="s">
        <v>1317</v>
      </c>
      <c r="G232" s="98" t="s">
        <v>1318</v>
      </c>
    </row>
    <row r="233" spans="1:7" ht="15" thickBot="1" x14ac:dyDescent="0.4">
      <c r="A233" s="98">
        <v>2005222065</v>
      </c>
      <c r="B233" s="101" t="s">
        <v>1404</v>
      </c>
      <c r="C233" s="98" t="s">
        <v>196</v>
      </c>
      <c r="D233" s="98" t="s">
        <v>197</v>
      </c>
      <c r="E233" s="98" t="s">
        <v>913</v>
      </c>
      <c r="F233" s="98" t="s">
        <v>1317</v>
      </c>
      <c r="G233" s="98" t="s">
        <v>1318</v>
      </c>
    </row>
    <row r="234" spans="1:7" ht="15" thickBot="1" x14ac:dyDescent="0.4">
      <c r="A234" s="98">
        <v>2005222065</v>
      </c>
      <c r="B234" s="101" t="s">
        <v>1404</v>
      </c>
      <c r="C234" s="98" t="s">
        <v>196</v>
      </c>
      <c r="D234" s="98" t="s">
        <v>197</v>
      </c>
      <c r="E234" s="98" t="s">
        <v>915</v>
      </c>
      <c r="F234" s="98" t="s">
        <v>1317</v>
      </c>
      <c r="G234" s="98" t="s">
        <v>1319</v>
      </c>
    </row>
    <row r="235" spans="1:7" ht="15" thickBot="1" x14ac:dyDescent="0.4">
      <c r="A235" s="98">
        <v>2005222065</v>
      </c>
      <c r="B235" s="101" t="s">
        <v>1404</v>
      </c>
      <c r="C235" s="98" t="s">
        <v>196</v>
      </c>
      <c r="D235" s="98" t="s">
        <v>197</v>
      </c>
      <c r="E235" s="98" t="s">
        <v>912</v>
      </c>
      <c r="F235" s="98" t="s">
        <v>1317</v>
      </c>
      <c r="G235" s="98" t="s">
        <v>1318</v>
      </c>
    </row>
    <row r="236" spans="1:7" ht="15" thickBot="1" x14ac:dyDescent="0.4">
      <c r="A236" s="98">
        <v>2005221125</v>
      </c>
      <c r="B236" s="101" t="s">
        <v>1405</v>
      </c>
      <c r="C236" s="98" t="s">
        <v>196</v>
      </c>
      <c r="D236" s="98" t="s">
        <v>197</v>
      </c>
      <c r="E236" s="98" t="s">
        <v>1406</v>
      </c>
      <c r="F236" s="98" t="s">
        <v>1317</v>
      </c>
      <c r="G236" s="98" t="s">
        <v>1318</v>
      </c>
    </row>
    <row r="237" spans="1:7" ht="15" thickBot="1" x14ac:dyDescent="0.4">
      <c r="A237" s="98">
        <v>2005221125</v>
      </c>
      <c r="B237" s="101" t="s">
        <v>1405</v>
      </c>
      <c r="C237" s="98" t="s">
        <v>196</v>
      </c>
      <c r="D237" s="98" t="s">
        <v>197</v>
      </c>
      <c r="E237" s="98" t="s">
        <v>1395</v>
      </c>
      <c r="F237" s="98" t="s">
        <v>1317</v>
      </c>
      <c r="G237" s="98" t="s">
        <v>1318</v>
      </c>
    </row>
    <row r="238" spans="1:7" ht="15" thickBot="1" x14ac:dyDescent="0.4">
      <c r="A238" s="98">
        <v>2005221125</v>
      </c>
      <c r="B238" s="101" t="s">
        <v>1405</v>
      </c>
      <c r="C238" s="98" t="s">
        <v>196</v>
      </c>
      <c r="D238" s="98" t="s">
        <v>197</v>
      </c>
      <c r="E238" s="98" t="s">
        <v>913</v>
      </c>
      <c r="F238" s="98" t="s">
        <v>1317</v>
      </c>
      <c r="G238" s="98" t="s">
        <v>1318</v>
      </c>
    </row>
    <row r="239" spans="1:7" ht="15" thickBot="1" x14ac:dyDescent="0.4">
      <c r="A239" s="98">
        <v>2005220253</v>
      </c>
      <c r="B239" s="101" t="s">
        <v>1407</v>
      </c>
      <c r="C239" s="98" t="s">
        <v>196</v>
      </c>
      <c r="D239" s="98" t="s">
        <v>197</v>
      </c>
      <c r="E239" s="98" t="s">
        <v>913</v>
      </c>
      <c r="F239" s="98" t="s">
        <v>1317</v>
      </c>
      <c r="G239" s="98" t="s">
        <v>1318</v>
      </c>
    </row>
    <row r="240" spans="1:7" ht="15" thickBot="1" x14ac:dyDescent="0.4">
      <c r="A240" s="98">
        <v>2005220253</v>
      </c>
      <c r="B240" s="101" t="s">
        <v>1407</v>
      </c>
      <c r="C240" s="98" t="s">
        <v>196</v>
      </c>
      <c r="D240" s="98" t="s">
        <v>197</v>
      </c>
      <c r="E240" s="98" t="s">
        <v>911</v>
      </c>
      <c r="F240" s="98" t="s">
        <v>1317</v>
      </c>
      <c r="G240" s="98" t="s">
        <v>1318</v>
      </c>
    </row>
    <row r="241" spans="1:7" ht="15" thickBot="1" x14ac:dyDescent="0.4">
      <c r="A241" s="98">
        <v>2005220253</v>
      </c>
      <c r="B241" s="101" t="s">
        <v>1407</v>
      </c>
      <c r="C241" s="98" t="s">
        <v>196</v>
      </c>
      <c r="D241" s="98" t="s">
        <v>197</v>
      </c>
      <c r="E241" s="98" t="s">
        <v>912</v>
      </c>
      <c r="F241" s="98" t="s">
        <v>1317</v>
      </c>
      <c r="G241" s="98" t="s">
        <v>1318</v>
      </c>
    </row>
    <row r="242" spans="1:7" ht="15" thickBot="1" x14ac:dyDescent="0.4">
      <c r="A242" s="98">
        <v>2005223551</v>
      </c>
      <c r="B242" s="101" t="s">
        <v>1408</v>
      </c>
      <c r="C242" s="98" t="s">
        <v>196</v>
      </c>
      <c r="D242" s="98" t="s">
        <v>197</v>
      </c>
      <c r="E242" s="98" t="s">
        <v>911</v>
      </c>
      <c r="F242" s="98" t="s">
        <v>1317</v>
      </c>
      <c r="G242" s="98" t="s">
        <v>1318</v>
      </c>
    </row>
    <row r="243" spans="1:7" ht="15" thickBot="1" x14ac:dyDescent="0.4">
      <c r="A243" s="98">
        <v>2005223551</v>
      </c>
      <c r="B243" s="101" t="s">
        <v>1408</v>
      </c>
      <c r="C243" s="98" t="s">
        <v>196</v>
      </c>
      <c r="D243" s="98" t="s">
        <v>197</v>
      </c>
      <c r="E243" s="98" t="s">
        <v>915</v>
      </c>
      <c r="F243" s="98" t="s">
        <v>1317</v>
      </c>
      <c r="G243" s="98" t="s">
        <v>1319</v>
      </c>
    </row>
    <row r="244" spans="1:7" ht="15" thickBot="1" x14ac:dyDescent="0.4">
      <c r="A244" s="98">
        <v>2005222893</v>
      </c>
      <c r="B244" s="101" t="s">
        <v>1409</v>
      </c>
      <c r="C244" s="98" t="s">
        <v>283</v>
      </c>
      <c r="D244" s="98" t="s">
        <v>197</v>
      </c>
      <c r="E244" s="98" t="s">
        <v>911</v>
      </c>
      <c r="F244" s="98" t="s">
        <v>1317</v>
      </c>
      <c r="G244" s="98" t="s">
        <v>1318</v>
      </c>
    </row>
    <row r="245" spans="1:7" ht="15" thickBot="1" x14ac:dyDescent="0.4">
      <c r="A245" s="98">
        <v>2005222893</v>
      </c>
      <c r="B245" s="101" t="s">
        <v>1409</v>
      </c>
      <c r="C245" s="98" t="s">
        <v>283</v>
      </c>
      <c r="D245" s="98" t="s">
        <v>197</v>
      </c>
      <c r="E245" s="98" t="s">
        <v>912</v>
      </c>
      <c r="F245" s="98" t="s">
        <v>1317</v>
      </c>
      <c r="G245" s="98" t="s">
        <v>1318</v>
      </c>
    </row>
    <row r="246" spans="1:7" ht="15" thickBot="1" x14ac:dyDescent="0.4">
      <c r="A246" s="98">
        <v>2005222893</v>
      </c>
      <c r="B246" s="101" t="s">
        <v>1409</v>
      </c>
      <c r="C246" s="98" t="s">
        <v>283</v>
      </c>
      <c r="D246" s="98" t="s">
        <v>197</v>
      </c>
      <c r="E246" s="98" t="s">
        <v>915</v>
      </c>
      <c r="F246" s="98" t="s">
        <v>1323</v>
      </c>
      <c r="G246" s="98" t="s">
        <v>1319</v>
      </c>
    </row>
    <row r="247" spans="1:7" ht="15" thickBot="1" x14ac:dyDescent="0.4">
      <c r="A247" s="98">
        <v>2005223089</v>
      </c>
      <c r="B247" s="101" t="s">
        <v>1410</v>
      </c>
      <c r="C247" s="98" t="s">
        <v>196</v>
      </c>
      <c r="D247" s="98" t="s">
        <v>197</v>
      </c>
      <c r="E247" s="98" t="s">
        <v>912</v>
      </c>
      <c r="F247" s="98" t="s">
        <v>1317</v>
      </c>
      <c r="G247" s="98" t="s">
        <v>1318</v>
      </c>
    </row>
    <row r="248" spans="1:7" ht="15" thickBot="1" x14ac:dyDescent="0.4">
      <c r="A248" s="98">
        <v>2005223089</v>
      </c>
      <c r="B248" s="101" t="s">
        <v>1410</v>
      </c>
      <c r="C248" s="98" t="s">
        <v>196</v>
      </c>
      <c r="D248" s="98" t="s">
        <v>197</v>
      </c>
      <c r="E248" s="98" t="s">
        <v>911</v>
      </c>
      <c r="F248" s="98" t="s">
        <v>1317</v>
      </c>
      <c r="G248" s="98" t="s">
        <v>1318</v>
      </c>
    </row>
    <row r="249" spans="1:7" ht="15" thickBot="1" x14ac:dyDescent="0.4">
      <c r="A249" s="98">
        <v>2005220300</v>
      </c>
      <c r="B249" s="101" t="s">
        <v>1411</v>
      </c>
      <c r="C249" s="98" t="s">
        <v>196</v>
      </c>
      <c r="D249" s="98" t="s">
        <v>197</v>
      </c>
      <c r="E249" s="98" t="s">
        <v>912</v>
      </c>
      <c r="F249" s="98" t="s">
        <v>1317</v>
      </c>
      <c r="G249" s="98" t="s">
        <v>1318</v>
      </c>
    </row>
    <row r="250" spans="1:7" ht="15" thickBot="1" x14ac:dyDescent="0.4">
      <c r="A250" s="98">
        <v>2005220300</v>
      </c>
      <c r="B250" s="101" t="s">
        <v>1411</v>
      </c>
      <c r="C250" s="98" t="s">
        <v>196</v>
      </c>
      <c r="D250" s="98" t="s">
        <v>197</v>
      </c>
      <c r="E250" s="98" t="s">
        <v>1342</v>
      </c>
      <c r="F250" s="98" t="s">
        <v>1317</v>
      </c>
      <c r="G250" s="98" t="s">
        <v>1318</v>
      </c>
    </row>
    <row r="251" spans="1:7" ht="15" thickBot="1" x14ac:dyDescent="0.4">
      <c r="A251" s="98">
        <v>2005221487</v>
      </c>
      <c r="B251" s="101" t="s">
        <v>1412</v>
      </c>
      <c r="C251" s="98" t="s">
        <v>196</v>
      </c>
      <c r="D251" s="98" t="s">
        <v>197</v>
      </c>
      <c r="E251" s="98" t="s">
        <v>913</v>
      </c>
      <c r="F251" s="98" t="s">
        <v>1317</v>
      </c>
      <c r="G251" s="98" t="s">
        <v>1318</v>
      </c>
    </row>
    <row r="252" spans="1:7" ht="15" thickBot="1" x14ac:dyDescent="0.4">
      <c r="A252" s="98">
        <v>2005221487</v>
      </c>
      <c r="B252" s="101" t="s">
        <v>1412</v>
      </c>
      <c r="C252" s="98" t="s">
        <v>196</v>
      </c>
      <c r="D252" s="98" t="s">
        <v>197</v>
      </c>
      <c r="E252" s="98" t="s">
        <v>915</v>
      </c>
      <c r="F252" s="98" t="s">
        <v>1317</v>
      </c>
      <c r="G252" s="98" t="s">
        <v>1319</v>
      </c>
    </row>
    <row r="253" spans="1:7" ht="15" thickBot="1" x14ac:dyDescent="0.4">
      <c r="A253" s="98">
        <v>2005221487</v>
      </c>
      <c r="B253" s="101" t="s">
        <v>1412</v>
      </c>
      <c r="C253" s="98" t="s">
        <v>196</v>
      </c>
      <c r="D253" s="98" t="s">
        <v>197</v>
      </c>
      <c r="E253" s="98" t="s">
        <v>1342</v>
      </c>
      <c r="F253" s="98" t="s">
        <v>1317</v>
      </c>
      <c r="G253" s="98" t="s">
        <v>1318</v>
      </c>
    </row>
    <row r="254" spans="1:7" ht="15" thickBot="1" x14ac:dyDescent="0.4">
      <c r="A254" s="98">
        <v>2005226119</v>
      </c>
      <c r="B254" s="101" t="s">
        <v>1015</v>
      </c>
      <c r="C254" s="98" t="s">
        <v>196</v>
      </c>
      <c r="D254" s="98" t="s">
        <v>197</v>
      </c>
      <c r="E254" s="98" t="s">
        <v>1395</v>
      </c>
      <c r="F254" s="98" t="s">
        <v>1317</v>
      </c>
      <c r="G254" s="98" t="s">
        <v>1318</v>
      </c>
    </row>
    <row r="255" spans="1:7" ht="15" thickBot="1" x14ac:dyDescent="0.4">
      <c r="A255" s="98">
        <v>2005226119</v>
      </c>
      <c r="B255" s="101" t="s">
        <v>1015</v>
      </c>
      <c r="C255" s="98" t="s">
        <v>196</v>
      </c>
      <c r="D255" s="98" t="s">
        <v>197</v>
      </c>
      <c r="E255" s="98" t="s">
        <v>915</v>
      </c>
      <c r="F255" s="98" t="s">
        <v>1317</v>
      </c>
      <c r="G255" s="98" t="s">
        <v>1319</v>
      </c>
    </row>
    <row r="256" spans="1:7" ht="15" thickBot="1" x14ac:dyDescent="0.4">
      <c r="A256" s="98">
        <v>2005226119</v>
      </c>
      <c r="B256" s="101" t="s">
        <v>1015</v>
      </c>
      <c r="C256" s="98" t="s">
        <v>196</v>
      </c>
      <c r="D256" s="98" t="s">
        <v>197</v>
      </c>
      <c r="E256" s="98" t="s">
        <v>912</v>
      </c>
      <c r="F256" s="98" t="s">
        <v>1317</v>
      </c>
      <c r="G256" s="98" t="s">
        <v>1318</v>
      </c>
    </row>
    <row r="257" spans="1:7" ht="15" thickBot="1" x14ac:dyDescent="0.4">
      <c r="A257" s="98">
        <v>2005223088</v>
      </c>
      <c r="B257" s="101" t="s">
        <v>1413</v>
      </c>
      <c r="C257" s="98" t="s">
        <v>196</v>
      </c>
      <c r="D257" s="98" t="s">
        <v>197</v>
      </c>
      <c r="E257" s="98" t="s">
        <v>912</v>
      </c>
      <c r="F257" s="98" t="s">
        <v>1317</v>
      </c>
      <c r="G257" s="98" t="s">
        <v>1318</v>
      </c>
    </row>
    <row r="258" spans="1:7" ht="15" thickBot="1" x14ac:dyDescent="0.4">
      <c r="A258" s="98">
        <v>2005223088</v>
      </c>
      <c r="B258" s="101" t="s">
        <v>1413</v>
      </c>
      <c r="C258" s="98" t="s">
        <v>196</v>
      </c>
      <c r="D258" s="98" t="s">
        <v>197</v>
      </c>
      <c r="E258" s="98" t="s">
        <v>911</v>
      </c>
      <c r="F258" s="98" t="s">
        <v>1317</v>
      </c>
      <c r="G258" s="98" t="s">
        <v>1318</v>
      </c>
    </row>
    <row r="259" spans="1:7" ht="15" thickBot="1" x14ac:dyDescent="0.4">
      <c r="A259" s="98">
        <v>2005223088</v>
      </c>
      <c r="B259" s="101" t="s">
        <v>1413</v>
      </c>
      <c r="C259" s="98" t="s">
        <v>196</v>
      </c>
      <c r="D259" s="98" t="s">
        <v>197</v>
      </c>
      <c r="E259" s="98" t="s">
        <v>915</v>
      </c>
      <c r="F259" s="98" t="s">
        <v>1323</v>
      </c>
      <c r="G259" s="98" t="s">
        <v>1319</v>
      </c>
    </row>
    <row r="260" spans="1:7" ht="15" thickBot="1" x14ac:dyDescent="0.4">
      <c r="A260" s="98">
        <v>2005221176</v>
      </c>
      <c r="B260" s="101" t="s">
        <v>1414</v>
      </c>
      <c r="C260" s="98" t="s">
        <v>196</v>
      </c>
      <c r="D260" s="98" t="s">
        <v>197</v>
      </c>
      <c r="E260" s="98" t="s">
        <v>914</v>
      </c>
      <c r="F260" s="98" t="s">
        <v>1317</v>
      </c>
      <c r="G260" s="98" t="s">
        <v>1318</v>
      </c>
    </row>
    <row r="261" spans="1:7" ht="15" thickBot="1" x14ac:dyDescent="0.4">
      <c r="A261" s="98">
        <v>2005221176</v>
      </c>
      <c r="B261" s="101" t="s">
        <v>1414</v>
      </c>
      <c r="C261" s="98" t="s">
        <v>196</v>
      </c>
      <c r="D261" s="98" t="s">
        <v>197</v>
      </c>
      <c r="E261" s="98" t="s">
        <v>911</v>
      </c>
      <c r="F261" s="98" t="s">
        <v>1317</v>
      </c>
      <c r="G261" s="98" t="s">
        <v>1318</v>
      </c>
    </row>
    <row r="262" spans="1:7" ht="15" thickBot="1" x14ac:dyDescent="0.4">
      <c r="A262" s="98">
        <v>2005221176</v>
      </c>
      <c r="B262" s="101" t="s">
        <v>1414</v>
      </c>
      <c r="C262" s="98" t="s">
        <v>196</v>
      </c>
      <c r="D262" s="98" t="s">
        <v>197</v>
      </c>
      <c r="E262" s="98" t="s">
        <v>915</v>
      </c>
      <c r="F262" s="98" t="s">
        <v>1317</v>
      </c>
      <c r="G262" s="98" t="s">
        <v>1319</v>
      </c>
    </row>
    <row r="263" spans="1:7" ht="15" thickBot="1" x14ac:dyDescent="0.4">
      <c r="A263" s="98">
        <v>2005223652</v>
      </c>
      <c r="B263" s="101" t="s">
        <v>1415</v>
      </c>
      <c r="C263" s="98" t="s">
        <v>196</v>
      </c>
      <c r="D263" s="98" t="s">
        <v>197</v>
      </c>
      <c r="E263" s="98" t="s">
        <v>911</v>
      </c>
      <c r="F263" s="98" t="s">
        <v>1317</v>
      </c>
      <c r="G263" s="98" t="s">
        <v>1318</v>
      </c>
    </row>
    <row r="264" spans="1:7" ht="15" thickBot="1" x14ac:dyDescent="0.4">
      <c r="A264" s="98">
        <v>2005223652</v>
      </c>
      <c r="B264" s="101" t="s">
        <v>1415</v>
      </c>
      <c r="C264" s="98" t="s">
        <v>196</v>
      </c>
      <c r="D264" s="98" t="s">
        <v>197</v>
      </c>
      <c r="E264" s="98" t="s">
        <v>914</v>
      </c>
      <c r="F264" s="98" t="s">
        <v>1317</v>
      </c>
      <c r="G264" s="98" t="s">
        <v>1318</v>
      </c>
    </row>
    <row r="265" spans="1:7" ht="15" thickBot="1" x14ac:dyDescent="0.4">
      <c r="A265" s="98">
        <v>2005223652</v>
      </c>
      <c r="B265" s="101" t="s">
        <v>1415</v>
      </c>
      <c r="C265" s="98" t="s">
        <v>196</v>
      </c>
      <c r="D265" s="98" t="s">
        <v>197</v>
      </c>
      <c r="E265" s="98" t="s">
        <v>915</v>
      </c>
      <c r="F265" s="98" t="s">
        <v>1317</v>
      </c>
      <c r="G265" s="98" t="s">
        <v>1319</v>
      </c>
    </row>
    <row r="266" spans="1:7" ht="15" thickBot="1" x14ac:dyDescent="0.4">
      <c r="A266" s="98">
        <v>2005224836</v>
      </c>
      <c r="B266" s="101" t="s">
        <v>1416</v>
      </c>
      <c r="C266" s="98" t="s">
        <v>196</v>
      </c>
      <c r="D266" s="98" t="s">
        <v>197</v>
      </c>
      <c r="E266" s="98" t="s">
        <v>913</v>
      </c>
      <c r="F266" s="98" t="s">
        <v>1317</v>
      </c>
      <c r="G266" s="98" t="s">
        <v>1318</v>
      </c>
    </row>
    <row r="267" spans="1:7" ht="15" thickBot="1" x14ac:dyDescent="0.4">
      <c r="A267" s="98">
        <v>2005224836</v>
      </c>
      <c r="B267" s="101" t="s">
        <v>1416</v>
      </c>
      <c r="C267" s="98" t="s">
        <v>196</v>
      </c>
      <c r="D267" s="98" t="s">
        <v>197</v>
      </c>
      <c r="E267" s="98" t="s">
        <v>912</v>
      </c>
      <c r="F267" s="98" t="s">
        <v>1317</v>
      </c>
      <c r="G267" s="98" t="s">
        <v>1318</v>
      </c>
    </row>
    <row r="268" spans="1:7" ht="15" thickBot="1" x14ac:dyDescent="0.4">
      <c r="A268" s="98">
        <v>2005224836</v>
      </c>
      <c r="B268" s="101" t="s">
        <v>1416</v>
      </c>
      <c r="C268" s="98" t="s">
        <v>196</v>
      </c>
      <c r="D268" s="98" t="s">
        <v>197</v>
      </c>
      <c r="E268" s="98" t="s">
        <v>915</v>
      </c>
      <c r="F268" s="98" t="s">
        <v>1317</v>
      </c>
      <c r="G268" s="98" t="s">
        <v>1319</v>
      </c>
    </row>
    <row r="269" spans="1:7" ht="15" thickBot="1" x14ac:dyDescent="0.4">
      <c r="A269" s="98">
        <v>2005220251</v>
      </c>
      <c r="B269" s="101" t="s">
        <v>1352</v>
      </c>
      <c r="C269" s="98" t="s">
        <v>283</v>
      </c>
      <c r="D269" s="98" t="s">
        <v>197</v>
      </c>
      <c r="E269" s="98" t="s">
        <v>914</v>
      </c>
      <c r="F269" s="98" t="s">
        <v>1317</v>
      </c>
      <c r="G269" s="98" t="s">
        <v>1318</v>
      </c>
    </row>
    <row r="270" spans="1:7" ht="15" thickBot="1" x14ac:dyDescent="0.4">
      <c r="A270" s="98">
        <v>2005220251</v>
      </c>
      <c r="B270" s="101" t="s">
        <v>1352</v>
      </c>
      <c r="C270" s="98" t="s">
        <v>283</v>
      </c>
      <c r="D270" s="98" t="s">
        <v>197</v>
      </c>
      <c r="E270" s="98" t="s">
        <v>911</v>
      </c>
      <c r="F270" s="98" t="s">
        <v>1317</v>
      </c>
      <c r="G270" s="98" t="s">
        <v>1318</v>
      </c>
    </row>
    <row r="271" spans="1:7" ht="15" thickBot="1" x14ac:dyDescent="0.4">
      <c r="A271" s="98">
        <v>2005220251</v>
      </c>
      <c r="B271" s="101" t="s">
        <v>1352</v>
      </c>
      <c r="C271" s="98" t="s">
        <v>283</v>
      </c>
      <c r="D271" s="98" t="s">
        <v>197</v>
      </c>
      <c r="E271" s="98" t="s">
        <v>1342</v>
      </c>
      <c r="F271" s="98" t="s">
        <v>1317</v>
      </c>
      <c r="G271" s="98" t="s">
        <v>1318</v>
      </c>
    </row>
    <row r="272" spans="1:7" ht="15" thickBot="1" x14ac:dyDescent="0.4">
      <c r="A272" s="98">
        <v>2005222870</v>
      </c>
      <c r="B272" s="101" t="s">
        <v>1417</v>
      </c>
      <c r="C272" s="98" t="s">
        <v>283</v>
      </c>
      <c r="D272" s="98" t="s">
        <v>197</v>
      </c>
      <c r="E272" s="98" t="s">
        <v>912</v>
      </c>
      <c r="F272" s="98" t="s">
        <v>1317</v>
      </c>
      <c r="G272" s="98" t="s">
        <v>1318</v>
      </c>
    </row>
    <row r="273" spans="1:7" ht="15" thickBot="1" x14ac:dyDescent="0.4">
      <c r="A273" s="98">
        <v>2005222870</v>
      </c>
      <c r="B273" s="101" t="s">
        <v>1417</v>
      </c>
      <c r="C273" s="98" t="s">
        <v>283</v>
      </c>
      <c r="D273" s="98" t="s">
        <v>197</v>
      </c>
      <c r="E273" s="98" t="s">
        <v>911</v>
      </c>
      <c r="F273" s="98" t="s">
        <v>1317</v>
      </c>
      <c r="G273" s="98" t="s">
        <v>1318</v>
      </c>
    </row>
    <row r="274" spans="1:7" ht="15" thickBot="1" x14ac:dyDescent="0.4">
      <c r="A274" s="98">
        <v>2005222870</v>
      </c>
      <c r="B274" s="101" t="s">
        <v>1417</v>
      </c>
      <c r="C274" s="98" t="s">
        <v>283</v>
      </c>
      <c r="D274" s="98" t="s">
        <v>197</v>
      </c>
      <c r="E274" s="98" t="s">
        <v>1342</v>
      </c>
      <c r="F274" s="98" t="s">
        <v>1317</v>
      </c>
      <c r="G274" s="98" t="s">
        <v>1318</v>
      </c>
    </row>
    <row r="275" spans="1:7" ht="15" thickBot="1" x14ac:dyDescent="0.4">
      <c r="A275" s="98">
        <v>2005221940</v>
      </c>
      <c r="B275" s="101" t="s">
        <v>1418</v>
      </c>
      <c r="C275" s="98" t="s">
        <v>283</v>
      </c>
      <c r="D275" s="98" t="s">
        <v>197</v>
      </c>
      <c r="E275" s="98" t="s">
        <v>1395</v>
      </c>
      <c r="F275" s="98" t="s">
        <v>1317</v>
      </c>
      <c r="G275" s="98" t="s">
        <v>1318</v>
      </c>
    </row>
    <row r="276" spans="1:7" ht="15" thickBot="1" x14ac:dyDescent="0.4">
      <c r="A276" s="98">
        <v>2005221940</v>
      </c>
      <c r="B276" s="101" t="s">
        <v>1418</v>
      </c>
      <c r="C276" s="98" t="s">
        <v>283</v>
      </c>
      <c r="D276" s="98" t="s">
        <v>197</v>
      </c>
      <c r="E276" s="98" t="s">
        <v>912</v>
      </c>
      <c r="F276" s="98" t="s">
        <v>1317</v>
      </c>
      <c r="G276" s="98" t="s">
        <v>1318</v>
      </c>
    </row>
    <row r="277" spans="1:7" ht="15" thickBot="1" x14ac:dyDescent="0.4">
      <c r="A277" s="98">
        <v>2005222886</v>
      </c>
      <c r="B277" s="101" t="s">
        <v>1419</v>
      </c>
      <c r="C277" s="98" t="s">
        <v>283</v>
      </c>
      <c r="D277" s="98" t="s">
        <v>197</v>
      </c>
      <c r="E277" s="98" t="s">
        <v>911</v>
      </c>
      <c r="F277" s="98" t="s">
        <v>1317</v>
      </c>
      <c r="G277" s="98" t="s">
        <v>1318</v>
      </c>
    </row>
    <row r="278" spans="1:7" ht="15" thickBot="1" x14ac:dyDescent="0.4">
      <c r="A278" s="98">
        <v>2005222886</v>
      </c>
      <c r="B278" s="101" t="s">
        <v>1419</v>
      </c>
      <c r="C278" s="98" t="s">
        <v>283</v>
      </c>
      <c r="D278" s="98" t="s">
        <v>197</v>
      </c>
      <c r="E278" s="98" t="s">
        <v>914</v>
      </c>
      <c r="F278" s="98" t="s">
        <v>1317</v>
      </c>
      <c r="G278" s="98" t="s">
        <v>1318</v>
      </c>
    </row>
    <row r="279" spans="1:7" ht="15" thickBot="1" x14ac:dyDescent="0.4">
      <c r="A279" s="98">
        <v>2005222886</v>
      </c>
      <c r="B279" s="101" t="s">
        <v>1419</v>
      </c>
      <c r="C279" s="98" t="s">
        <v>283</v>
      </c>
      <c r="D279" s="98" t="s">
        <v>197</v>
      </c>
      <c r="E279" s="98" t="s">
        <v>915</v>
      </c>
      <c r="F279" s="98" t="s">
        <v>1317</v>
      </c>
      <c r="G279" s="98" t="s">
        <v>1319</v>
      </c>
    </row>
    <row r="280" spans="1:7" ht="15" thickBot="1" x14ac:dyDescent="0.4">
      <c r="A280" s="98">
        <v>2005220812</v>
      </c>
      <c r="B280" s="101" t="s">
        <v>1420</v>
      </c>
      <c r="C280" s="98" t="s">
        <v>1421</v>
      </c>
      <c r="D280" s="98" t="s">
        <v>197</v>
      </c>
      <c r="E280" s="98" t="s">
        <v>912</v>
      </c>
      <c r="F280" s="98" t="s">
        <v>1317</v>
      </c>
      <c r="G280" s="98" t="s">
        <v>1318</v>
      </c>
    </row>
    <row r="281" spans="1:7" ht="15" thickBot="1" x14ac:dyDescent="0.4">
      <c r="A281" s="98">
        <v>2005220812</v>
      </c>
      <c r="B281" s="101" t="s">
        <v>1420</v>
      </c>
      <c r="C281" s="98" t="s">
        <v>1421</v>
      </c>
      <c r="D281" s="98" t="s">
        <v>197</v>
      </c>
      <c r="E281" s="98" t="s">
        <v>912</v>
      </c>
      <c r="F281" s="98" t="s">
        <v>1317</v>
      </c>
      <c r="G281" s="98" t="s">
        <v>1318</v>
      </c>
    </row>
    <row r="282" spans="1:7" ht="15" thickBot="1" x14ac:dyDescent="0.4">
      <c r="A282" s="98">
        <v>2005221364</v>
      </c>
      <c r="B282" s="101" t="s">
        <v>1422</v>
      </c>
      <c r="C282" s="98" t="s">
        <v>283</v>
      </c>
      <c r="D282" s="98" t="s">
        <v>197</v>
      </c>
      <c r="E282" s="98" t="s">
        <v>912</v>
      </c>
      <c r="F282" s="98" t="s">
        <v>1317</v>
      </c>
      <c r="G282" s="98" t="s">
        <v>1318</v>
      </c>
    </row>
    <row r="283" spans="1:7" ht="15" thickBot="1" x14ac:dyDescent="0.4">
      <c r="A283" s="98">
        <v>2005224071</v>
      </c>
      <c r="B283" s="101" t="s">
        <v>1423</v>
      </c>
      <c r="C283" s="98" t="s">
        <v>196</v>
      </c>
      <c r="D283" s="98" t="s">
        <v>197</v>
      </c>
      <c r="E283" s="98" t="s">
        <v>911</v>
      </c>
      <c r="F283" s="98" t="s">
        <v>1317</v>
      </c>
      <c r="G283" s="98" t="s">
        <v>1318</v>
      </c>
    </row>
    <row r="284" spans="1:7" ht="15" thickBot="1" x14ac:dyDescent="0.4">
      <c r="A284" s="98">
        <v>2005224071</v>
      </c>
      <c r="B284" s="101" t="s">
        <v>1423</v>
      </c>
      <c r="C284" s="98" t="s">
        <v>196</v>
      </c>
      <c r="D284" s="98" t="s">
        <v>197</v>
      </c>
      <c r="E284" s="98" t="s">
        <v>912</v>
      </c>
      <c r="F284" s="98" t="s">
        <v>1317</v>
      </c>
      <c r="G284" s="98" t="s">
        <v>1318</v>
      </c>
    </row>
    <row r="285" spans="1:7" ht="15" thickBot="1" x14ac:dyDescent="0.4">
      <c r="A285" s="98">
        <v>2005224071</v>
      </c>
      <c r="B285" s="101" t="s">
        <v>1423</v>
      </c>
      <c r="C285" s="98" t="s">
        <v>196</v>
      </c>
      <c r="D285" s="98" t="s">
        <v>197</v>
      </c>
      <c r="E285" s="98" t="s">
        <v>915</v>
      </c>
      <c r="F285" s="98" t="s">
        <v>1323</v>
      </c>
      <c r="G285" s="98" t="s">
        <v>1319</v>
      </c>
    </row>
    <row r="286" spans="1:7" ht="15" thickBot="1" x14ac:dyDescent="0.4">
      <c r="A286" s="98">
        <v>2005223092</v>
      </c>
      <c r="B286" s="101" t="s">
        <v>1424</v>
      </c>
      <c r="C286" s="98" t="s">
        <v>196</v>
      </c>
      <c r="D286" s="98" t="s">
        <v>197</v>
      </c>
      <c r="E286" s="98" t="s">
        <v>912</v>
      </c>
      <c r="F286" s="98" t="s">
        <v>1317</v>
      </c>
      <c r="G286" s="98" t="s">
        <v>1318</v>
      </c>
    </row>
    <row r="287" spans="1:7" ht="15" thickBot="1" x14ac:dyDescent="0.4">
      <c r="A287" s="98">
        <v>2005223092</v>
      </c>
      <c r="B287" s="101" t="s">
        <v>1424</v>
      </c>
      <c r="C287" s="98" t="s">
        <v>196</v>
      </c>
      <c r="D287" s="98" t="s">
        <v>197</v>
      </c>
      <c r="E287" s="98" t="s">
        <v>2086</v>
      </c>
      <c r="F287" s="98" t="s">
        <v>1317</v>
      </c>
      <c r="G287" s="98" t="s">
        <v>1318</v>
      </c>
    </row>
    <row r="288" spans="1:7" ht="15" thickBot="1" x14ac:dyDescent="0.4">
      <c r="A288" s="98">
        <v>2005223092</v>
      </c>
      <c r="B288" s="101" t="s">
        <v>1424</v>
      </c>
      <c r="C288" s="98" t="s">
        <v>1425</v>
      </c>
      <c r="D288" s="98" t="s">
        <v>197</v>
      </c>
      <c r="E288" s="98" t="s">
        <v>915</v>
      </c>
      <c r="F288" s="98" t="s">
        <v>1323</v>
      </c>
      <c r="G288" s="98" t="s">
        <v>1319</v>
      </c>
    </row>
    <row r="289" spans="1:7" ht="15" thickBot="1" x14ac:dyDescent="0.4">
      <c r="A289" s="98">
        <v>2005224215</v>
      </c>
      <c r="B289" s="101" t="s">
        <v>1426</v>
      </c>
      <c r="C289" s="98" t="s">
        <v>196</v>
      </c>
      <c r="D289" s="98" t="s">
        <v>197</v>
      </c>
      <c r="E289" s="98" t="s">
        <v>912</v>
      </c>
      <c r="F289" s="98" t="s">
        <v>1317</v>
      </c>
      <c r="G289" s="98" t="s">
        <v>1318</v>
      </c>
    </row>
    <row r="290" spans="1:7" ht="15" thickBot="1" x14ac:dyDescent="0.4">
      <c r="A290" s="98">
        <v>2005224215</v>
      </c>
      <c r="B290" s="101" t="s">
        <v>1427</v>
      </c>
      <c r="C290" s="98" t="s">
        <v>196</v>
      </c>
      <c r="D290" s="98" t="s">
        <v>197</v>
      </c>
      <c r="E290" s="98" t="s">
        <v>911</v>
      </c>
      <c r="F290" s="98" t="s">
        <v>1317</v>
      </c>
      <c r="G290" s="98" t="s">
        <v>1318</v>
      </c>
    </row>
    <row r="291" spans="1:7" ht="15" thickBot="1" x14ac:dyDescent="0.4">
      <c r="A291" s="98">
        <v>2005224215</v>
      </c>
      <c r="B291" s="101" t="s">
        <v>1427</v>
      </c>
      <c r="C291" s="98" t="s">
        <v>196</v>
      </c>
      <c r="D291" s="98" t="s">
        <v>197</v>
      </c>
      <c r="E291" s="98" t="s">
        <v>915</v>
      </c>
      <c r="F291" s="98" t="s">
        <v>1323</v>
      </c>
      <c r="G291" s="98" t="s">
        <v>1319</v>
      </c>
    </row>
    <row r="292" spans="1:7" ht="15" thickBot="1" x14ac:dyDescent="0.4">
      <c r="A292" s="98">
        <v>2005221311</v>
      </c>
      <c r="B292" s="101" t="s">
        <v>1428</v>
      </c>
      <c r="C292" s="98" t="s">
        <v>196</v>
      </c>
      <c r="D292" s="98" t="s">
        <v>197</v>
      </c>
      <c r="E292" s="98" t="s">
        <v>911</v>
      </c>
      <c r="F292" s="98" t="s">
        <v>1317</v>
      </c>
      <c r="G292" s="98" t="s">
        <v>1318</v>
      </c>
    </row>
    <row r="293" spans="1:7" ht="15" thickBot="1" x14ac:dyDescent="0.4">
      <c r="A293" s="98">
        <v>2005221311</v>
      </c>
      <c r="B293" s="101" t="s">
        <v>1428</v>
      </c>
      <c r="C293" s="98" t="s">
        <v>196</v>
      </c>
      <c r="D293" s="98" t="s">
        <v>197</v>
      </c>
      <c r="E293" s="98" t="s">
        <v>915</v>
      </c>
      <c r="F293" s="98" t="s">
        <v>1323</v>
      </c>
      <c r="G293" s="98" t="s">
        <v>1319</v>
      </c>
    </row>
    <row r="294" spans="1:7" ht="15" thickBot="1" x14ac:dyDescent="0.4">
      <c r="A294" s="98">
        <v>2005223568</v>
      </c>
      <c r="B294" s="101" t="s">
        <v>1429</v>
      </c>
      <c r="C294" s="98" t="s">
        <v>196</v>
      </c>
      <c r="D294" s="98" t="s">
        <v>197</v>
      </c>
      <c r="E294" s="98" t="s">
        <v>911</v>
      </c>
      <c r="F294" s="98" t="s">
        <v>1317</v>
      </c>
      <c r="G294" s="98" t="s">
        <v>1318</v>
      </c>
    </row>
    <row r="295" spans="1:7" ht="15" thickBot="1" x14ac:dyDescent="0.4">
      <c r="A295" s="98">
        <v>2005223568</v>
      </c>
      <c r="B295" s="101" t="s">
        <v>1429</v>
      </c>
      <c r="C295" s="98" t="s">
        <v>196</v>
      </c>
      <c r="D295" s="98" t="s">
        <v>197</v>
      </c>
      <c r="E295" s="98" t="s">
        <v>912</v>
      </c>
      <c r="F295" s="98" t="s">
        <v>1317</v>
      </c>
      <c r="G295" s="98" t="s">
        <v>1318</v>
      </c>
    </row>
    <row r="296" spans="1:7" ht="15" thickBot="1" x14ac:dyDescent="0.4">
      <c r="A296" s="98">
        <v>2005223568</v>
      </c>
      <c r="B296" s="101" t="s">
        <v>1429</v>
      </c>
      <c r="C296" s="98" t="s">
        <v>196</v>
      </c>
      <c r="D296" s="98" t="s">
        <v>197</v>
      </c>
      <c r="E296" s="98" t="s">
        <v>913</v>
      </c>
      <c r="F296" s="98" t="s">
        <v>1317</v>
      </c>
      <c r="G296" s="98" t="s">
        <v>1318</v>
      </c>
    </row>
    <row r="297" spans="1:7" ht="15" thickBot="1" x14ac:dyDescent="0.4">
      <c r="A297" s="98">
        <v>2005225378</v>
      </c>
      <c r="B297" s="101" t="s">
        <v>1430</v>
      </c>
      <c r="C297" s="98" t="s">
        <v>196</v>
      </c>
      <c r="D297" s="98" t="s">
        <v>197</v>
      </c>
      <c r="E297" s="98" t="s">
        <v>912</v>
      </c>
      <c r="F297" s="98" t="s">
        <v>1317</v>
      </c>
      <c r="G297" s="98" t="s">
        <v>1318</v>
      </c>
    </row>
    <row r="298" spans="1:7" ht="15" thickBot="1" x14ac:dyDescent="0.4">
      <c r="A298" s="98">
        <v>2005225378</v>
      </c>
      <c r="B298" s="101" t="s">
        <v>1430</v>
      </c>
      <c r="C298" s="98" t="s">
        <v>196</v>
      </c>
      <c r="D298" s="98" t="s">
        <v>197</v>
      </c>
      <c r="E298" s="98" t="s">
        <v>914</v>
      </c>
      <c r="F298" s="98" t="s">
        <v>1317</v>
      </c>
      <c r="G298" s="98" t="s">
        <v>1318</v>
      </c>
    </row>
    <row r="299" spans="1:7" ht="15" thickBot="1" x14ac:dyDescent="0.4">
      <c r="A299" s="98">
        <v>2005225378</v>
      </c>
      <c r="B299" s="101" t="s">
        <v>1430</v>
      </c>
      <c r="C299" s="98" t="s">
        <v>196</v>
      </c>
      <c r="D299" s="98" t="s">
        <v>197</v>
      </c>
      <c r="E299" s="98" t="s">
        <v>911</v>
      </c>
      <c r="F299" s="98" t="s">
        <v>1317</v>
      </c>
      <c r="G299" s="98" t="s">
        <v>1318</v>
      </c>
    </row>
    <row r="300" spans="1:7" ht="15" thickBot="1" x14ac:dyDescent="0.4">
      <c r="A300" s="98">
        <v>2005220627</v>
      </c>
      <c r="B300" s="101" t="s">
        <v>1431</v>
      </c>
      <c r="C300" s="98" t="s">
        <v>196</v>
      </c>
      <c r="D300" s="98" t="s">
        <v>197</v>
      </c>
      <c r="E300" s="98" t="s">
        <v>913</v>
      </c>
      <c r="F300" s="98" t="s">
        <v>1317</v>
      </c>
      <c r="G300" s="98" t="s">
        <v>1318</v>
      </c>
    </row>
    <row r="301" spans="1:7" ht="15" thickBot="1" x14ac:dyDescent="0.4">
      <c r="A301" s="98">
        <v>2005220627</v>
      </c>
      <c r="B301" s="101" t="s">
        <v>1431</v>
      </c>
      <c r="C301" s="98" t="s">
        <v>196</v>
      </c>
      <c r="D301" s="98" t="s">
        <v>197</v>
      </c>
      <c r="E301" s="98" t="s">
        <v>914</v>
      </c>
      <c r="F301" s="98" t="s">
        <v>1317</v>
      </c>
      <c r="G301" s="98" t="s">
        <v>1318</v>
      </c>
    </row>
    <row r="302" spans="1:7" ht="15" thickBot="1" x14ac:dyDescent="0.4">
      <c r="A302" s="98">
        <v>2005220627</v>
      </c>
      <c r="B302" s="101" t="s">
        <v>1431</v>
      </c>
      <c r="C302" s="98" t="s">
        <v>196</v>
      </c>
      <c r="D302" s="98" t="s">
        <v>197</v>
      </c>
      <c r="E302" s="98" t="s">
        <v>915</v>
      </c>
      <c r="F302" s="98" t="s">
        <v>1317</v>
      </c>
      <c r="G302" s="98" t="s">
        <v>1319</v>
      </c>
    </row>
    <row r="303" spans="1:7" ht="15" thickBot="1" x14ac:dyDescent="0.4">
      <c r="A303" s="98">
        <v>2005223365</v>
      </c>
      <c r="B303" s="101" t="s">
        <v>1432</v>
      </c>
      <c r="C303" s="98" t="s">
        <v>196</v>
      </c>
      <c r="D303" s="98" t="s">
        <v>197</v>
      </c>
      <c r="E303" s="98" t="s">
        <v>913</v>
      </c>
      <c r="F303" s="98" t="s">
        <v>1317</v>
      </c>
      <c r="G303" s="98" t="s">
        <v>1318</v>
      </c>
    </row>
    <row r="304" spans="1:7" ht="15" thickBot="1" x14ac:dyDescent="0.4">
      <c r="A304" s="98">
        <v>2005223365</v>
      </c>
      <c r="B304" s="101" t="s">
        <v>1432</v>
      </c>
      <c r="C304" s="98" t="s">
        <v>196</v>
      </c>
      <c r="D304" s="98" t="s">
        <v>197</v>
      </c>
      <c r="E304" s="98" t="s">
        <v>915</v>
      </c>
      <c r="F304" s="98" t="s">
        <v>1323</v>
      </c>
      <c r="G304" s="98" t="s">
        <v>1319</v>
      </c>
    </row>
    <row r="305" spans="1:7" ht="15" thickBot="1" x14ac:dyDescent="0.4">
      <c r="A305" s="98">
        <v>2005223365</v>
      </c>
      <c r="B305" s="101" t="s">
        <v>1432</v>
      </c>
      <c r="C305" s="98" t="s">
        <v>196</v>
      </c>
      <c r="D305" s="98" t="s">
        <v>197</v>
      </c>
      <c r="E305" s="98" t="s">
        <v>912</v>
      </c>
      <c r="F305" s="98" t="s">
        <v>1317</v>
      </c>
      <c r="G305" s="98" t="s">
        <v>1318</v>
      </c>
    </row>
    <row r="306" spans="1:7" ht="15" thickBot="1" x14ac:dyDescent="0.4">
      <c r="A306" s="98">
        <v>2005223139</v>
      </c>
      <c r="B306" s="101" t="s">
        <v>1433</v>
      </c>
      <c r="C306" s="98" t="s">
        <v>196</v>
      </c>
      <c r="D306" s="98" t="s">
        <v>197</v>
      </c>
      <c r="E306" s="98" t="s">
        <v>912</v>
      </c>
      <c r="F306" s="98" t="s">
        <v>1317</v>
      </c>
      <c r="G306" s="98" t="s">
        <v>1318</v>
      </c>
    </row>
    <row r="307" spans="1:7" ht="15" thickBot="1" x14ac:dyDescent="0.4">
      <c r="A307" s="98">
        <v>2005223139</v>
      </c>
      <c r="B307" s="101" t="s">
        <v>1433</v>
      </c>
      <c r="C307" s="98" t="s">
        <v>196</v>
      </c>
      <c r="D307" s="98" t="s">
        <v>197</v>
      </c>
      <c r="E307" s="98" t="s">
        <v>1395</v>
      </c>
      <c r="F307" s="98" t="s">
        <v>1317</v>
      </c>
      <c r="G307" s="98" t="s">
        <v>1318</v>
      </c>
    </row>
    <row r="308" spans="1:7" ht="15" thickBot="1" x14ac:dyDescent="0.4">
      <c r="A308" s="98">
        <v>2005225743</v>
      </c>
      <c r="B308" s="101" t="s">
        <v>1434</v>
      </c>
      <c r="C308" s="98" t="s">
        <v>567</v>
      </c>
      <c r="D308" s="98" t="s">
        <v>197</v>
      </c>
      <c r="E308" s="98" t="s">
        <v>911</v>
      </c>
      <c r="F308" s="98" t="s">
        <v>1317</v>
      </c>
      <c r="G308" s="98" t="s">
        <v>1318</v>
      </c>
    </row>
    <row r="309" spans="1:7" ht="15" thickBot="1" x14ac:dyDescent="0.4">
      <c r="A309" s="98">
        <v>2005223997</v>
      </c>
      <c r="B309" s="101" t="s">
        <v>1435</v>
      </c>
      <c r="C309" s="98" t="s">
        <v>196</v>
      </c>
      <c r="D309" s="98" t="s">
        <v>197</v>
      </c>
      <c r="E309" s="98" t="s">
        <v>1395</v>
      </c>
      <c r="F309" s="98" t="s">
        <v>1317</v>
      </c>
      <c r="G309" s="98" t="s">
        <v>1318</v>
      </c>
    </row>
    <row r="310" spans="1:7" ht="15" thickBot="1" x14ac:dyDescent="0.4">
      <c r="A310" s="98">
        <v>2005223997</v>
      </c>
      <c r="B310" s="101" t="s">
        <v>1435</v>
      </c>
      <c r="C310" s="98" t="s">
        <v>196</v>
      </c>
      <c r="D310" s="98" t="s">
        <v>197</v>
      </c>
      <c r="E310" s="98" t="s">
        <v>912</v>
      </c>
      <c r="F310" s="98" t="s">
        <v>1317</v>
      </c>
      <c r="G310" s="98" t="s">
        <v>1318</v>
      </c>
    </row>
    <row r="311" spans="1:7" ht="15" thickBot="1" x14ac:dyDescent="0.4">
      <c r="A311" s="98">
        <v>2005223997</v>
      </c>
      <c r="B311" s="101" t="s">
        <v>1435</v>
      </c>
      <c r="C311" s="98" t="s">
        <v>196</v>
      </c>
      <c r="D311" s="98" t="s">
        <v>197</v>
      </c>
      <c r="E311" s="98" t="s">
        <v>915</v>
      </c>
      <c r="F311" s="98" t="s">
        <v>1317</v>
      </c>
      <c r="G311" s="98" t="s">
        <v>1319</v>
      </c>
    </row>
    <row r="312" spans="1:7" ht="15" thickBot="1" x14ac:dyDescent="0.4">
      <c r="A312" s="98">
        <v>2005220881</v>
      </c>
      <c r="B312" s="101" t="s">
        <v>1436</v>
      </c>
      <c r="C312" s="98" t="s">
        <v>196</v>
      </c>
      <c r="D312" s="98" t="s">
        <v>197</v>
      </c>
      <c r="E312" s="98" t="s">
        <v>913</v>
      </c>
      <c r="F312" s="98" t="s">
        <v>1317</v>
      </c>
      <c r="G312" s="98" t="s">
        <v>1318</v>
      </c>
    </row>
    <row r="313" spans="1:7" ht="15" thickBot="1" x14ac:dyDescent="0.4">
      <c r="A313" s="98">
        <v>2005220881</v>
      </c>
      <c r="B313" s="101" t="s">
        <v>1436</v>
      </c>
      <c r="C313" s="98" t="s">
        <v>196</v>
      </c>
      <c r="D313" s="98" t="s">
        <v>197</v>
      </c>
      <c r="E313" s="98" t="s">
        <v>911</v>
      </c>
      <c r="F313" s="98" t="s">
        <v>1317</v>
      </c>
      <c r="G313" s="98" t="s">
        <v>1318</v>
      </c>
    </row>
    <row r="314" spans="1:7" ht="15" thickBot="1" x14ac:dyDescent="0.4">
      <c r="A314" s="98">
        <v>2005225793</v>
      </c>
      <c r="B314" s="101" t="s">
        <v>1437</v>
      </c>
      <c r="C314" s="98" t="s">
        <v>196</v>
      </c>
      <c r="D314" s="98" t="s">
        <v>197</v>
      </c>
      <c r="E314" s="98" t="s">
        <v>913</v>
      </c>
      <c r="F314" s="98" t="s">
        <v>1317</v>
      </c>
      <c r="G314" s="98" t="s">
        <v>1318</v>
      </c>
    </row>
    <row r="315" spans="1:7" ht="15" thickBot="1" x14ac:dyDescent="0.4">
      <c r="A315" s="98">
        <v>2005225793</v>
      </c>
      <c r="B315" s="101" t="s">
        <v>1437</v>
      </c>
      <c r="C315" s="98" t="s">
        <v>196</v>
      </c>
      <c r="D315" s="98" t="s">
        <v>197</v>
      </c>
      <c r="E315" s="98" t="s">
        <v>1395</v>
      </c>
      <c r="F315" s="98" t="s">
        <v>1317</v>
      </c>
      <c r="G315" s="98" t="s">
        <v>1318</v>
      </c>
    </row>
    <row r="316" spans="1:7" ht="15" thickBot="1" x14ac:dyDescent="0.4">
      <c r="A316" s="98">
        <v>2005225793</v>
      </c>
      <c r="B316" s="101" t="s">
        <v>1437</v>
      </c>
      <c r="C316" s="98" t="s">
        <v>196</v>
      </c>
      <c r="D316" s="98" t="s">
        <v>197</v>
      </c>
      <c r="E316" s="98" t="s">
        <v>912</v>
      </c>
      <c r="F316" s="98" t="s">
        <v>1317</v>
      </c>
      <c r="G316" s="98" t="s">
        <v>1318</v>
      </c>
    </row>
    <row r="317" spans="1:7" ht="15" thickBot="1" x14ac:dyDescent="0.4">
      <c r="A317" s="98">
        <v>2005222992</v>
      </c>
      <c r="B317" s="101" t="s">
        <v>1438</v>
      </c>
      <c r="C317" s="98" t="s">
        <v>196</v>
      </c>
      <c r="D317" s="98" t="s">
        <v>197</v>
      </c>
      <c r="E317" s="98" t="s">
        <v>913</v>
      </c>
      <c r="F317" s="98" t="s">
        <v>1317</v>
      </c>
      <c r="G317" s="98" t="s">
        <v>1318</v>
      </c>
    </row>
    <row r="318" spans="1:7" ht="15" thickBot="1" x14ac:dyDescent="0.4">
      <c r="A318" s="98">
        <v>2005223855</v>
      </c>
      <c r="B318" s="101" t="s">
        <v>1439</v>
      </c>
      <c r="C318" s="98" t="s">
        <v>196</v>
      </c>
      <c r="D318" s="98" t="s">
        <v>197</v>
      </c>
      <c r="E318" s="98" t="s">
        <v>911</v>
      </c>
      <c r="F318" s="98" t="s">
        <v>1317</v>
      </c>
      <c r="G318" s="98" t="s">
        <v>1318</v>
      </c>
    </row>
    <row r="319" spans="1:7" ht="15" thickBot="1" x14ac:dyDescent="0.4">
      <c r="A319" s="98">
        <v>2005223855</v>
      </c>
      <c r="B319" s="101" t="s">
        <v>1439</v>
      </c>
      <c r="C319" s="98" t="s">
        <v>196</v>
      </c>
      <c r="D319" s="98" t="s">
        <v>197</v>
      </c>
      <c r="E319" s="98" t="s">
        <v>912</v>
      </c>
      <c r="F319" s="98" t="s">
        <v>1317</v>
      </c>
      <c r="G319" s="98" t="s">
        <v>1318</v>
      </c>
    </row>
    <row r="320" spans="1:7" ht="15" thickBot="1" x14ac:dyDescent="0.4">
      <c r="A320" s="98">
        <v>2005223855</v>
      </c>
      <c r="B320" s="101" t="s">
        <v>1439</v>
      </c>
      <c r="C320" s="98" t="s">
        <v>196</v>
      </c>
      <c r="D320" s="98" t="s">
        <v>197</v>
      </c>
      <c r="E320" s="98" t="s">
        <v>915</v>
      </c>
      <c r="F320" s="98" t="s">
        <v>1317</v>
      </c>
      <c r="G320" s="98" t="s">
        <v>1319</v>
      </c>
    </row>
    <row r="321" spans="1:7" ht="15" thickBot="1" x14ac:dyDescent="0.4">
      <c r="A321" s="98">
        <v>2005222582</v>
      </c>
      <c r="B321" s="101" t="s">
        <v>1440</v>
      </c>
      <c r="C321" s="98" t="s">
        <v>196</v>
      </c>
      <c r="D321" s="98" t="s">
        <v>197</v>
      </c>
      <c r="E321" s="98" t="s">
        <v>913</v>
      </c>
      <c r="F321" s="98" t="s">
        <v>1317</v>
      </c>
      <c r="G321" s="98" t="s">
        <v>1318</v>
      </c>
    </row>
    <row r="322" spans="1:7" ht="15" thickBot="1" x14ac:dyDescent="0.4">
      <c r="A322" s="98">
        <v>2005222582</v>
      </c>
      <c r="B322" s="101" t="s">
        <v>1440</v>
      </c>
      <c r="C322" s="98" t="s">
        <v>196</v>
      </c>
      <c r="D322" s="98" t="s">
        <v>197</v>
      </c>
      <c r="E322" s="98" t="s">
        <v>911</v>
      </c>
      <c r="F322" s="98" t="s">
        <v>1317</v>
      </c>
      <c r="G322" s="98" t="s">
        <v>1318</v>
      </c>
    </row>
    <row r="323" spans="1:7" ht="15" thickBot="1" x14ac:dyDescent="0.4">
      <c r="A323" s="98">
        <v>2005222582</v>
      </c>
      <c r="B323" s="101" t="s">
        <v>1440</v>
      </c>
      <c r="C323" s="98" t="s">
        <v>196</v>
      </c>
      <c r="D323" s="98" t="s">
        <v>197</v>
      </c>
      <c r="E323" s="98" t="s">
        <v>915</v>
      </c>
      <c r="F323" s="98" t="s">
        <v>1317</v>
      </c>
      <c r="G323" s="98" t="s">
        <v>1319</v>
      </c>
    </row>
    <row r="324" spans="1:7" ht="15" thickBot="1" x14ac:dyDescent="0.4">
      <c r="A324" s="98">
        <v>2005223327</v>
      </c>
      <c r="B324" s="101" t="s">
        <v>1441</v>
      </c>
      <c r="C324" s="98" t="s">
        <v>196</v>
      </c>
      <c r="D324" s="98" t="s">
        <v>197</v>
      </c>
      <c r="E324" s="98" t="s">
        <v>915</v>
      </c>
      <c r="F324" s="98" t="s">
        <v>1317</v>
      </c>
      <c r="G324" s="98" t="s">
        <v>1319</v>
      </c>
    </row>
    <row r="325" spans="1:7" ht="15" thickBot="1" x14ac:dyDescent="0.4">
      <c r="A325" s="98">
        <v>2005223327</v>
      </c>
      <c r="B325" s="101" t="s">
        <v>1442</v>
      </c>
      <c r="C325" s="98" t="s">
        <v>196</v>
      </c>
      <c r="D325" s="98" t="s">
        <v>197</v>
      </c>
      <c r="E325" s="98" t="s">
        <v>913</v>
      </c>
      <c r="F325" s="98" t="s">
        <v>1317</v>
      </c>
      <c r="G325" s="98" t="s">
        <v>1318</v>
      </c>
    </row>
    <row r="326" spans="1:7" ht="15" thickBot="1" x14ac:dyDescent="0.4">
      <c r="A326" s="98">
        <v>2005223327</v>
      </c>
      <c r="B326" s="101" t="s">
        <v>1442</v>
      </c>
      <c r="C326" s="98" t="s">
        <v>196</v>
      </c>
      <c r="D326" s="98" t="s">
        <v>197</v>
      </c>
      <c r="E326" s="98" t="s">
        <v>911</v>
      </c>
      <c r="F326" s="98" t="s">
        <v>1317</v>
      </c>
      <c r="G326" s="98" t="s">
        <v>1318</v>
      </c>
    </row>
    <row r="327" spans="1:7" ht="15" thickBot="1" x14ac:dyDescent="0.4">
      <c r="A327" s="98">
        <v>2005225595</v>
      </c>
      <c r="B327" s="101" t="s">
        <v>1443</v>
      </c>
      <c r="C327" s="98" t="s">
        <v>196</v>
      </c>
      <c r="D327" s="98" t="s">
        <v>197</v>
      </c>
      <c r="E327" s="98" t="s">
        <v>913</v>
      </c>
      <c r="F327" s="98" t="s">
        <v>1317</v>
      </c>
      <c r="G327" s="98" t="s">
        <v>1318</v>
      </c>
    </row>
    <row r="328" spans="1:7" ht="15" thickBot="1" x14ac:dyDescent="0.4">
      <c r="A328" s="98">
        <v>2005225595</v>
      </c>
      <c r="B328" s="101" t="s">
        <v>1443</v>
      </c>
      <c r="C328" s="98" t="s">
        <v>196</v>
      </c>
      <c r="D328" s="98" t="s">
        <v>197</v>
      </c>
      <c r="E328" s="98" t="s">
        <v>912</v>
      </c>
      <c r="F328" s="98" t="s">
        <v>1317</v>
      </c>
      <c r="G328" s="98" t="s">
        <v>1318</v>
      </c>
    </row>
    <row r="329" spans="1:7" ht="15" thickBot="1" x14ac:dyDescent="0.4">
      <c r="A329" s="98">
        <v>2005225595</v>
      </c>
      <c r="B329" s="101" t="s">
        <v>1443</v>
      </c>
      <c r="C329" s="98" t="s">
        <v>196</v>
      </c>
      <c r="D329" s="98" t="s">
        <v>197</v>
      </c>
      <c r="E329" s="98" t="s">
        <v>915</v>
      </c>
      <c r="F329" s="98" t="s">
        <v>1323</v>
      </c>
      <c r="G329" s="98" t="s">
        <v>1319</v>
      </c>
    </row>
    <row r="330" spans="1:7" ht="15" thickBot="1" x14ac:dyDescent="0.4">
      <c r="A330" s="98">
        <v>2005224093</v>
      </c>
      <c r="B330" s="101" t="s">
        <v>1444</v>
      </c>
      <c r="C330" s="98" t="s">
        <v>196</v>
      </c>
      <c r="D330" s="98" t="s">
        <v>197</v>
      </c>
      <c r="E330" s="98" t="s">
        <v>1406</v>
      </c>
      <c r="F330" s="98" t="s">
        <v>1317</v>
      </c>
      <c r="G330" s="98" t="s">
        <v>1318</v>
      </c>
    </row>
    <row r="331" spans="1:7" ht="15" thickBot="1" x14ac:dyDescent="0.4">
      <c r="A331" s="98">
        <v>2005224093</v>
      </c>
      <c r="B331" s="101" t="s">
        <v>1444</v>
      </c>
      <c r="C331" s="98" t="s">
        <v>196</v>
      </c>
      <c r="D331" s="98" t="s">
        <v>197</v>
      </c>
      <c r="E331" s="98" t="s">
        <v>912</v>
      </c>
      <c r="F331" s="98" t="s">
        <v>1317</v>
      </c>
      <c r="G331" s="98" t="s">
        <v>1318</v>
      </c>
    </row>
    <row r="332" spans="1:7" ht="15" thickBot="1" x14ac:dyDescent="0.4">
      <c r="A332" s="98">
        <v>2005224093</v>
      </c>
      <c r="B332" s="101" t="s">
        <v>1444</v>
      </c>
      <c r="C332" s="98" t="s">
        <v>196</v>
      </c>
      <c r="D332" s="98" t="s">
        <v>197</v>
      </c>
      <c r="E332" s="98" t="s">
        <v>911</v>
      </c>
      <c r="F332" s="98" t="s">
        <v>1317</v>
      </c>
      <c r="G332" s="98" t="s">
        <v>1318</v>
      </c>
    </row>
    <row r="333" spans="1:7" ht="15" thickBot="1" x14ac:dyDescent="0.4">
      <c r="A333" s="98">
        <v>2005222253</v>
      </c>
      <c r="B333" s="101" t="s">
        <v>1445</v>
      </c>
      <c r="C333" s="98" t="s">
        <v>196</v>
      </c>
      <c r="D333" s="98" t="s">
        <v>197</v>
      </c>
      <c r="E333" s="98" t="s">
        <v>912</v>
      </c>
      <c r="F333" s="98" t="s">
        <v>1317</v>
      </c>
      <c r="G333" s="98" t="s">
        <v>1318</v>
      </c>
    </row>
    <row r="334" spans="1:7" ht="15" thickBot="1" x14ac:dyDescent="0.4">
      <c r="A334" s="98">
        <v>2005222253</v>
      </c>
      <c r="B334" s="101" t="s">
        <v>1445</v>
      </c>
      <c r="C334" s="98" t="s">
        <v>196</v>
      </c>
      <c r="D334" s="98" t="s">
        <v>197</v>
      </c>
      <c r="E334" s="98" t="s">
        <v>1395</v>
      </c>
      <c r="F334" s="98" t="s">
        <v>1317</v>
      </c>
      <c r="G334" s="98" t="s">
        <v>1318</v>
      </c>
    </row>
    <row r="335" spans="1:7" ht="15" thickBot="1" x14ac:dyDescent="0.4">
      <c r="A335" s="98">
        <v>2005222253</v>
      </c>
      <c r="B335" s="101" t="s">
        <v>1445</v>
      </c>
      <c r="C335" s="98" t="s">
        <v>196</v>
      </c>
      <c r="D335" s="98" t="s">
        <v>197</v>
      </c>
      <c r="E335" s="98" t="s">
        <v>911</v>
      </c>
      <c r="F335" s="98" t="s">
        <v>1317</v>
      </c>
      <c r="G335" s="98" t="s">
        <v>1318</v>
      </c>
    </row>
    <row r="336" spans="1:7" ht="15" thickBot="1" x14ac:dyDescent="0.4">
      <c r="A336" s="98">
        <v>2005221199</v>
      </c>
      <c r="B336" s="101" t="s">
        <v>1446</v>
      </c>
      <c r="C336" s="98" t="s">
        <v>196</v>
      </c>
      <c r="D336" s="98" t="s">
        <v>197</v>
      </c>
      <c r="E336" s="98" t="s">
        <v>913</v>
      </c>
      <c r="F336" s="98" t="s">
        <v>1317</v>
      </c>
      <c r="G336" s="98" t="s">
        <v>1318</v>
      </c>
    </row>
    <row r="337" spans="1:7" ht="15" thickBot="1" x14ac:dyDescent="0.4">
      <c r="A337" s="98">
        <v>2005221199</v>
      </c>
      <c r="B337" s="101" t="s">
        <v>1446</v>
      </c>
      <c r="C337" s="98" t="s">
        <v>196</v>
      </c>
      <c r="D337" s="98" t="s">
        <v>197</v>
      </c>
      <c r="E337" s="98" t="s">
        <v>912</v>
      </c>
      <c r="F337" s="98" t="s">
        <v>1317</v>
      </c>
      <c r="G337" s="98" t="s">
        <v>1318</v>
      </c>
    </row>
    <row r="338" spans="1:7" ht="15" thickBot="1" x14ac:dyDescent="0.4">
      <c r="A338" s="98">
        <v>2005221199</v>
      </c>
      <c r="B338" s="101" t="s">
        <v>1446</v>
      </c>
      <c r="C338" s="98" t="s">
        <v>196</v>
      </c>
      <c r="D338" s="98" t="s">
        <v>197</v>
      </c>
      <c r="E338" s="98" t="s">
        <v>911</v>
      </c>
      <c r="F338" s="98" t="s">
        <v>1317</v>
      </c>
      <c r="G338" s="98" t="s">
        <v>1318</v>
      </c>
    </row>
    <row r="339" spans="1:7" ht="15" thickBot="1" x14ac:dyDescent="0.4">
      <c r="A339" s="98">
        <v>2041210169</v>
      </c>
      <c r="B339" s="101" t="s">
        <v>1447</v>
      </c>
      <c r="C339" s="98" t="s">
        <v>310</v>
      </c>
      <c r="D339" s="98" t="s">
        <v>294</v>
      </c>
      <c r="E339" s="98" t="s">
        <v>911</v>
      </c>
      <c r="F339" s="98" t="s">
        <v>1317</v>
      </c>
      <c r="G339" s="98" t="s">
        <v>1318</v>
      </c>
    </row>
    <row r="340" spans="1:7" ht="15" thickBot="1" x14ac:dyDescent="0.4">
      <c r="A340" s="98">
        <v>2005221213</v>
      </c>
      <c r="B340" s="101" t="s">
        <v>1448</v>
      </c>
      <c r="C340" s="98" t="s">
        <v>360</v>
      </c>
      <c r="D340" s="98" t="s">
        <v>294</v>
      </c>
      <c r="E340" s="98" t="s">
        <v>913</v>
      </c>
      <c r="F340" s="98" t="s">
        <v>1317</v>
      </c>
      <c r="G340" s="98" t="s">
        <v>1318</v>
      </c>
    </row>
    <row r="341" spans="1:7" ht="15" thickBot="1" x14ac:dyDescent="0.4">
      <c r="A341" s="98">
        <v>2005221213</v>
      </c>
      <c r="B341" s="101" t="s">
        <v>1448</v>
      </c>
      <c r="C341" s="98" t="s">
        <v>360</v>
      </c>
      <c r="D341" s="98" t="s">
        <v>294</v>
      </c>
      <c r="E341" s="98" t="s">
        <v>911</v>
      </c>
      <c r="F341" s="98" t="s">
        <v>1317</v>
      </c>
      <c r="G341" s="98" t="s">
        <v>1318</v>
      </c>
    </row>
    <row r="342" spans="1:7" ht="15" thickBot="1" x14ac:dyDescent="0.4">
      <c r="A342" s="98">
        <v>2005225185</v>
      </c>
      <c r="B342" s="101" t="s">
        <v>1449</v>
      </c>
      <c r="C342" s="98" t="s">
        <v>360</v>
      </c>
      <c r="D342" s="98" t="s">
        <v>294</v>
      </c>
      <c r="E342" s="98" t="s">
        <v>911</v>
      </c>
      <c r="F342" s="98" t="s">
        <v>1317</v>
      </c>
      <c r="G342" s="98" t="s">
        <v>1318</v>
      </c>
    </row>
    <row r="343" spans="1:7" ht="15" thickBot="1" x14ac:dyDescent="0.4">
      <c r="A343" s="98">
        <v>2005225185</v>
      </c>
      <c r="B343" s="101" t="s">
        <v>1449</v>
      </c>
      <c r="C343" s="98" t="s">
        <v>360</v>
      </c>
      <c r="D343" s="98" t="s">
        <v>294</v>
      </c>
      <c r="E343" s="98" t="s">
        <v>912</v>
      </c>
      <c r="F343" s="98" t="s">
        <v>1317</v>
      </c>
      <c r="G343" s="98" t="s">
        <v>1318</v>
      </c>
    </row>
    <row r="344" spans="1:7" ht="15" thickBot="1" x14ac:dyDescent="0.4">
      <c r="A344" s="98">
        <v>2005225185</v>
      </c>
      <c r="B344" s="101" t="s">
        <v>1449</v>
      </c>
      <c r="C344" s="98" t="s">
        <v>360</v>
      </c>
      <c r="D344" s="98" t="s">
        <v>294</v>
      </c>
      <c r="E344" s="98" t="s">
        <v>1406</v>
      </c>
      <c r="F344" s="98" t="s">
        <v>1317</v>
      </c>
      <c r="G344" s="98" t="s">
        <v>1318</v>
      </c>
    </row>
    <row r="345" spans="1:7" ht="15" thickBot="1" x14ac:dyDescent="0.4">
      <c r="A345" s="98">
        <v>2005225483</v>
      </c>
      <c r="B345" s="101" t="s">
        <v>1450</v>
      </c>
      <c r="C345" s="98" t="s">
        <v>360</v>
      </c>
      <c r="D345" s="98" t="s">
        <v>294</v>
      </c>
      <c r="E345" s="98" t="s">
        <v>914</v>
      </c>
      <c r="F345" s="98" t="s">
        <v>1317</v>
      </c>
      <c r="G345" s="98" t="s">
        <v>1318</v>
      </c>
    </row>
    <row r="346" spans="1:7" ht="15" thickBot="1" x14ac:dyDescent="0.4">
      <c r="A346" s="98">
        <v>2005225483</v>
      </c>
      <c r="B346" s="101" t="s">
        <v>1450</v>
      </c>
      <c r="C346" s="98" t="s">
        <v>360</v>
      </c>
      <c r="D346" s="98" t="s">
        <v>294</v>
      </c>
      <c r="E346" s="98" t="s">
        <v>914</v>
      </c>
      <c r="F346" s="98" t="s">
        <v>1317</v>
      </c>
      <c r="G346" s="98" t="s">
        <v>1318</v>
      </c>
    </row>
    <row r="347" spans="1:7" ht="15" thickBot="1" x14ac:dyDescent="0.4">
      <c r="A347" s="98">
        <v>2041214070</v>
      </c>
      <c r="B347" s="101" t="s">
        <v>1451</v>
      </c>
      <c r="C347" s="98" t="s">
        <v>1452</v>
      </c>
      <c r="D347" s="98" t="s">
        <v>294</v>
      </c>
      <c r="E347" s="98" t="s">
        <v>915</v>
      </c>
      <c r="F347" s="98" t="s">
        <v>1317</v>
      </c>
      <c r="G347" s="98" t="s">
        <v>1319</v>
      </c>
    </row>
    <row r="348" spans="1:7" ht="15" thickBot="1" x14ac:dyDescent="0.4">
      <c r="A348" s="98">
        <v>2041214070</v>
      </c>
      <c r="B348" s="101" t="s">
        <v>1451</v>
      </c>
      <c r="C348" s="98" t="s">
        <v>1452</v>
      </c>
      <c r="D348" s="98" t="s">
        <v>294</v>
      </c>
      <c r="E348" s="98" t="s">
        <v>913</v>
      </c>
      <c r="F348" s="98" t="s">
        <v>1317</v>
      </c>
      <c r="G348" s="98" t="s">
        <v>1318</v>
      </c>
    </row>
    <row r="349" spans="1:7" ht="15" thickBot="1" x14ac:dyDescent="0.4">
      <c r="A349" s="98">
        <v>2041214070</v>
      </c>
      <c r="B349" s="101" t="s">
        <v>1451</v>
      </c>
      <c r="C349" s="98" t="s">
        <v>1452</v>
      </c>
      <c r="D349" s="98" t="s">
        <v>294</v>
      </c>
      <c r="E349" s="98" t="s">
        <v>912</v>
      </c>
      <c r="F349" s="98" t="s">
        <v>1317</v>
      </c>
      <c r="G349" s="98" t="s">
        <v>1318</v>
      </c>
    </row>
    <row r="350" spans="1:7" ht="15" thickBot="1" x14ac:dyDescent="0.4">
      <c r="A350" s="98">
        <v>2041214070</v>
      </c>
      <c r="B350" s="101" t="s">
        <v>1451</v>
      </c>
      <c r="C350" s="98" t="s">
        <v>1452</v>
      </c>
      <c r="D350" s="98" t="s">
        <v>294</v>
      </c>
      <c r="E350" s="98" t="s">
        <v>915</v>
      </c>
      <c r="F350" s="98" t="s">
        <v>1323</v>
      </c>
      <c r="G350" s="98" t="s">
        <v>1319</v>
      </c>
    </row>
    <row r="351" spans="1:7" ht="15" thickBot="1" x14ac:dyDescent="0.4">
      <c r="A351" s="98">
        <v>2041214070</v>
      </c>
      <c r="B351" s="101" t="s">
        <v>1451</v>
      </c>
      <c r="C351" s="98" t="s">
        <v>1452</v>
      </c>
      <c r="D351" s="98" t="s">
        <v>294</v>
      </c>
      <c r="E351" s="98" t="s">
        <v>912</v>
      </c>
      <c r="F351" s="98" t="s">
        <v>1317</v>
      </c>
      <c r="G351" s="98" t="s">
        <v>1318</v>
      </c>
    </row>
    <row r="352" spans="1:7" ht="15" thickBot="1" x14ac:dyDescent="0.4">
      <c r="A352" s="98">
        <v>2005210209</v>
      </c>
      <c r="B352" s="101" t="s">
        <v>1453</v>
      </c>
      <c r="C352" s="98" t="s">
        <v>1265</v>
      </c>
      <c r="D352" s="98" t="s">
        <v>294</v>
      </c>
      <c r="E352" s="98" t="s">
        <v>913</v>
      </c>
      <c r="F352" s="98" t="s">
        <v>1317</v>
      </c>
      <c r="G352" s="98" t="s">
        <v>1318</v>
      </c>
    </row>
    <row r="353" spans="1:7" ht="15" thickBot="1" x14ac:dyDescent="0.4">
      <c r="A353" s="98">
        <v>2005210209</v>
      </c>
      <c r="B353" s="101" t="s">
        <v>1453</v>
      </c>
      <c r="C353" s="98" t="s">
        <v>1265</v>
      </c>
      <c r="D353" s="98" t="s">
        <v>294</v>
      </c>
      <c r="E353" s="98" t="s">
        <v>911</v>
      </c>
      <c r="F353" s="98" t="s">
        <v>1317</v>
      </c>
      <c r="G353" s="98" t="s">
        <v>1318</v>
      </c>
    </row>
    <row r="354" spans="1:7" ht="15" thickBot="1" x14ac:dyDescent="0.4">
      <c r="A354" s="98">
        <v>2005210209</v>
      </c>
      <c r="B354" s="101" t="s">
        <v>1453</v>
      </c>
      <c r="C354" s="98" t="s">
        <v>1265</v>
      </c>
      <c r="D354" s="98" t="s">
        <v>294</v>
      </c>
      <c r="E354" s="98" t="s">
        <v>912</v>
      </c>
      <c r="F354" s="98" t="s">
        <v>1317</v>
      </c>
      <c r="G354" s="98" t="s">
        <v>1318</v>
      </c>
    </row>
    <row r="355" spans="1:7" ht="15" thickBot="1" x14ac:dyDescent="0.4">
      <c r="A355" s="98">
        <v>2041210176</v>
      </c>
      <c r="B355" s="101" t="s">
        <v>1454</v>
      </c>
      <c r="C355" s="98" t="s">
        <v>1492</v>
      </c>
      <c r="D355" s="98" t="s">
        <v>294</v>
      </c>
      <c r="E355" s="98" t="s">
        <v>912</v>
      </c>
      <c r="F355" s="98" t="s">
        <v>1317</v>
      </c>
      <c r="G355" s="98" t="s">
        <v>1318</v>
      </c>
    </row>
    <row r="356" spans="1:7" ht="15" thickBot="1" x14ac:dyDescent="0.4">
      <c r="A356" s="98">
        <v>2041210176</v>
      </c>
      <c r="B356" s="101" t="s">
        <v>1454</v>
      </c>
      <c r="C356" s="98" t="s">
        <v>1492</v>
      </c>
      <c r="D356" s="98" t="s">
        <v>294</v>
      </c>
      <c r="E356" s="98" t="s">
        <v>913</v>
      </c>
      <c r="F356" s="98" t="s">
        <v>1317</v>
      </c>
      <c r="G356" s="98" t="s">
        <v>1318</v>
      </c>
    </row>
    <row r="357" spans="1:7" ht="15" thickBot="1" x14ac:dyDescent="0.4">
      <c r="A357" s="98">
        <v>2041210176</v>
      </c>
      <c r="B357" s="101" t="s">
        <v>1454</v>
      </c>
      <c r="C357" s="98" t="s">
        <v>1492</v>
      </c>
      <c r="D357" s="98" t="s">
        <v>294</v>
      </c>
      <c r="E357" s="98" t="s">
        <v>915</v>
      </c>
      <c r="F357" s="98" t="s">
        <v>1323</v>
      </c>
      <c r="G357" s="98" t="s">
        <v>1319</v>
      </c>
    </row>
    <row r="358" spans="1:7" ht="15" thickBot="1" x14ac:dyDescent="0.4">
      <c r="A358" s="98">
        <v>2041210176</v>
      </c>
      <c r="B358" s="101" t="s">
        <v>1454</v>
      </c>
      <c r="C358" s="98" t="s">
        <v>1492</v>
      </c>
      <c r="D358" s="98" t="s">
        <v>294</v>
      </c>
      <c r="E358" s="98" t="s">
        <v>913</v>
      </c>
      <c r="F358" s="98" t="s">
        <v>1317</v>
      </c>
      <c r="G358" s="98" t="s">
        <v>1318</v>
      </c>
    </row>
    <row r="359" spans="1:7" ht="15" thickBot="1" x14ac:dyDescent="0.4">
      <c r="A359" s="98">
        <v>2041210176</v>
      </c>
      <c r="B359" s="101" t="s">
        <v>1454</v>
      </c>
      <c r="C359" s="98" t="s">
        <v>1492</v>
      </c>
      <c r="D359" s="98" t="s">
        <v>294</v>
      </c>
      <c r="E359" s="98" t="s">
        <v>912</v>
      </c>
      <c r="F359" s="98" t="s">
        <v>1317</v>
      </c>
      <c r="G359" s="98" t="s">
        <v>1318</v>
      </c>
    </row>
    <row r="360" spans="1:7" ht="15" thickBot="1" x14ac:dyDescent="0.4">
      <c r="A360" s="98">
        <v>2041210176</v>
      </c>
      <c r="B360" s="101" t="s">
        <v>1454</v>
      </c>
      <c r="C360" s="98" t="s">
        <v>1492</v>
      </c>
      <c r="D360" s="98" t="s">
        <v>294</v>
      </c>
      <c r="E360" s="98" t="s">
        <v>912</v>
      </c>
      <c r="F360" s="98" t="s">
        <v>1317</v>
      </c>
      <c r="G360" s="98" t="s">
        <v>1318</v>
      </c>
    </row>
    <row r="361" spans="1:7" ht="15" thickBot="1" x14ac:dyDescent="0.4">
      <c r="A361" s="98">
        <v>2005225205</v>
      </c>
      <c r="B361" s="101" t="s">
        <v>1455</v>
      </c>
      <c r="C361" s="98" t="s">
        <v>337</v>
      </c>
      <c r="D361" s="98" t="s">
        <v>294</v>
      </c>
      <c r="E361" s="98" t="s">
        <v>912</v>
      </c>
      <c r="F361" s="98" t="s">
        <v>1317</v>
      </c>
      <c r="G361" s="98" t="s">
        <v>1318</v>
      </c>
    </row>
    <row r="362" spans="1:7" ht="15" thickBot="1" x14ac:dyDescent="0.4">
      <c r="A362" s="98">
        <v>2005225205</v>
      </c>
      <c r="B362" s="101" t="s">
        <v>1455</v>
      </c>
      <c r="C362" s="98" t="s">
        <v>337</v>
      </c>
      <c r="D362" s="98" t="s">
        <v>294</v>
      </c>
      <c r="E362" s="98" t="s">
        <v>1342</v>
      </c>
      <c r="F362" s="98" t="s">
        <v>1317</v>
      </c>
      <c r="G362" s="98" t="s">
        <v>1318</v>
      </c>
    </row>
    <row r="363" spans="1:7" ht="15" thickBot="1" x14ac:dyDescent="0.4">
      <c r="A363" s="98">
        <v>2005225205</v>
      </c>
      <c r="B363" s="101" t="s">
        <v>1455</v>
      </c>
      <c r="C363" s="98" t="s">
        <v>337</v>
      </c>
      <c r="D363" s="98" t="s">
        <v>294</v>
      </c>
      <c r="E363" s="98" t="s">
        <v>915</v>
      </c>
      <c r="F363" s="98" t="s">
        <v>1323</v>
      </c>
      <c r="G363" s="98" t="s">
        <v>1319</v>
      </c>
    </row>
    <row r="364" spans="1:7" ht="15" thickBot="1" x14ac:dyDescent="0.4">
      <c r="A364" s="98">
        <v>2022222669</v>
      </c>
      <c r="B364" s="101" t="s">
        <v>1881</v>
      </c>
      <c r="C364" s="98" t="s">
        <v>758</v>
      </c>
      <c r="D364" s="98" t="s">
        <v>294</v>
      </c>
      <c r="E364" s="98" t="s">
        <v>915</v>
      </c>
      <c r="F364" s="98" t="s">
        <v>1323</v>
      </c>
      <c r="G364" s="98" t="s">
        <v>1319</v>
      </c>
    </row>
    <row r="365" spans="1:7" ht="15" thickBot="1" x14ac:dyDescent="0.4">
      <c r="A365" s="98">
        <v>2005222563</v>
      </c>
      <c r="B365" s="101" t="s">
        <v>2058</v>
      </c>
      <c r="C365" s="98" t="s">
        <v>360</v>
      </c>
      <c r="D365" s="98" t="s">
        <v>294</v>
      </c>
      <c r="E365" s="98" t="s">
        <v>911</v>
      </c>
      <c r="F365" s="98" t="s">
        <v>1317</v>
      </c>
      <c r="G365" s="98" t="s">
        <v>1318</v>
      </c>
    </row>
    <row r="366" spans="1:7" ht="15" thickBot="1" x14ac:dyDescent="0.4">
      <c r="A366" s="98">
        <v>2005222563</v>
      </c>
      <c r="B366" s="101" t="s">
        <v>2058</v>
      </c>
      <c r="C366" s="98" t="s">
        <v>2089</v>
      </c>
      <c r="D366" s="98" t="s">
        <v>294</v>
      </c>
      <c r="E366" s="98" t="s">
        <v>912</v>
      </c>
      <c r="F366" s="98" t="s">
        <v>1317</v>
      </c>
      <c r="G366" s="98" t="s">
        <v>1318</v>
      </c>
    </row>
    <row r="367" spans="1:7" ht="15" thickBot="1" x14ac:dyDescent="0.4">
      <c r="A367" s="98">
        <v>2005222563</v>
      </c>
      <c r="B367" s="101" t="s">
        <v>2058</v>
      </c>
      <c r="C367" s="98" t="s">
        <v>2089</v>
      </c>
      <c r="D367" s="98" t="s">
        <v>294</v>
      </c>
      <c r="E367" s="98" t="s">
        <v>1342</v>
      </c>
      <c r="F367" s="98" t="s">
        <v>1317</v>
      </c>
      <c r="G367" s="98" t="s">
        <v>1318</v>
      </c>
    </row>
    <row r="368" spans="1:7" ht="15" thickBot="1" x14ac:dyDescent="0.4">
      <c r="A368" s="98">
        <v>2005230096</v>
      </c>
      <c r="B368" s="101" t="s">
        <v>1456</v>
      </c>
      <c r="C368" s="98" t="s">
        <v>1457</v>
      </c>
      <c r="D368" s="98" t="s">
        <v>294</v>
      </c>
      <c r="E368" s="98" t="s">
        <v>1406</v>
      </c>
      <c r="F368" s="98" t="s">
        <v>1317</v>
      </c>
      <c r="G368" s="98" t="s">
        <v>1318</v>
      </c>
    </row>
    <row r="369" spans="1:7" ht="15" thickBot="1" x14ac:dyDescent="0.4">
      <c r="A369" s="98">
        <v>2005208528</v>
      </c>
      <c r="B369" s="101" t="s">
        <v>1458</v>
      </c>
      <c r="C369" s="98" t="s">
        <v>18</v>
      </c>
      <c r="D369" s="98" t="s">
        <v>294</v>
      </c>
      <c r="E369" s="98" t="s">
        <v>911</v>
      </c>
      <c r="F369" s="98" t="s">
        <v>1317</v>
      </c>
      <c r="G369" s="98" t="s">
        <v>1318</v>
      </c>
    </row>
    <row r="370" spans="1:7" ht="15" thickBot="1" x14ac:dyDescent="0.4">
      <c r="A370" s="98">
        <v>2005208528</v>
      </c>
      <c r="B370" s="101" t="s">
        <v>1458</v>
      </c>
      <c r="C370" s="98" t="s">
        <v>18</v>
      </c>
      <c r="D370" s="98" t="s">
        <v>294</v>
      </c>
      <c r="E370" s="98" t="s">
        <v>913</v>
      </c>
      <c r="F370" s="98" t="s">
        <v>1317</v>
      </c>
      <c r="G370" s="98" t="s">
        <v>1318</v>
      </c>
    </row>
    <row r="371" spans="1:7" ht="15" thickBot="1" x14ac:dyDescent="0.4">
      <c r="A371" s="98">
        <v>2005208528</v>
      </c>
      <c r="B371" s="101" t="s">
        <v>1458</v>
      </c>
      <c r="C371" s="98" t="s">
        <v>18</v>
      </c>
      <c r="D371" s="98" t="s">
        <v>294</v>
      </c>
      <c r="E371" s="98" t="s">
        <v>915</v>
      </c>
      <c r="F371" s="98" t="s">
        <v>1317</v>
      </c>
      <c r="G371" s="98" t="s">
        <v>1319</v>
      </c>
    </row>
    <row r="372" spans="1:7" ht="15" thickBot="1" x14ac:dyDescent="0.4">
      <c r="A372" s="98">
        <v>2005225168</v>
      </c>
      <c r="B372" s="101" t="s">
        <v>1459</v>
      </c>
      <c r="C372" s="98" t="s">
        <v>360</v>
      </c>
      <c r="D372" s="98" t="s">
        <v>294</v>
      </c>
      <c r="E372" s="98" t="s">
        <v>913</v>
      </c>
      <c r="F372" s="98" t="s">
        <v>1317</v>
      </c>
      <c r="G372" s="98" t="s">
        <v>1318</v>
      </c>
    </row>
    <row r="373" spans="1:7" ht="15" thickBot="1" x14ac:dyDescent="0.4">
      <c r="A373" s="98">
        <v>2005225168</v>
      </c>
      <c r="B373" s="101" t="s">
        <v>1459</v>
      </c>
      <c r="C373" s="98" t="s">
        <v>360</v>
      </c>
      <c r="D373" s="98" t="s">
        <v>294</v>
      </c>
      <c r="E373" s="98" t="s">
        <v>914</v>
      </c>
      <c r="F373" s="98" t="s">
        <v>1317</v>
      </c>
      <c r="G373" s="98" t="s">
        <v>1318</v>
      </c>
    </row>
    <row r="374" spans="1:7" ht="15" thickBot="1" x14ac:dyDescent="0.4">
      <c r="A374" s="98">
        <v>2005225168</v>
      </c>
      <c r="B374" s="101" t="s">
        <v>1459</v>
      </c>
      <c r="C374" s="98" t="s">
        <v>360</v>
      </c>
      <c r="D374" s="98" t="s">
        <v>294</v>
      </c>
      <c r="E374" s="98" t="s">
        <v>912</v>
      </c>
      <c r="F374" s="98" t="s">
        <v>1317</v>
      </c>
      <c r="G374" s="98" t="s">
        <v>1318</v>
      </c>
    </row>
    <row r="375" spans="1:7" ht="15" thickBot="1" x14ac:dyDescent="0.4">
      <c r="A375" s="98">
        <v>2005222243</v>
      </c>
      <c r="B375" s="101" t="s">
        <v>1460</v>
      </c>
      <c r="C375" s="98" t="s">
        <v>360</v>
      </c>
      <c r="D375" s="98" t="s">
        <v>294</v>
      </c>
      <c r="E375" s="98" t="s">
        <v>2086</v>
      </c>
      <c r="F375" s="98" t="s">
        <v>1317</v>
      </c>
      <c r="G375" s="98" t="s">
        <v>1318</v>
      </c>
    </row>
    <row r="376" spans="1:7" ht="15" thickBot="1" x14ac:dyDescent="0.4">
      <c r="A376" s="98">
        <v>2005222243</v>
      </c>
      <c r="B376" s="101" t="s">
        <v>1460</v>
      </c>
      <c r="C376" s="98" t="s">
        <v>360</v>
      </c>
      <c r="D376" s="98" t="s">
        <v>294</v>
      </c>
      <c r="E376" s="98" t="s">
        <v>2086</v>
      </c>
      <c r="F376" s="98" t="s">
        <v>1317</v>
      </c>
      <c r="G376" s="98" t="s">
        <v>1318</v>
      </c>
    </row>
    <row r="377" spans="1:7" ht="15" thickBot="1" x14ac:dyDescent="0.4">
      <c r="A377" s="98">
        <v>2005222243</v>
      </c>
      <c r="B377" s="101" t="s">
        <v>1460</v>
      </c>
      <c r="C377" s="98" t="s">
        <v>360</v>
      </c>
      <c r="D377" s="98" t="s">
        <v>294</v>
      </c>
      <c r="E377" s="98" t="s">
        <v>1395</v>
      </c>
      <c r="F377" s="98" t="s">
        <v>1317</v>
      </c>
      <c r="G377" s="98" t="s">
        <v>1318</v>
      </c>
    </row>
    <row r="378" spans="1:7" ht="15" thickBot="1" x14ac:dyDescent="0.4">
      <c r="A378" s="98">
        <v>2005210215</v>
      </c>
      <c r="B378" s="101" t="s">
        <v>2053</v>
      </c>
      <c r="C378" s="98" t="s">
        <v>2087</v>
      </c>
      <c r="D378" s="98" t="s">
        <v>294</v>
      </c>
      <c r="E378" s="98" t="s">
        <v>1406</v>
      </c>
      <c r="F378" s="98" t="s">
        <v>1317</v>
      </c>
      <c r="G378" s="98" t="s">
        <v>1318</v>
      </c>
    </row>
    <row r="379" spans="1:7" ht="15" thickBot="1" x14ac:dyDescent="0.4">
      <c r="A379" s="98">
        <v>2022218394</v>
      </c>
      <c r="B379" s="101" t="s">
        <v>1461</v>
      </c>
      <c r="C379" s="98" t="s">
        <v>302</v>
      </c>
      <c r="D379" s="98" t="s">
        <v>294</v>
      </c>
      <c r="E379" s="98" t="s">
        <v>911</v>
      </c>
      <c r="F379" s="98" t="s">
        <v>1317</v>
      </c>
      <c r="G379" s="98" t="s">
        <v>1318</v>
      </c>
    </row>
    <row r="380" spans="1:7" ht="15" thickBot="1" x14ac:dyDescent="0.4">
      <c r="A380" s="98">
        <v>2005225724</v>
      </c>
      <c r="B380" s="101" t="s">
        <v>1462</v>
      </c>
      <c r="C380" s="98" t="s">
        <v>337</v>
      </c>
      <c r="D380" s="98" t="s">
        <v>294</v>
      </c>
      <c r="E380" s="98" t="s">
        <v>912</v>
      </c>
      <c r="F380" s="98" t="s">
        <v>1317</v>
      </c>
      <c r="G380" s="98" t="s">
        <v>1318</v>
      </c>
    </row>
    <row r="381" spans="1:7" ht="15" thickBot="1" x14ac:dyDescent="0.4">
      <c r="A381" s="98">
        <v>2005225724</v>
      </c>
      <c r="B381" s="101" t="s">
        <v>1462</v>
      </c>
      <c r="C381" s="98" t="s">
        <v>337</v>
      </c>
      <c r="D381" s="98" t="s">
        <v>294</v>
      </c>
      <c r="E381" s="98" t="s">
        <v>911</v>
      </c>
      <c r="F381" s="98" t="s">
        <v>1317</v>
      </c>
      <c r="G381" s="98" t="s">
        <v>1318</v>
      </c>
    </row>
    <row r="382" spans="1:7" ht="15" thickBot="1" x14ac:dyDescent="0.4">
      <c r="A382" s="98">
        <v>2005225724</v>
      </c>
      <c r="B382" s="101" t="s">
        <v>1462</v>
      </c>
      <c r="C382" s="98" t="s">
        <v>337</v>
      </c>
      <c r="D382" s="98" t="s">
        <v>294</v>
      </c>
      <c r="E382" s="98" t="s">
        <v>915</v>
      </c>
      <c r="F382" s="98" t="s">
        <v>1317</v>
      </c>
      <c r="G382" s="98" t="s">
        <v>1319</v>
      </c>
    </row>
    <row r="383" spans="1:7" ht="15" thickBot="1" x14ac:dyDescent="0.4">
      <c r="A383" s="98">
        <v>2005217995</v>
      </c>
      <c r="B383" s="101" t="s">
        <v>1463</v>
      </c>
      <c r="C383" s="98" t="s">
        <v>1251</v>
      </c>
      <c r="D383" s="98" t="s">
        <v>294</v>
      </c>
      <c r="E383" s="98" t="s">
        <v>913</v>
      </c>
      <c r="F383" s="98" t="s">
        <v>1317</v>
      </c>
      <c r="G383" s="98" t="s">
        <v>1318</v>
      </c>
    </row>
    <row r="384" spans="1:7" ht="15" thickBot="1" x14ac:dyDescent="0.4">
      <c r="A384" s="98">
        <v>2005217995</v>
      </c>
      <c r="B384" s="101" t="s">
        <v>1463</v>
      </c>
      <c r="C384" s="98" t="s">
        <v>1251</v>
      </c>
      <c r="D384" s="98" t="s">
        <v>294</v>
      </c>
      <c r="E384" s="98" t="s">
        <v>911</v>
      </c>
      <c r="F384" s="98" t="s">
        <v>1317</v>
      </c>
      <c r="G384" s="98" t="s">
        <v>1318</v>
      </c>
    </row>
    <row r="385" spans="1:7" ht="15" thickBot="1" x14ac:dyDescent="0.4">
      <c r="A385" s="98">
        <v>2005210982</v>
      </c>
      <c r="B385" s="101" t="s">
        <v>1464</v>
      </c>
      <c r="C385" s="98" t="s">
        <v>326</v>
      </c>
      <c r="D385" s="98" t="s">
        <v>294</v>
      </c>
      <c r="E385" s="98" t="s">
        <v>915</v>
      </c>
      <c r="F385" s="98" t="s">
        <v>1323</v>
      </c>
      <c r="G385" s="98" t="s">
        <v>1319</v>
      </c>
    </row>
    <row r="386" spans="1:7" ht="15" thickBot="1" x14ac:dyDescent="0.4">
      <c r="A386" s="98">
        <v>2005210982</v>
      </c>
      <c r="B386" s="101" t="s">
        <v>1464</v>
      </c>
      <c r="C386" s="98" t="s">
        <v>326</v>
      </c>
      <c r="D386" s="98" t="s">
        <v>294</v>
      </c>
      <c r="E386" s="98" t="s">
        <v>915</v>
      </c>
      <c r="F386" s="98" t="s">
        <v>1323</v>
      </c>
      <c r="G386" s="98" t="s">
        <v>1319</v>
      </c>
    </row>
    <row r="387" spans="1:7" ht="15" thickBot="1" x14ac:dyDescent="0.4">
      <c r="A387" s="98">
        <v>2005210982</v>
      </c>
      <c r="B387" s="101" t="s">
        <v>1464</v>
      </c>
      <c r="C387" s="98" t="s">
        <v>326</v>
      </c>
      <c r="D387" s="98" t="s">
        <v>294</v>
      </c>
      <c r="E387" s="98" t="s">
        <v>911</v>
      </c>
      <c r="F387" s="98" t="s">
        <v>1317</v>
      </c>
      <c r="G387" s="98" t="s">
        <v>1318</v>
      </c>
    </row>
    <row r="388" spans="1:7" ht="15" thickBot="1" x14ac:dyDescent="0.4">
      <c r="A388" s="98">
        <v>2005210982</v>
      </c>
      <c r="B388" s="101" t="s">
        <v>1464</v>
      </c>
      <c r="C388" s="98" t="s">
        <v>326</v>
      </c>
      <c r="D388" s="98" t="s">
        <v>294</v>
      </c>
      <c r="E388" s="98" t="s">
        <v>912</v>
      </c>
      <c r="F388" s="98" t="s">
        <v>1317</v>
      </c>
      <c r="G388" s="98" t="s">
        <v>1318</v>
      </c>
    </row>
    <row r="389" spans="1:7" ht="15" thickBot="1" x14ac:dyDescent="0.4">
      <c r="A389" s="98">
        <v>2005210982</v>
      </c>
      <c r="B389" s="101" t="s">
        <v>1464</v>
      </c>
      <c r="C389" s="98" t="s">
        <v>326</v>
      </c>
      <c r="D389" s="98" t="s">
        <v>294</v>
      </c>
      <c r="E389" s="98" t="s">
        <v>912</v>
      </c>
      <c r="F389" s="98" t="s">
        <v>1317</v>
      </c>
      <c r="G389" s="98" t="s">
        <v>1318</v>
      </c>
    </row>
    <row r="390" spans="1:7" ht="15" thickBot="1" x14ac:dyDescent="0.4">
      <c r="A390" s="98">
        <v>2005210982</v>
      </c>
      <c r="B390" s="101" t="s">
        <v>1464</v>
      </c>
      <c r="C390" s="98" t="s">
        <v>326</v>
      </c>
      <c r="D390" s="98" t="s">
        <v>294</v>
      </c>
      <c r="E390" s="98" t="s">
        <v>911</v>
      </c>
      <c r="F390" s="98" t="s">
        <v>1317</v>
      </c>
      <c r="G390" s="98" t="s">
        <v>1318</v>
      </c>
    </row>
    <row r="391" spans="1:7" ht="15" thickBot="1" x14ac:dyDescent="0.4">
      <c r="A391" s="98">
        <v>2005210982</v>
      </c>
      <c r="B391" s="101" t="s">
        <v>1464</v>
      </c>
      <c r="C391" s="98" t="s">
        <v>326</v>
      </c>
      <c r="D391" s="98" t="s">
        <v>294</v>
      </c>
      <c r="E391" s="98" t="s">
        <v>915</v>
      </c>
      <c r="F391" s="98" t="s">
        <v>1317</v>
      </c>
      <c r="G391" s="98" t="s">
        <v>1319</v>
      </c>
    </row>
    <row r="392" spans="1:7" ht="15" thickBot="1" x14ac:dyDescent="0.4">
      <c r="A392" s="98">
        <v>2005210982</v>
      </c>
      <c r="B392" s="101" t="s">
        <v>1464</v>
      </c>
      <c r="C392" s="98" t="s">
        <v>326</v>
      </c>
      <c r="D392" s="98" t="s">
        <v>294</v>
      </c>
      <c r="E392" s="98" t="s">
        <v>915</v>
      </c>
      <c r="F392" s="98" t="s">
        <v>1317</v>
      </c>
      <c r="G392" s="98" t="s">
        <v>1319</v>
      </c>
    </row>
    <row r="393" spans="1:7" ht="15" thickBot="1" x14ac:dyDescent="0.4">
      <c r="A393" s="98">
        <v>2005210982</v>
      </c>
      <c r="B393" s="101" t="s">
        <v>1464</v>
      </c>
      <c r="C393" s="98" t="s">
        <v>326</v>
      </c>
      <c r="D393" s="98" t="s">
        <v>294</v>
      </c>
      <c r="E393" s="98" t="s">
        <v>912</v>
      </c>
      <c r="F393" s="98" t="s">
        <v>1317</v>
      </c>
      <c r="G393" s="98" t="s">
        <v>1318</v>
      </c>
    </row>
    <row r="394" spans="1:7" ht="15" thickBot="1" x14ac:dyDescent="0.4">
      <c r="A394" s="98">
        <v>2005223596</v>
      </c>
      <c r="B394" s="101" t="s">
        <v>2059</v>
      </c>
      <c r="C394" s="98" t="s">
        <v>360</v>
      </c>
      <c r="D394" s="98" t="s">
        <v>294</v>
      </c>
      <c r="E394" s="98" t="s">
        <v>911</v>
      </c>
      <c r="F394" s="98" t="s">
        <v>1317</v>
      </c>
      <c r="G394" s="98" t="s">
        <v>1318</v>
      </c>
    </row>
    <row r="395" spans="1:7" ht="15" thickBot="1" x14ac:dyDescent="0.4">
      <c r="A395" s="98">
        <v>2005223596</v>
      </c>
      <c r="B395" s="101" t="s">
        <v>2059</v>
      </c>
      <c r="C395" s="98" t="s">
        <v>360</v>
      </c>
      <c r="D395" s="98" t="s">
        <v>294</v>
      </c>
      <c r="E395" s="98" t="s">
        <v>913</v>
      </c>
      <c r="F395" s="98" t="s">
        <v>1317</v>
      </c>
      <c r="G395" s="98" t="s">
        <v>1318</v>
      </c>
    </row>
    <row r="396" spans="1:7" ht="15" thickBot="1" x14ac:dyDescent="0.4">
      <c r="A396" s="98">
        <v>2041210264</v>
      </c>
      <c r="B396" s="101" t="s">
        <v>1465</v>
      </c>
      <c r="C396" s="98" t="s">
        <v>319</v>
      </c>
      <c r="D396" s="98" t="s">
        <v>294</v>
      </c>
      <c r="E396" s="98" t="s">
        <v>913</v>
      </c>
      <c r="F396" s="98" t="s">
        <v>1317</v>
      </c>
      <c r="G396" s="98" t="s">
        <v>1318</v>
      </c>
    </row>
    <row r="397" spans="1:7" ht="15" thickBot="1" x14ac:dyDescent="0.4">
      <c r="A397" s="98">
        <v>2041210264</v>
      </c>
      <c r="B397" s="101" t="s">
        <v>1465</v>
      </c>
      <c r="C397" s="98" t="s">
        <v>319</v>
      </c>
      <c r="D397" s="98" t="s">
        <v>294</v>
      </c>
      <c r="E397" s="98" t="s">
        <v>916</v>
      </c>
      <c r="F397" s="98" t="s">
        <v>1317</v>
      </c>
      <c r="G397" s="98" t="s">
        <v>1319</v>
      </c>
    </row>
    <row r="398" spans="1:7" ht="15" thickBot="1" x14ac:dyDescent="0.4">
      <c r="A398" s="98">
        <v>2041210264</v>
      </c>
      <c r="B398" s="101" t="s">
        <v>1465</v>
      </c>
      <c r="C398" s="98" t="s">
        <v>319</v>
      </c>
      <c r="D398" s="98" t="s">
        <v>294</v>
      </c>
      <c r="E398" s="98" t="s">
        <v>912</v>
      </c>
      <c r="F398" s="98" t="s">
        <v>1317</v>
      </c>
      <c r="G398" s="98" t="s">
        <v>1318</v>
      </c>
    </row>
    <row r="399" spans="1:7" ht="15" thickBot="1" x14ac:dyDescent="0.4">
      <c r="A399" s="98">
        <v>2005223323</v>
      </c>
      <c r="B399" s="101" t="s">
        <v>1466</v>
      </c>
      <c r="C399" s="98" t="s">
        <v>360</v>
      </c>
      <c r="D399" s="98" t="s">
        <v>294</v>
      </c>
      <c r="E399" s="98" t="s">
        <v>912</v>
      </c>
      <c r="F399" s="98" t="s">
        <v>1317</v>
      </c>
      <c r="G399" s="98" t="s">
        <v>1318</v>
      </c>
    </row>
    <row r="400" spans="1:7" ht="15" thickBot="1" x14ac:dyDescent="0.4">
      <c r="A400" s="98">
        <v>2005223323</v>
      </c>
      <c r="B400" s="101" t="s">
        <v>1466</v>
      </c>
      <c r="C400" s="98" t="s">
        <v>360</v>
      </c>
      <c r="D400" s="98" t="s">
        <v>294</v>
      </c>
      <c r="E400" s="98" t="s">
        <v>913</v>
      </c>
      <c r="F400" s="98" t="s">
        <v>1317</v>
      </c>
      <c r="G400" s="98" t="s">
        <v>1318</v>
      </c>
    </row>
    <row r="401" spans="1:7" ht="15" thickBot="1" x14ac:dyDescent="0.4">
      <c r="A401" s="98">
        <v>2005223323</v>
      </c>
      <c r="B401" s="101" t="s">
        <v>1466</v>
      </c>
      <c r="C401" s="98" t="s">
        <v>360</v>
      </c>
      <c r="D401" s="98" t="s">
        <v>294</v>
      </c>
      <c r="E401" s="98" t="s">
        <v>911</v>
      </c>
      <c r="F401" s="98" t="s">
        <v>1317</v>
      </c>
      <c r="G401" s="98" t="s">
        <v>1318</v>
      </c>
    </row>
    <row r="402" spans="1:7" ht="15" thickBot="1" x14ac:dyDescent="0.4">
      <c r="A402" s="98">
        <v>2005225165</v>
      </c>
      <c r="B402" s="101" t="s">
        <v>1467</v>
      </c>
      <c r="C402" s="98" t="s">
        <v>337</v>
      </c>
      <c r="D402" s="98" t="s">
        <v>294</v>
      </c>
      <c r="E402" s="98" t="s">
        <v>913</v>
      </c>
      <c r="F402" s="98" t="s">
        <v>1317</v>
      </c>
      <c r="G402" s="98" t="s">
        <v>1318</v>
      </c>
    </row>
    <row r="403" spans="1:7" ht="15" thickBot="1" x14ac:dyDescent="0.4">
      <c r="A403" s="98">
        <v>2005225165</v>
      </c>
      <c r="B403" s="101" t="s">
        <v>1467</v>
      </c>
      <c r="C403" s="98" t="s">
        <v>337</v>
      </c>
      <c r="D403" s="98" t="s">
        <v>294</v>
      </c>
      <c r="E403" s="98" t="s">
        <v>911</v>
      </c>
      <c r="F403" s="98" t="s">
        <v>1317</v>
      </c>
      <c r="G403" s="98" t="s">
        <v>1318</v>
      </c>
    </row>
    <row r="404" spans="1:7" ht="15" thickBot="1" x14ac:dyDescent="0.4">
      <c r="A404" s="98">
        <v>2005225165</v>
      </c>
      <c r="B404" s="101" t="s">
        <v>1467</v>
      </c>
      <c r="C404" s="98" t="s">
        <v>337</v>
      </c>
      <c r="D404" s="98" t="s">
        <v>294</v>
      </c>
      <c r="E404" s="98" t="s">
        <v>915</v>
      </c>
      <c r="F404" s="98" t="s">
        <v>1323</v>
      </c>
      <c r="G404" s="98" t="s">
        <v>1319</v>
      </c>
    </row>
    <row r="405" spans="1:7" ht="15" thickBot="1" x14ac:dyDescent="0.4">
      <c r="A405" s="98">
        <v>2041214001</v>
      </c>
      <c r="B405" s="101" t="s">
        <v>116</v>
      </c>
      <c r="C405" s="98" t="s">
        <v>310</v>
      </c>
      <c r="D405" s="98" t="s">
        <v>294</v>
      </c>
      <c r="E405" s="98" t="s">
        <v>1321</v>
      </c>
      <c r="F405" s="98" t="s">
        <v>1317</v>
      </c>
      <c r="G405" s="98" t="s">
        <v>1318</v>
      </c>
    </row>
    <row r="406" spans="1:7" ht="15" thickBot="1" x14ac:dyDescent="0.4">
      <c r="A406" s="98">
        <v>2041214001</v>
      </c>
      <c r="B406" s="101" t="s">
        <v>116</v>
      </c>
      <c r="C406" s="98" t="s">
        <v>310</v>
      </c>
      <c r="D406" s="98" t="s">
        <v>294</v>
      </c>
      <c r="E406" s="98" t="s">
        <v>913</v>
      </c>
      <c r="F406" s="98" t="s">
        <v>1317</v>
      </c>
      <c r="G406" s="98" t="s">
        <v>1318</v>
      </c>
    </row>
    <row r="407" spans="1:7" ht="15" thickBot="1" x14ac:dyDescent="0.4">
      <c r="A407" s="98">
        <v>2041214001</v>
      </c>
      <c r="B407" s="101" t="s">
        <v>116</v>
      </c>
      <c r="C407" s="98" t="s">
        <v>310</v>
      </c>
      <c r="D407" s="98" t="s">
        <v>294</v>
      </c>
      <c r="E407" s="98" t="s">
        <v>915</v>
      </c>
      <c r="F407" s="98" t="s">
        <v>1317</v>
      </c>
      <c r="G407" s="98" t="s">
        <v>1319</v>
      </c>
    </row>
    <row r="408" spans="1:7" ht="15" thickBot="1" x14ac:dyDescent="0.4">
      <c r="A408" s="98">
        <v>2005223303</v>
      </c>
      <c r="B408" s="101" t="s">
        <v>1468</v>
      </c>
      <c r="C408" s="98" t="s">
        <v>360</v>
      </c>
      <c r="D408" s="98" t="s">
        <v>294</v>
      </c>
      <c r="E408" s="98" t="s">
        <v>912</v>
      </c>
      <c r="F408" s="98" t="s">
        <v>1317</v>
      </c>
      <c r="G408" s="98" t="s">
        <v>1318</v>
      </c>
    </row>
    <row r="409" spans="1:7" ht="15" thickBot="1" x14ac:dyDescent="0.4">
      <c r="A409" s="98">
        <v>2005223303</v>
      </c>
      <c r="B409" s="101" t="s">
        <v>1469</v>
      </c>
      <c r="C409" s="98" t="s">
        <v>360</v>
      </c>
      <c r="D409" s="98" t="s">
        <v>294</v>
      </c>
      <c r="E409" s="98" t="s">
        <v>911</v>
      </c>
      <c r="F409" s="98" t="s">
        <v>1317</v>
      </c>
      <c r="G409" s="98" t="s">
        <v>1318</v>
      </c>
    </row>
    <row r="410" spans="1:7" ht="15" thickBot="1" x14ac:dyDescent="0.4">
      <c r="A410" s="98">
        <v>2005218108</v>
      </c>
      <c r="B410" s="101" t="s">
        <v>1470</v>
      </c>
      <c r="C410" s="98" t="s">
        <v>332</v>
      </c>
      <c r="D410" s="98" t="s">
        <v>294</v>
      </c>
      <c r="E410" s="98" t="s">
        <v>913</v>
      </c>
      <c r="F410" s="98" t="s">
        <v>1317</v>
      </c>
      <c r="G410" s="98" t="s">
        <v>1318</v>
      </c>
    </row>
    <row r="411" spans="1:7" ht="15" thickBot="1" x14ac:dyDescent="0.4">
      <c r="A411" s="98">
        <v>2005218108</v>
      </c>
      <c r="B411" s="101" t="s">
        <v>1470</v>
      </c>
      <c r="C411" s="98" t="s">
        <v>332</v>
      </c>
      <c r="D411" s="98" t="s">
        <v>294</v>
      </c>
      <c r="E411" s="98" t="s">
        <v>915</v>
      </c>
      <c r="F411" s="98" t="s">
        <v>1323</v>
      </c>
      <c r="G411" s="98" t="s">
        <v>1319</v>
      </c>
    </row>
    <row r="412" spans="1:7" ht="15" thickBot="1" x14ac:dyDescent="0.4">
      <c r="A412" s="98">
        <v>2005218108</v>
      </c>
      <c r="B412" s="101" t="s">
        <v>1470</v>
      </c>
      <c r="C412" s="98" t="s">
        <v>332</v>
      </c>
      <c r="D412" s="98" t="s">
        <v>294</v>
      </c>
      <c r="E412" s="98" t="s">
        <v>911</v>
      </c>
      <c r="F412" s="98" t="s">
        <v>1317</v>
      </c>
      <c r="G412" s="98" t="s">
        <v>1318</v>
      </c>
    </row>
    <row r="413" spans="1:7" ht="15" thickBot="1" x14ac:dyDescent="0.4">
      <c r="A413" s="98">
        <v>2005223276</v>
      </c>
      <c r="B413" s="101" t="s">
        <v>1471</v>
      </c>
      <c r="C413" s="98" t="s">
        <v>360</v>
      </c>
      <c r="D413" s="98" t="s">
        <v>294</v>
      </c>
      <c r="E413" s="98" t="s">
        <v>911</v>
      </c>
      <c r="F413" s="98" t="s">
        <v>1317</v>
      </c>
      <c r="G413" s="98" t="s">
        <v>1318</v>
      </c>
    </row>
    <row r="414" spans="1:7" ht="15" thickBot="1" x14ac:dyDescent="0.4">
      <c r="A414" s="98">
        <v>2005210136</v>
      </c>
      <c r="B414" s="101" t="s">
        <v>2075</v>
      </c>
      <c r="C414" s="98" t="s">
        <v>326</v>
      </c>
      <c r="D414" s="98" t="s">
        <v>294</v>
      </c>
      <c r="E414" s="98" t="s">
        <v>914</v>
      </c>
      <c r="F414" s="98" t="s">
        <v>1317</v>
      </c>
      <c r="G414" s="98" t="s">
        <v>1318</v>
      </c>
    </row>
    <row r="415" spans="1:7" ht="15" thickBot="1" x14ac:dyDescent="0.4">
      <c r="A415" s="98">
        <v>2005210136</v>
      </c>
      <c r="B415" s="101" t="s">
        <v>2075</v>
      </c>
      <c r="C415" s="98" t="s">
        <v>326</v>
      </c>
      <c r="D415" s="98" t="s">
        <v>294</v>
      </c>
      <c r="E415" s="98" t="s">
        <v>911</v>
      </c>
      <c r="F415" s="98" t="s">
        <v>1317</v>
      </c>
      <c r="G415" s="98" t="s">
        <v>1318</v>
      </c>
    </row>
    <row r="416" spans="1:7" ht="15" thickBot="1" x14ac:dyDescent="0.4">
      <c r="A416" s="98">
        <v>2005222057</v>
      </c>
      <c r="B416" s="101" t="s">
        <v>1472</v>
      </c>
      <c r="C416" s="98" t="s">
        <v>360</v>
      </c>
      <c r="D416" s="98" t="s">
        <v>294</v>
      </c>
      <c r="E416" s="98" t="s">
        <v>912</v>
      </c>
      <c r="F416" s="98" t="s">
        <v>1317</v>
      </c>
      <c r="G416" s="98" t="s">
        <v>1318</v>
      </c>
    </row>
    <row r="417" spans="1:7" ht="15" thickBot="1" x14ac:dyDescent="0.4">
      <c r="A417" s="98">
        <v>2005222057</v>
      </c>
      <c r="B417" s="101" t="s">
        <v>1472</v>
      </c>
      <c r="C417" s="98" t="s">
        <v>360</v>
      </c>
      <c r="D417" s="98" t="s">
        <v>294</v>
      </c>
      <c r="E417" s="98" t="s">
        <v>913</v>
      </c>
      <c r="F417" s="98" t="s">
        <v>1317</v>
      </c>
      <c r="G417" s="98" t="s">
        <v>1318</v>
      </c>
    </row>
    <row r="418" spans="1:7" ht="15" thickBot="1" x14ac:dyDescent="0.4">
      <c r="A418" s="98">
        <v>2005222057</v>
      </c>
      <c r="B418" s="101" t="s">
        <v>1472</v>
      </c>
      <c r="C418" s="98" t="s">
        <v>360</v>
      </c>
      <c r="D418" s="98" t="s">
        <v>294</v>
      </c>
      <c r="E418" s="98" t="s">
        <v>915</v>
      </c>
      <c r="F418" s="98" t="s">
        <v>1317</v>
      </c>
      <c r="G418" s="98" t="s">
        <v>1319</v>
      </c>
    </row>
    <row r="419" spans="1:7" ht="15" thickBot="1" x14ac:dyDescent="0.4">
      <c r="A419" s="98">
        <v>2041210254</v>
      </c>
      <c r="B419" s="101" t="s">
        <v>1473</v>
      </c>
      <c r="C419" s="98" t="s">
        <v>307</v>
      </c>
      <c r="D419" s="98" t="s">
        <v>294</v>
      </c>
      <c r="E419" s="98" t="s">
        <v>911</v>
      </c>
      <c r="F419" s="98" t="s">
        <v>1317</v>
      </c>
      <c r="G419" s="98" t="s">
        <v>1318</v>
      </c>
    </row>
    <row r="420" spans="1:7" ht="15" thickBot="1" x14ac:dyDescent="0.4">
      <c r="A420" s="98">
        <v>2041210254</v>
      </c>
      <c r="B420" s="101" t="s">
        <v>1473</v>
      </c>
      <c r="C420" s="98" t="s">
        <v>307</v>
      </c>
      <c r="D420" s="98" t="s">
        <v>294</v>
      </c>
      <c r="E420" s="98" t="s">
        <v>912</v>
      </c>
      <c r="F420" s="98" t="s">
        <v>1317</v>
      </c>
      <c r="G420" s="98" t="s">
        <v>1318</v>
      </c>
    </row>
    <row r="421" spans="1:7" ht="15" thickBot="1" x14ac:dyDescent="0.4">
      <c r="A421" s="98">
        <v>2041210254</v>
      </c>
      <c r="B421" s="101" t="s">
        <v>1473</v>
      </c>
      <c r="C421" s="98" t="s">
        <v>307</v>
      </c>
      <c r="D421" s="98" t="s">
        <v>294</v>
      </c>
      <c r="E421" s="98" t="s">
        <v>911</v>
      </c>
      <c r="F421" s="98" t="s">
        <v>1317</v>
      </c>
      <c r="G421" s="98" t="s">
        <v>1318</v>
      </c>
    </row>
    <row r="422" spans="1:7" ht="15" thickBot="1" x14ac:dyDescent="0.4">
      <c r="A422" s="98">
        <v>2041210254</v>
      </c>
      <c r="B422" s="101" t="s">
        <v>1473</v>
      </c>
      <c r="C422" s="98" t="s">
        <v>307</v>
      </c>
      <c r="D422" s="98" t="s">
        <v>294</v>
      </c>
      <c r="E422" s="98" t="s">
        <v>911</v>
      </c>
      <c r="F422" s="98" t="s">
        <v>1317</v>
      </c>
      <c r="G422" s="98" t="s">
        <v>1318</v>
      </c>
    </row>
    <row r="423" spans="1:7" ht="15" thickBot="1" x14ac:dyDescent="0.4">
      <c r="A423" s="98">
        <v>2041210254</v>
      </c>
      <c r="B423" s="101" t="s">
        <v>1473</v>
      </c>
      <c r="C423" s="98" t="s">
        <v>307</v>
      </c>
      <c r="D423" s="98" t="s">
        <v>294</v>
      </c>
      <c r="E423" s="98" t="s">
        <v>915</v>
      </c>
      <c r="F423" s="98" t="s">
        <v>1323</v>
      </c>
      <c r="G423" s="98" t="s">
        <v>1319</v>
      </c>
    </row>
    <row r="424" spans="1:7" ht="15" thickBot="1" x14ac:dyDescent="0.4">
      <c r="A424" s="98">
        <v>2022202006</v>
      </c>
      <c r="B424" s="101" t="s">
        <v>1474</v>
      </c>
      <c r="C424" s="98" t="s">
        <v>107</v>
      </c>
      <c r="D424" s="98" t="s">
        <v>294</v>
      </c>
      <c r="E424" s="98" t="s">
        <v>912</v>
      </c>
      <c r="F424" s="98" t="s">
        <v>1317</v>
      </c>
      <c r="G424" s="98" t="s">
        <v>1318</v>
      </c>
    </row>
    <row r="425" spans="1:7" ht="15" thickBot="1" x14ac:dyDescent="0.4">
      <c r="A425" s="98">
        <v>2022202006</v>
      </c>
      <c r="B425" s="101" t="s">
        <v>1474</v>
      </c>
      <c r="C425" s="98" t="s">
        <v>107</v>
      </c>
      <c r="D425" s="98" t="s">
        <v>294</v>
      </c>
      <c r="E425" s="98" t="s">
        <v>914</v>
      </c>
      <c r="F425" s="98" t="s">
        <v>1317</v>
      </c>
      <c r="G425" s="98" t="s">
        <v>1318</v>
      </c>
    </row>
    <row r="426" spans="1:7" ht="15" thickBot="1" x14ac:dyDescent="0.4">
      <c r="A426" s="98">
        <v>2022202006</v>
      </c>
      <c r="B426" s="101" t="s">
        <v>1474</v>
      </c>
      <c r="C426" s="98" t="s">
        <v>107</v>
      </c>
      <c r="D426" s="98" t="s">
        <v>294</v>
      </c>
      <c r="E426" s="98" t="s">
        <v>911</v>
      </c>
      <c r="F426" s="98" t="s">
        <v>1317</v>
      </c>
      <c r="G426" s="98" t="s">
        <v>1318</v>
      </c>
    </row>
    <row r="427" spans="1:7" ht="15" thickBot="1" x14ac:dyDescent="0.4">
      <c r="A427" s="98">
        <v>2005224754</v>
      </c>
      <c r="B427" s="101" t="s">
        <v>1475</v>
      </c>
      <c r="C427" s="98" t="s">
        <v>337</v>
      </c>
      <c r="D427" s="98" t="s">
        <v>294</v>
      </c>
      <c r="E427" s="98" t="s">
        <v>914</v>
      </c>
      <c r="F427" s="98" t="s">
        <v>1317</v>
      </c>
      <c r="G427" s="98" t="s">
        <v>1318</v>
      </c>
    </row>
    <row r="428" spans="1:7" ht="15" thickBot="1" x14ac:dyDescent="0.4">
      <c r="A428" s="98">
        <v>2005224754</v>
      </c>
      <c r="B428" s="101" t="s">
        <v>1475</v>
      </c>
      <c r="C428" s="98" t="s">
        <v>337</v>
      </c>
      <c r="D428" s="98" t="s">
        <v>294</v>
      </c>
      <c r="E428" s="98" t="s">
        <v>912</v>
      </c>
      <c r="F428" s="98" t="s">
        <v>1317</v>
      </c>
      <c r="G428" s="98" t="s">
        <v>1318</v>
      </c>
    </row>
    <row r="429" spans="1:7" ht="15" thickBot="1" x14ac:dyDescent="0.4">
      <c r="A429" s="98">
        <v>2005224754</v>
      </c>
      <c r="B429" s="101" t="s">
        <v>1475</v>
      </c>
      <c r="C429" s="98" t="s">
        <v>337</v>
      </c>
      <c r="D429" s="98" t="s">
        <v>294</v>
      </c>
      <c r="E429" s="98" t="s">
        <v>911</v>
      </c>
      <c r="F429" s="98" t="s">
        <v>1317</v>
      </c>
      <c r="G429" s="98" t="s">
        <v>1318</v>
      </c>
    </row>
    <row r="430" spans="1:7" ht="15" thickBot="1" x14ac:dyDescent="0.4">
      <c r="A430" s="98">
        <v>2005222907</v>
      </c>
      <c r="B430" s="101" t="s">
        <v>2061</v>
      </c>
      <c r="C430" s="98" t="s">
        <v>360</v>
      </c>
      <c r="D430" s="98" t="s">
        <v>294</v>
      </c>
      <c r="E430" s="98" t="s">
        <v>2086</v>
      </c>
      <c r="F430" s="98" t="s">
        <v>1317</v>
      </c>
      <c r="G430" s="98" t="s">
        <v>1318</v>
      </c>
    </row>
    <row r="431" spans="1:7" ht="15" thickBot="1" x14ac:dyDescent="0.4">
      <c r="A431" s="98">
        <v>2005222907</v>
      </c>
      <c r="B431" s="101" t="s">
        <v>2061</v>
      </c>
      <c r="C431" s="98" t="s">
        <v>360</v>
      </c>
      <c r="D431" s="98" t="s">
        <v>294</v>
      </c>
      <c r="E431" s="98" t="s">
        <v>914</v>
      </c>
      <c r="F431" s="98" t="s">
        <v>1317</v>
      </c>
      <c r="G431" s="98" t="s">
        <v>1318</v>
      </c>
    </row>
    <row r="432" spans="1:7" ht="15" thickBot="1" x14ac:dyDescent="0.4">
      <c r="A432" s="98">
        <v>2005222907</v>
      </c>
      <c r="B432" s="101" t="s">
        <v>2061</v>
      </c>
      <c r="C432" s="98" t="s">
        <v>360</v>
      </c>
      <c r="D432" s="98" t="s">
        <v>294</v>
      </c>
      <c r="E432" s="98" t="s">
        <v>915</v>
      </c>
      <c r="F432" s="98" t="s">
        <v>1317</v>
      </c>
      <c r="G432" s="98" t="s">
        <v>1319</v>
      </c>
    </row>
    <row r="433" spans="1:7" ht="15" thickBot="1" x14ac:dyDescent="0.4">
      <c r="A433" s="98">
        <v>2005222907</v>
      </c>
      <c r="B433" s="101" t="s">
        <v>2061</v>
      </c>
      <c r="C433" s="98" t="s">
        <v>360</v>
      </c>
      <c r="D433" s="98" t="s">
        <v>294</v>
      </c>
      <c r="E433" s="98" t="s">
        <v>912</v>
      </c>
      <c r="F433" s="98" t="s">
        <v>1317</v>
      </c>
      <c r="G433" s="98" t="s">
        <v>1318</v>
      </c>
    </row>
    <row r="434" spans="1:7" ht="15" thickBot="1" x14ac:dyDescent="0.4">
      <c r="A434" s="98">
        <v>2022218336</v>
      </c>
      <c r="B434" s="101" t="s">
        <v>1476</v>
      </c>
      <c r="C434" s="98" t="s">
        <v>1477</v>
      </c>
      <c r="D434" s="98" t="s">
        <v>294</v>
      </c>
      <c r="E434" s="98" t="s">
        <v>915</v>
      </c>
      <c r="F434" s="98" t="s">
        <v>1317</v>
      </c>
      <c r="G434" s="98" t="s">
        <v>1319</v>
      </c>
    </row>
    <row r="435" spans="1:7" ht="15" thickBot="1" x14ac:dyDescent="0.4">
      <c r="A435" s="98">
        <v>2022218336</v>
      </c>
      <c r="B435" s="101" t="s">
        <v>1476</v>
      </c>
      <c r="C435" s="98" t="s">
        <v>1477</v>
      </c>
      <c r="D435" s="98" t="s">
        <v>294</v>
      </c>
      <c r="E435" s="98" t="s">
        <v>913</v>
      </c>
      <c r="F435" s="98" t="s">
        <v>1317</v>
      </c>
      <c r="G435" s="98" t="s">
        <v>1318</v>
      </c>
    </row>
    <row r="436" spans="1:7" ht="15" thickBot="1" x14ac:dyDescent="0.4">
      <c r="A436" s="98">
        <v>2022218336</v>
      </c>
      <c r="B436" s="101" t="s">
        <v>1476</v>
      </c>
      <c r="C436" s="98" t="s">
        <v>1477</v>
      </c>
      <c r="D436" s="98" t="s">
        <v>294</v>
      </c>
      <c r="E436" s="98" t="s">
        <v>911</v>
      </c>
      <c r="F436" s="98" t="s">
        <v>1317</v>
      </c>
      <c r="G436" s="98" t="s">
        <v>1318</v>
      </c>
    </row>
    <row r="437" spans="1:7" ht="15" thickBot="1" x14ac:dyDescent="0.4">
      <c r="A437" s="98">
        <v>2005226129</v>
      </c>
      <c r="B437" s="101" t="s">
        <v>1478</v>
      </c>
      <c r="C437" s="98" t="s">
        <v>337</v>
      </c>
      <c r="D437" s="98" t="s">
        <v>294</v>
      </c>
      <c r="E437" s="98" t="s">
        <v>913</v>
      </c>
      <c r="F437" s="98" t="s">
        <v>1317</v>
      </c>
      <c r="G437" s="98" t="s">
        <v>1318</v>
      </c>
    </row>
    <row r="438" spans="1:7" ht="15" thickBot="1" x14ac:dyDescent="0.4">
      <c r="A438" s="98">
        <v>2005226129</v>
      </c>
      <c r="B438" s="101" t="s">
        <v>1478</v>
      </c>
      <c r="C438" s="98" t="s">
        <v>337</v>
      </c>
      <c r="D438" s="98" t="s">
        <v>294</v>
      </c>
      <c r="E438" s="98" t="s">
        <v>911</v>
      </c>
      <c r="F438" s="98" t="s">
        <v>1317</v>
      </c>
      <c r="G438" s="98" t="s">
        <v>1318</v>
      </c>
    </row>
    <row r="439" spans="1:7" ht="15" thickBot="1" x14ac:dyDescent="0.4">
      <c r="A439" s="98">
        <v>2005226129</v>
      </c>
      <c r="B439" s="101" t="s">
        <v>1478</v>
      </c>
      <c r="C439" s="98" t="s">
        <v>337</v>
      </c>
      <c r="D439" s="98" t="s">
        <v>294</v>
      </c>
      <c r="E439" s="98" t="s">
        <v>914</v>
      </c>
      <c r="F439" s="98" t="s">
        <v>1317</v>
      </c>
      <c r="G439" s="98" t="s">
        <v>1318</v>
      </c>
    </row>
    <row r="440" spans="1:7" ht="15" thickBot="1" x14ac:dyDescent="0.4">
      <c r="A440" s="98">
        <v>2005226129</v>
      </c>
      <c r="B440" s="101" t="s">
        <v>1478</v>
      </c>
      <c r="C440" s="98" t="s">
        <v>337</v>
      </c>
      <c r="D440" s="98" t="s">
        <v>294</v>
      </c>
      <c r="E440" s="98" t="s">
        <v>915</v>
      </c>
      <c r="F440" s="98" t="s">
        <v>1317</v>
      </c>
      <c r="G440" s="98" t="s">
        <v>1319</v>
      </c>
    </row>
    <row r="441" spans="1:7" ht="15" thickBot="1" x14ac:dyDescent="0.4">
      <c r="A441" s="98">
        <v>2005218010</v>
      </c>
      <c r="B441" s="101" t="s">
        <v>1479</v>
      </c>
      <c r="C441" s="98" t="s">
        <v>1251</v>
      </c>
      <c r="D441" s="98" t="s">
        <v>294</v>
      </c>
      <c r="E441" s="98" t="s">
        <v>913</v>
      </c>
      <c r="F441" s="98" t="s">
        <v>1317</v>
      </c>
      <c r="G441" s="98" t="s">
        <v>1318</v>
      </c>
    </row>
    <row r="442" spans="1:7" ht="15" thickBot="1" x14ac:dyDescent="0.4">
      <c r="A442" s="98">
        <v>2005218010</v>
      </c>
      <c r="B442" s="101" t="s">
        <v>1479</v>
      </c>
      <c r="C442" s="98" t="s">
        <v>1251</v>
      </c>
      <c r="D442" s="98" t="s">
        <v>294</v>
      </c>
      <c r="E442" s="98" t="s">
        <v>912</v>
      </c>
      <c r="F442" s="98" t="s">
        <v>1317</v>
      </c>
      <c r="G442" s="98" t="s">
        <v>1318</v>
      </c>
    </row>
    <row r="443" spans="1:7" ht="15" thickBot="1" x14ac:dyDescent="0.4">
      <c r="A443" s="98">
        <v>2005218010</v>
      </c>
      <c r="B443" s="101" t="s">
        <v>1479</v>
      </c>
      <c r="C443" s="98" t="s">
        <v>1251</v>
      </c>
      <c r="D443" s="98" t="s">
        <v>294</v>
      </c>
      <c r="E443" s="98" t="s">
        <v>915</v>
      </c>
      <c r="F443" s="98" t="s">
        <v>1323</v>
      </c>
      <c r="G443" s="98" t="s">
        <v>1319</v>
      </c>
    </row>
    <row r="444" spans="1:7" ht="15" thickBot="1" x14ac:dyDescent="0.4">
      <c r="A444" s="98">
        <v>2041214058</v>
      </c>
      <c r="B444" s="101" t="s">
        <v>2051</v>
      </c>
      <c r="C444" s="98" t="s">
        <v>1480</v>
      </c>
      <c r="D444" s="98" t="s">
        <v>294</v>
      </c>
      <c r="E444" s="98" t="s">
        <v>911</v>
      </c>
      <c r="F444" s="98" t="s">
        <v>1317</v>
      </c>
      <c r="G444" s="98" t="s">
        <v>1318</v>
      </c>
    </row>
    <row r="445" spans="1:7" ht="15" thickBot="1" x14ac:dyDescent="0.4">
      <c r="A445" s="98">
        <v>2041214058</v>
      </c>
      <c r="B445" s="101" t="s">
        <v>2051</v>
      </c>
      <c r="C445" s="98" t="s">
        <v>1480</v>
      </c>
      <c r="D445" s="98" t="s">
        <v>294</v>
      </c>
      <c r="E445" s="98" t="s">
        <v>914</v>
      </c>
      <c r="F445" s="98" t="s">
        <v>1317</v>
      </c>
      <c r="G445" s="98" t="s">
        <v>1318</v>
      </c>
    </row>
    <row r="446" spans="1:7" ht="15" thickBot="1" x14ac:dyDescent="0.4">
      <c r="A446" s="98">
        <v>2041214058</v>
      </c>
      <c r="B446" s="101" t="s">
        <v>2051</v>
      </c>
      <c r="C446" s="98" t="s">
        <v>1480</v>
      </c>
      <c r="D446" s="98" t="s">
        <v>294</v>
      </c>
      <c r="E446" s="98" t="s">
        <v>912</v>
      </c>
      <c r="F446" s="98" t="s">
        <v>1317</v>
      </c>
      <c r="G446" s="98" t="s">
        <v>1318</v>
      </c>
    </row>
    <row r="447" spans="1:7" ht="15" thickBot="1" x14ac:dyDescent="0.4">
      <c r="A447" s="98">
        <v>2005222868</v>
      </c>
      <c r="B447" s="101" t="s">
        <v>1481</v>
      </c>
      <c r="C447" s="98" t="s">
        <v>360</v>
      </c>
      <c r="D447" s="98" t="s">
        <v>294</v>
      </c>
      <c r="E447" s="98" t="s">
        <v>2086</v>
      </c>
      <c r="F447" s="98" t="s">
        <v>1317</v>
      </c>
      <c r="G447" s="98" t="s">
        <v>1318</v>
      </c>
    </row>
    <row r="448" spans="1:7" ht="15" thickBot="1" x14ac:dyDescent="0.4">
      <c r="A448" s="98">
        <v>2005222868</v>
      </c>
      <c r="B448" s="101" t="s">
        <v>1481</v>
      </c>
      <c r="C448" s="98" t="s">
        <v>360</v>
      </c>
      <c r="D448" s="98" t="s">
        <v>294</v>
      </c>
      <c r="E448" s="98" t="s">
        <v>911</v>
      </c>
      <c r="F448" s="98" t="s">
        <v>1317</v>
      </c>
      <c r="G448" s="98" t="s">
        <v>1318</v>
      </c>
    </row>
    <row r="449" spans="1:7" ht="15" thickBot="1" x14ac:dyDescent="0.4">
      <c r="A449" s="98">
        <v>2005222868</v>
      </c>
      <c r="B449" s="101" t="s">
        <v>1481</v>
      </c>
      <c r="C449" s="98" t="s">
        <v>360</v>
      </c>
      <c r="D449" s="98" t="s">
        <v>294</v>
      </c>
      <c r="E449" s="98" t="s">
        <v>915</v>
      </c>
      <c r="F449" s="98" t="s">
        <v>1323</v>
      </c>
      <c r="G449" s="98" t="s">
        <v>1319</v>
      </c>
    </row>
    <row r="450" spans="1:7" ht="15" thickBot="1" x14ac:dyDescent="0.4">
      <c r="A450" s="98">
        <v>2041210260</v>
      </c>
      <c r="B450" s="101" t="s">
        <v>1482</v>
      </c>
      <c r="C450" s="98" t="s">
        <v>1483</v>
      </c>
      <c r="D450" s="98" t="s">
        <v>294</v>
      </c>
      <c r="E450" s="98" t="s">
        <v>911</v>
      </c>
      <c r="F450" s="98" t="s">
        <v>1317</v>
      </c>
      <c r="G450" s="98" t="s">
        <v>1318</v>
      </c>
    </row>
    <row r="451" spans="1:7" ht="15" thickBot="1" x14ac:dyDescent="0.4">
      <c r="A451" s="98">
        <v>2041210260</v>
      </c>
      <c r="B451" s="101" t="s">
        <v>1482</v>
      </c>
      <c r="C451" s="98" t="s">
        <v>1483</v>
      </c>
      <c r="D451" s="98" t="s">
        <v>294</v>
      </c>
      <c r="E451" s="98" t="s">
        <v>912</v>
      </c>
      <c r="F451" s="98" t="s">
        <v>1317</v>
      </c>
      <c r="G451" s="98" t="s">
        <v>1318</v>
      </c>
    </row>
    <row r="452" spans="1:7" ht="15" thickBot="1" x14ac:dyDescent="0.4">
      <c r="A452" s="98">
        <v>2041210260</v>
      </c>
      <c r="B452" s="101" t="s">
        <v>1482</v>
      </c>
      <c r="C452" s="98" t="s">
        <v>1483</v>
      </c>
      <c r="D452" s="98" t="s">
        <v>294</v>
      </c>
      <c r="E452" s="98" t="s">
        <v>915</v>
      </c>
      <c r="F452" s="98" t="s">
        <v>1317</v>
      </c>
      <c r="G452" s="98" t="s">
        <v>1319</v>
      </c>
    </row>
    <row r="453" spans="1:7" ht="15" thickBot="1" x14ac:dyDescent="0.4">
      <c r="A453" s="98">
        <v>2022218183</v>
      </c>
      <c r="B453" s="101" t="s">
        <v>2049</v>
      </c>
      <c r="C453" s="98" t="s">
        <v>1484</v>
      </c>
      <c r="D453" s="98" t="s">
        <v>294</v>
      </c>
      <c r="E453" s="98" t="s">
        <v>1342</v>
      </c>
      <c r="F453" s="98" t="s">
        <v>1317</v>
      </c>
      <c r="G453" s="98" t="s">
        <v>1318</v>
      </c>
    </row>
    <row r="454" spans="1:7" ht="15" thickBot="1" x14ac:dyDescent="0.4">
      <c r="A454" s="98">
        <v>2005210184</v>
      </c>
      <c r="B454" s="101" t="s">
        <v>1485</v>
      </c>
      <c r="C454" s="98" t="s">
        <v>1265</v>
      </c>
      <c r="D454" s="98" t="s">
        <v>294</v>
      </c>
      <c r="E454" s="98" t="s">
        <v>913</v>
      </c>
      <c r="F454" s="98" t="s">
        <v>1317</v>
      </c>
      <c r="G454" s="98" t="s">
        <v>1318</v>
      </c>
    </row>
    <row r="455" spans="1:7" ht="15" thickBot="1" x14ac:dyDescent="0.4">
      <c r="A455" s="98">
        <v>2005210184</v>
      </c>
      <c r="B455" s="101" t="s">
        <v>1485</v>
      </c>
      <c r="C455" s="98" t="s">
        <v>1265</v>
      </c>
      <c r="D455" s="98" t="s">
        <v>294</v>
      </c>
      <c r="E455" s="98" t="s">
        <v>912</v>
      </c>
      <c r="F455" s="98" t="s">
        <v>1317</v>
      </c>
      <c r="G455" s="98" t="s">
        <v>1318</v>
      </c>
    </row>
    <row r="456" spans="1:7" ht="15" thickBot="1" x14ac:dyDescent="0.4">
      <c r="A456" s="98">
        <v>2005210184</v>
      </c>
      <c r="B456" s="101" t="s">
        <v>1485</v>
      </c>
      <c r="C456" s="98" t="s">
        <v>1265</v>
      </c>
      <c r="D456" s="98" t="s">
        <v>294</v>
      </c>
      <c r="E456" s="98" t="s">
        <v>916</v>
      </c>
      <c r="F456" s="98" t="s">
        <v>1323</v>
      </c>
      <c r="G456" s="98" t="s">
        <v>1319</v>
      </c>
    </row>
    <row r="457" spans="1:7" ht="15" thickBot="1" x14ac:dyDescent="0.4">
      <c r="A457" s="98">
        <v>2005191538</v>
      </c>
      <c r="B457" s="101" t="s">
        <v>1486</v>
      </c>
      <c r="C457" s="98" t="s">
        <v>83</v>
      </c>
      <c r="D457" s="98" t="s">
        <v>294</v>
      </c>
      <c r="E457" s="98" t="s">
        <v>912</v>
      </c>
      <c r="F457" s="98" t="s">
        <v>1317</v>
      </c>
      <c r="G457" s="98" t="s">
        <v>1318</v>
      </c>
    </row>
    <row r="458" spans="1:7" ht="15" thickBot="1" x14ac:dyDescent="0.4">
      <c r="A458" s="98">
        <v>2005191538</v>
      </c>
      <c r="B458" s="101" t="s">
        <v>1486</v>
      </c>
      <c r="C458" s="98" t="s">
        <v>83</v>
      </c>
      <c r="D458" s="98" t="s">
        <v>294</v>
      </c>
      <c r="E458" s="98" t="s">
        <v>911</v>
      </c>
      <c r="F458" s="98" t="s">
        <v>1317</v>
      </c>
      <c r="G458" s="98" t="s">
        <v>1318</v>
      </c>
    </row>
    <row r="459" spans="1:7" ht="15" thickBot="1" x14ac:dyDescent="0.4">
      <c r="A459" s="98">
        <v>2005191538</v>
      </c>
      <c r="B459" s="101" t="s">
        <v>1486</v>
      </c>
      <c r="C459" s="98" t="s">
        <v>83</v>
      </c>
      <c r="D459" s="98" t="s">
        <v>294</v>
      </c>
      <c r="E459" s="98" t="s">
        <v>1342</v>
      </c>
      <c r="F459" s="98" t="s">
        <v>1317</v>
      </c>
      <c r="G459" s="98" t="s">
        <v>1318</v>
      </c>
    </row>
    <row r="460" spans="1:7" ht="15" thickBot="1" x14ac:dyDescent="0.4">
      <c r="A460" s="98">
        <v>2005222704</v>
      </c>
      <c r="B460" s="101" t="s">
        <v>1487</v>
      </c>
      <c r="C460" s="98" t="s">
        <v>360</v>
      </c>
      <c r="D460" s="98" t="s">
        <v>294</v>
      </c>
      <c r="E460" s="98" t="s">
        <v>911</v>
      </c>
      <c r="F460" s="98" t="s">
        <v>1317</v>
      </c>
      <c r="G460" s="98" t="s">
        <v>1318</v>
      </c>
    </row>
    <row r="461" spans="1:7" ht="15" thickBot="1" x14ac:dyDescent="0.4">
      <c r="A461" s="98">
        <v>2005222704</v>
      </c>
      <c r="B461" s="101" t="s">
        <v>1487</v>
      </c>
      <c r="C461" s="98" t="s">
        <v>360</v>
      </c>
      <c r="D461" s="98" t="s">
        <v>294</v>
      </c>
      <c r="E461" s="98" t="s">
        <v>2086</v>
      </c>
      <c r="F461" s="98" t="s">
        <v>1317</v>
      </c>
      <c r="G461" s="98" t="s">
        <v>1318</v>
      </c>
    </row>
    <row r="462" spans="1:7" ht="15" thickBot="1" x14ac:dyDescent="0.4">
      <c r="A462" s="98">
        <v>2005222704</v>
      </c>
      <c r="B462" s="101" t="s">
        <v>1487</v>
      </c>
      <c r="C462" s="98" t="s">
        <v>360</v>
      </c>
      <c r="D462" s="98" t="s">
        <v>294</v>
      </c>
      <c r="E462" s="98" t="s">
        <v>912</v>
      </c>
      <c r="F462" s="98" t="s">
        <v>1317</v>
      </c>
      <c r="G462" s="98" t="s">
        <v>1318</v>
      </c>
    </row>
    <row r="463" spans="1:7" ht="15" thickBot="1" x14ac:dyDescent="0.4">
      <c r="A463" s="98">
        <v>2022230023</v>
      </c>
      <c r="B463" s="101" t="s">
        <v>1488</v>
      </c>
      <c r="C463" s="98" t="s">
        <v>1489</v>
      </c>
      <c r="D463" s="98" t="s">
        <v>294</v>
      </c>
      <c r="E463" s="98" t="s">
        <v>1406</v>
      </c>
      <c r="F463" s="98" t="s">
        <v>1317</v>
      </c>
      <c r="G463" s="98" t="s">
        <v>1318</v>
      </c>
    </row>
    <row r="464" spans="1:7" ht="15" thickBot="1" x14ac:dyDescent="0.4">
      <c r="A464" s="98">
        <v>2022230023</v>
      </c>
      <c r="B464" s="101" t="s">
        <v>1490</v>
      </c>
      <c r="C464" s="98" t="s">
        <v>1489</v>
      </c>
      <c r="D464" s="98" t="s">
        <v>294</v>
      </c>
      <c r="E464" s="98" t="s">
        <v>1395</v>
      </c>
      <c r="F464" s="98" t="s">
        <v>1317</v>
      </c>
      <c r="G464" s="98" t="s">
        <v>1318</v>
      </c>
    </row>
    <row r="465" spans="1:7" ht="15" thickBot="1" x14ac:dyDescent="0.4">
      <c r="A465" s="98">
        <v>2041210181</v>
      </c>
      <c r="B465" s="101" t="s">
        <v>1491</v>
      </c>
      <c r="C465" s="98" t="s">
        <v>319</v>
      </c>
      <c r="D465" s="98" t="s">
        <v>294</v>
      </c>
      <c r="E465" s="98" t="s">
        <v>913</v>
      </c>
      <c r="F465" s="98" t="s">
        <v>1317</v>
      </c>
      <c r="G465" s="98" t="s">
        <v>1318</v>
      </c>
    </row>
    <row r="466" spans="1:7" ht="15" thickBot="1" x14ac:dyDescent="0.4">
      <c r="A466" s="98">
        <v>2041210181</v>
      </c>
      <c r="B466" s="101" t="s">
        <v>1491</v>
      </c>
      <c r="C466" s="98" t="s">
        <v>319</v>
      </c>
      <c r="D466" s="98" t="s">
        <v>294</v>
      </c>
      <c r="E466" s="98" t="s">
        <v>912</v>
      </c>
      <c r="F466" s="98" t="s">
        <v>1317</v>
      </c>
      <c r="G466" s="98" t="s">
        <v>1318</v>
      </c>
    </row>
    <row r="467" spans="1:7" ht="15" thickBot="1" x14ac:dyDescent="0.4">
      <c r="A467" s="98">
        <v>2041210181</v>
      </c>
      <c r="B467" s="101" t="s">
        <v>1491</v>
      </c>
      <c r="C467" s="98" t="s">
        <v>1492</v>
      </c>
      <c r="D467" s="98" t="s">
        <v>294</v>
      </c>
      <c r="E467" s="98" t="s">
        <v>915</v>
      </c>
      <c r="F467" s="98" t="s">
        <v>1317</v>
      </c>
      <c r="G467" s="98" t="s">
        <v>1319</v>
      </c>
    </row>
    <row r="468" spans="1:7" ht="15" thickBot="1" x14ac:dyDescent="0.4">
      <c r="A468" s="98">
        <v>2005225319</v>
      </c>
      <c r="B468" s="101" t="s">
        <v>1493</v>
      </c>
      <c r="C468" s="98" t="s">
        <v>360</v>
      </c>
      <c r="D468" s="98" t="s">
        <v>294</v>
      </c>
      <c r="E468" s="98" t="s">
        <v>1395</v>
      </c>
      <c r="F468" s="98" t="s">
        <v>1317</v>
      </c>
      <c r="G468" s="98" t="s">
        <v>1318</v>
      </c>
    </row>
    <row r="469" spans="1:7" ht="15" thickBot="1" x14ac:dyDescent="0.4">
      <c r="A469" s="98">
        <v>2005225319</v>
      </c>
      <c r="B469" s="101" t="s">
        <v>1493</v>
      </c>
      <c r="C469" s="98" t="s">
        <v>360</v>
      </c>
      <c r="D469" s="98" t="s">
        <v>294</v>
      </c>
      <c r="E469" s="98" t="s">
        <v>912</v>
      </c>
      <c r="F469" s="98" t="s">
        <v>1317</v>
      </c>
      <c r="G469" s="98" t="s">
        <v>1318</v>
      </c>
    </row>
    <row r="470" spans="1:7" ht="15" thickBot="1" x14ac:dyDescent="0.4">
      <c r="A470" s="98">
        <v>2005225319</v>
      </c>
      <c r="B470" s="101" t="s">
        <v>1493</v>
      </c>
      <c r="C470" s="98" t="s">
        <v>360</v>
      </c>
      <c r="D470" s="98" t="s">
        <v>294</v>
      </c>
      <c r="E470" s="98" t="s">
        <v>915</v>
      </c>
      <c r="F470" s="98" t="s">
        <v>1317</v>
      </c>
      <c r="G470" s="98" t="s">
        <v>1319</v>
      </c>
    </row>
    <row r="471" spans="1:7" ht="15" thickBot="1" x14ac:dyDescent="0.4">
      <c r="A471" s="98">
        <v>2005225319</v>
      </c>
      <c r="B471" s="101" t="s">
        <v>1493</v>
      </c>
      <c r="C471" s="98" t="s">
        <v>360</v>
      </c>
      <c r="D471" s="98" t="s">
        <v>294</v>
      </c>
      <c r="E471" s="98" t="s">
        <v>1342</v>
      </c>
      <c r="F471" s="98" t="s">
        <v>1317</v>
      </c>
      <c r="G471" s="98" t="s">
        <v>1318</v>
      </c>
    </row>
    <row r="472" spans="1:7" ht="15" thickBot="1" x14ac:dyDescent="0.4">
      <c r="A472" s="98">
        <v>2005223226</v>
      </c>
      <c r="B472" s="101" t="s">
        <v>1494</v>
      </c>
      <c r="C472" s="98" t="s">
        <v>360</v>
      </c>
      <c r="D472" s="98" t="s">
        <v>294</v>
      </c>
      <c r="E472" s="98" t="s">
        <v>1395</v>
      </c>
      <c r="F472" s="98" t="s">
        <v>1317</v>
      </c>
      <c r="G472" s="98" t="s">
        <v>1318</v>
      </c>
    </row>
    <row r="473" spans="1:7" ht="15" thickBot="1" x14ac:dyDescent="0.4">
      <c r="A473" s="98">
        <v>2005223226</v>
      </c>
      <c r="B473" s="101" t="s">
        <v>1494</v>
      </c>
      <c r="C473" s="98" t="s">
        <v>360</v>
      </c>
      <c r="D473" s="98" t="s">
        <v>294</v>
      </c>
      <c r="E473" s="98" t="s">
        <v>912</v>
      </c>
      <c r="F473" s="98" t="s">
        <v>1317</v>
      </c>
      <c r="G473" s="98" t="s">
        <v>1318</v>
      </c>
    </row>
    <row r="474" spans="1:7" ht="15" thickBot="1" x14ac:dyDescent="0.4">
      <c r="A474" s="98">
        <v>2005223226</v>
      </c>
      <c r="B474" s="101" t="s">
        <v>1494</v>
      </c>
      <c r="C474" s="98" t="s">
        <v>360</v>
      </c>
      <c r="D474" s="98" t="s">
        <v>294</v>
      </c>
      <c r="E474" s="98" t="s">
        <v>911</v>
      </c>
      <c r="F474" s="98" t="s">
        <v>1317</v>
      </c>
      <c r="G474" s="98" t="s">
        <v>1318</v>
      </c>
    </row>
    <row r="475" spans="1:7" ht="15" thickBot="1" x14ac:dyDescent="0.4">
      <c r="A475" s="98">
        <v>2005220725</v>
      </c>
      <c r="B475" s="101" t="s">
        <v>313</v>
      </c>
      <c r="C475" s="98" t="s">
        <v>360</v>
      </c>
      <c r="D475" s="98" t="s">
        <v>294</v>
      </c>
      <c r="E475" s="98" t="s">
        <v>2086</v>
      </c>
      <c r="F475" s="98" t="s">
        <v>1317</v>
      </c>
      <c r="G475" s="98" t="s">
        <v>1318</v>
      </c>
    </row>
    <row r="476" spans="1:7" ht="15" thickBot="1" x14ac:dyDescent="0.4">
      <c r="A476" s="98">
        <v>2005220725</v>
      </c>
      <c r="B476" s="101" t="s">
        <v>313</v>
      </c>
      <c r="C476" s="98" t="s">
        <v>360</v>
      </c>
      <c r="D476" s="98" t="s">
        <v>294</v>
      </c>
      <c r="E476" s="98" t="s">
        <v>912</v>
      </c>
      <c r="F476" s="98" t="s">
        <v>1317</v>
      </c>
      <c r="G476" s="98" t="s">
        <v>1318</v>
      </c>
    </row>
    <row r="477" spans="1:7" ht="15" thickBot="1" x14ac:dyDescent="0.4">
      <c r="A477" s="98">
        <v>2005220725</v>
      </c>
      <c r="B477" s="101" t="s">
        <v>313</v>
      </c>
      <c r="C477" s="98" t="s">
        <v>360</v>
      </c>
      <c r="D477" s="98" t="s">
        <v>294</v>
      </c>
      <c r="E477" s="98" t="s">
        <v>913</v>
      </c>
      <c r="F477" s="98" t="s">
        <v>1317</v>
      </c>
      <c r="G477" s="98" t="s">
        <v>1318</v>
      </c>
    </row>
    <row r="478" spans="1:7" ht="15" thickBot="1" x14ac:dyDescent="0.4">
      <c r="A478" s="98">
        <v>2041222339</v>
      </c>
      <c r="B478" s="101" t="s">
        <v>1582</v>
      </c>
      <c r="C478" s="98" t="s">
        <v>444</v>
      </c>
      <c r="D478" s="98" t="s">
        <v>294</v>
      </c>
      <c r="E478" s="98" t="s">
        <v>912</v>
      </c>
      <c r="F478" s="98" t="s">
        <v>1317</v>
      </c>
      <c r="G478" s="98" t="s">
        <v>1318</v>
      </c>
    </row>
    <row r="479" spans="1:7" ht="15" thickBot="1" x14ac:dyDescent="0.4">
      <c r="A479" s="98">
        <v>2005224653</v>
      </c>
      <c r="B479" s="101" t="s">
        <v>1495</v>
      </c>
      <c r="C479" s="98" t="s">
        <v>337</v>
      </c>
      <c r="D479" s="98" t="s">
        <v>294</v>
      </c>
      <c r="E479" s="98" t="s">
        <v>914</v>
      </c>
      <c r="F479" s="98" t="s">
        <v>1317</v>
      </c>
      <c r="G479" s="98" t="s">
        <v>1318</v>
      </c>
    </row>
    <row r="480" spans="1:7" ht="15" thickBot="1" x14ac:dyDescent="0.4">
      <c r="A480" s="98">
        <v>2005224616</v>
      </c>
      <c r="B480" s="101" t="s">
        <v>1496</v>
      </c>
      <c r="C480" s="98" t="s">
        <v>337</v>
      </c>
      <c r="D480" s="98" t="s">
        <v>294</v>
      </c>
      <c r="E480" s="98" t="s">
        <v>912</v>
      </c>
      <c r="F480" s="98" t="s">
        <v>1317</v>
      </c>
      <c r="G480" s="98" t="s">
        <v>1318</v>
      </c>
    </row>
    <row r="481" spans="1:7" ht="15" thickBot="1" x14ac:dyDescent="0.4">
      <c r="A481" s="98">
        <v>2005224616</v>
      </c>
      <c r="B481" s="101" t="s">
        <v>1496</v>
      </c>
      <c r="C481" s="98" t="s">
        <v>337</v>
      </c>
      <c r="D481" s="98" t="s">
        <v>294</v>
      </c>
      <c r="E481" s="98" t="s">
        <v>913</v>
      </c>
      <c r="F481" s="98" t="s">
        <v>1317</v>
      </c>
      <c r="G481" s="98" t="s">
        <v>1318</v>
      </c>
    </row>
    <row r="482" spans="1:7" ht="15" thickBot="1" x14ac:dyDescent="0.4">
      <c r="A482" s="98">
        <v>2005224616</v>
      </c>
      <c r="B482" s="101" t="s">
        <v>1496</v>
      </c>
      <c r="C482" s="98" t="s">
        <v>337</v>
      </c>
      <c r="D482" s="98" t="s">
        <v>294</v>
      </c>
      <c r="E482" s="98" t="s">
        <v>915</v>
      </c>
      <c r="F482" s="98" t="s">
        <v>1317</v>
      </c>
      <c r="G482" s="98" t="s">
        <v>1319</v>
      </c>
    </row>
    <row r="483" spans="1:7" ht="15" thickBot="1" x14ac:dyDescent="0.4">
      <c r="A483" s="98">
        <v>2005223067</v>
      </c>
      <c r="B483" s="101" t="s">
        <v>1497</v>
      </c>
      <c r="C483" s="98" t="s">
        <v>360</v>
      </c>
      <c r="D483" s="98" t="s">
        <v>294</v>
      </c>
      <c r="E483" s="98" t="s">
        <v>913</v>
      </c>
      <c r="F483" s="98" t="s">
        <v>1317</v>
      </c>
      <c r="G483" s="98" t="s">
        <v>1318</v>
      </c>
    </row>
    <row r="484" spans="1:7" ht="15" thickBot="1" x14ac:dyDescent="0.4">
      <c r="A484" s="98">
        <v>2005223067</v>
      </c>
      <c r="B484" s="101" t="s">
        <v>1497</v>
      </c>
      <c r="C484" s="98" t="s">
        <v>360</v>
      </c>
      <c r="D484" s="98" t="s">
        <v>294</v>
      </c>
      <c r="E484" s="98" t="s">
        <v>913</v>
      </c>
      <c r="F484" s="98" t="s">
        <v>1317</v>
      </c>
      <c r="G484" s="98" t="s">
        <v>1318</v>
      </c>
    </row>
    <row r="485" spans="1:7" ht="15" thickBot="1" x14ac:dyDescent="0.4">
      <c r="A485" s="98">
        <v>2005223067</v>
      </c>
      <c r="B485" s="101" t="s">
        <v>1497</v>
      </c>
      <c r="C485" s="98" t="s">
        <v>360</v>
      </c>
      <c r="D485" s="98" t="s">
        <v>294</v>
      </c>
      <c r="E485" s="98" t="s">
        <v>916</v>
      </c>
      <c r="F485" s="98" t="s">
        <v>1323</v>
      </c>
      <c r="G485" s="98" t="s">
        <v>1319</v>
      </c>
    </row>
    <row r="486" spans="1:7" ht="15" thickBot="1" x14ac:dyDescent="0.4">
      <c r="A486" s="98">
        <v>2005223067</v>
      </c>
      <c r="B486" s="101" t="s">
        <v>1497</v>
      </c>
      <c r="C486" s="98" t="s">
        <v>360</v>
      </c>
      <c r="D486" s="98" t="s">
        <v>294</v>
      </c>
      <c r="E486" s="98" t="s">
        <v>911</v>
      </c>
      <c r="F486" s="98" t="s">
        <v>1317</v>
      </c>
      <c r="G486" s="98" t="s">
        <v>1318</v>
      </c>
    </row>
    <row r="487" spans="1:7" ht="15" thickBot="1" x14ac:dyDescent="0.4">
      <c r="A487" s="98">
        <v>2005224677</v>
      </c>
      <c r="B487" s="101" t="s">
        <v>1498</v>
      </c>
      <c r="C487" s="98" t="s">
        <v>337</v>
      </c>
      <c r="D487" s="98" t="s">
        <v>294</v>
      </c>
      <c r="E487" s="98" t="s">
        <v>912</v>
      </c>
      <c r="F487" s="98" t="s">
        <v>1317</v>
      </c>
      <c r="G487" s="98" t="s">
        <v>1318</v>
      </c>
    </row>
    <row r="488" spans="1:7" ht="15" thickBot="1" x14ac:dyDescent="0.4">
      <c r="A488" s="98">
        <v>2005224677</v>
      </c>
      <c r="B488" s="101" t="s">
        <v>1498</v>
      </c>
      <c r="C488" s="98" t="s">
        <v>337</v>
      </c>
      <c r="D488" s="98" t="s">
        <v>294</v>
      </c>
      <c r="E488" s="98" t="s">
        <v>913</v>
      </c>
      <c r="F488" s="98" t="s">
        <v>1317</v>
      </c>
      <c r="G488" s="98" t="s">
        <v>1318</v>
      </c>
    </row>
    <row r="489" spans="1:7" ht="15" thickBot="1" x14ac:dyDescent="0.4">
      <c r="A489" s="98">
        <v>2005224677</v>
      </c>
      <c r="B489" s="101" t="s">
        <v>1498</v>
      </c>
      <c r="C489" s="98" t="s">
        <v>337</v>
      </c>
      <c r="D489" s="98" t="s">
        <v>294</v>
      </c>
      <c r="E489" s="98" t="s">
        <v>911</v>
      </c>
      <c r="F489" s="98" t="s">
        <v>1317</v>
      </c>
      <c r="G489" s="98" t="s">
        <v>1318</v>
      </c>
    </row>
    <row r="490" spans="1:7" ht="15" thickBot="1" x14ac:dyDescent="0.4">
      <c r="A490" s="98">
        <v>2005221145</v>
      </c>
      <c r="B490" s="101" t="s">
        <v>2056</v>
      </c>
      <c r="C490" s="98" t="s">
        <v>360</v>
      </c>
      <c r="D490" s="98" t="s">
        <v>294</v>
      </c>
      <c r="E490" s="98" t="s">
        <v>1406</v>
      </c>
      <c r="F490" s="98" t="s">
        <v>1323</v>
      </c>
      <c r="G490" s="98" t="s">
        <v>1318</v>
      </c>
    </row>
    <row r="491" spans="1:7" ht="15" thickBot="1" x14ac:dyDescent="0.4">
      <c r="A491" s="98">
        <v>2005221145</v>
      </c>
      <c r="B491" s="101" t="s">
        <v>2056</v>
      </c>
      <c r="C491" s="98" t="s">
        <v>360</v>
      </c>
      <c r="D491" s="98" t="s">
        <v>294</v>
      </c>
      <c r="E491" s="98" t="s">
        <v>1395</v>
      </c>
      <c r="F491" s="98" t="s">
        <v>1323</v>
      </c>
      <c r="G491" s="98" t="s">
        <v>1318</v>
      </c>
    </row>
    <row r="492" spans="1:7" ht="15" thickBot="1" x14ac:dyDescent="0.4">
      <c r="A492" s="98">
        <v>2005221145</v>
      </c>
      <c r="B492" s="101" t="s">
        <v>2056</v>
      </c>
      <c r="C492" s="98" t="s">
        <v>360</v>
      </c>
      <c r="D492" s="98" t="s">
        <v>294</v>
      </c>
      <c r="E492" s="98" t="s">
        <v>1406</v>
      </c>
      <c r="F492" s="98" t="s">
        <v>1323</v>
      </c>
      <c r="G492" s="98" t="s">
        <v>1318</v>
      </c>
    </row>
    <row r="493" spans="1:7" ht="15" thickBot="1" x14ac:dyDescent="0.4">
      <c r="A493" s="98">
        <v>2005221145</v>
      </c>
      <c r="B493" s="101" t="s">
        <v>2056</v>
      </c>
      <c r="C493" s="98" t="s">
        <v>360</v>
      </c>
      <c r="D493" s="98" t="s">
        <v>294</v>
      </c>
      <c r="E493" s="98" t="s">
        <v>914</v>
      </c>
      <c r="F493" s="98" t="s">
        <v>1317</v>
      </c>
      <c r="G493" s="98" t="s">
        <v>1318</v>
      </c>
    </row>
    <row r="494" spans="1:7" ht="15" thickBot="1" x14ac:dyDescent="0.4">
      <c r="A494" s="98">
        <v>2005224152</v>
      </c>
      <c r="B494" s="101" t="s">
        <v>1499</v>
      </c>
      <c r="C494" s="98" t="s">
        <v>360</v>
      </c>
      <c r="D494" s="98" t="s">
        <v>294</v>
      </c>
      <c r="E494" s="98" t="s">
        <v>911</v>
      </c>
      <c r="F494" s="98" t="s">
        <v>1317</v>
      </c>
      <c r="G494" s="98" t="s">
        <v>1318</v>
      </c>
    </row>
    <row r="495" spans="1:7" ht="15" thickBot="1" x14ac:dyDescent="0.4">
      <c r="A495" s="98">
        <v>2005224152</v>
      </c>
      <c r="B495" s="101" t="s">
        <v>1499</v>
      </c>
      <c r="C495" s="98" t="s">
        <v>360</v>
      </c>
      <c r="D495" s="98" t="s">
        <v>294</v>
      </c>
      <c r="E495" s="98" t="s">
        <v>913</v>
      </c>
      <c r="F495" s="98" t="s">
        <v>1317</v>
      </c>
      <c r="G495" s="98" t="s">
        <v>1318</v>
      </c>
    </row>
    <row r="496" spans="1:7" ht="15" thickBot="1" x14ac:dyDescent="0.4">
      <c r="A496" s="98">
        <v>2041214113</v>
      </c>
      <c r="B496" s="101" t="s">
        <v>1500</v>
      </c>
      <c r="C496" s="98" t="s">
        <v>319</v>
      </c>
      <c r="D496" s="98" t="s">
        <v>294</v>
      </c>
      <c r="E496" s="98" t="s">
        <v>915</v>
      </c>
      <c r="F496" s="98" t="s">
        <v>1323</v>
      </c>
      <c r="G496" s="98" t="s">
        <v>1319</v>
      </c>
    </row>
    <row r="497" spans="1:7" ht="15" thickBot="1" x14ac:dyDescent="0.4">
      <c r="A497" s="98">
        <v>2022218340</v>
      </c>
      <c r="B497" s="101" t="s">
        <v>1348</v>
      </c>
      <c r="C497" s="98" t="s">
        <v>302</v>
      </c>
      <c r="D497" s="98" t="s">
        <v>294</v>
      </c>
      <c r="E497" s="98" t="s">
        <v>912</v>
      </c>
      <c r="F497" s="98" t="s">
        <v>1317</v>
      </c>
      <c r="G497" s="98" t="s">
        <v>1318</v>
      </c>
    </row>
    <row r="498" spans="1:7" ht="15" thickBot="1" x14ac:dyDescent="0.4">
      <c r="A498" s="98">
        <v>2022218340</v>
      </c>
      <c r="B498" s="101" t="s">
        <v>1348</v>
      </c>
      <c r="C498" s="98" t="s">
        <v>302</v>
      </c>
      <c r="D498" s="98" t="s">
        <v>294</v>
      </c>
      <c r="E498" s="98" t="s">
        <v>912</v>
      </c>
      <c r="F498" s="98" t="s">
        <v>1317</v>
      </c>
      <c r="G498" s="98" t="s">
        <v>1318</v>
      </c>
    </row>
    <row r="499" spans="1:7" ht="15" thickBot="1" x14ac:dyDescent="0.4">
      <c r="A499" s="98">
        <v>2022218340</v>
      </c>
      <c r="B499" s="101" t="s">
        <v>1348</v>
      </c>
      <c r="C499" s="98" t="s">
        <v>302</v>
      </c>
      <c r="D499" s="98" t="s">
        <v>294</v>
      </c>
      <c r="E499" s="98" t="s">
        <v>911</v>
      </c>
      <c r="F499" s="98" t="s">
        <v>1317</v>
      </c>
      <c r="G499" s="98" t="s">
        <v>1318</v>
      </c>
    </row>
    <row r="500" spans="1:7" ht="15" thickBot="1" x14ac:dyDescent="0.4">
      <c r="A500" s="98">
        <v>2005230399</v>
      </c>
      <c r="B500" s="101" t="s">
        <v>1501</v>
      </c>
      <c r="C500" s="98" t="s">
        <v>1502</v>
      </c>
      <c r="D500" s="98" t="s">
        <v>294</v>
      </c>
      <c r="E500" s="98" t="s">
        <v>1406</v>
      </c>
      <c r="F500" s="98" t="s">
        <v>1317</v>
      </c>
      <c r="G500" s="98" t="s">
        <v>1318</v>
      </c>
    </row>
    <row r="501" spans="1:7" ht="15" thickBot="1" x14ac:dyDescent="0.4">
      <c r="A501" s="98">
        <v>2005202114</v>
      </c>
      <c r="B501" s="101" t="s">
        <v>1503</v>
      </c>
      <c r="C501" s="98" t="s">
        <v>13</v>
      </c>
      <c r="D501" s="98" t="s">
        <v>294</v>
      </c>
      <c r="E501" s="98" t="s">
        <v>911</v>
      </c>
      <c r="F501" s="98" t="s">
        <v>1317</v>
      </c>
      <c r="G501" s="98" t="s">
        <v>1318</v>
      </c>
    </row>
    <row r="502" spans="1:7" ht="15" thickBot="1" x14ac:dyDescent="0.4">
      <c r="A502" s="98">
        <v>2005202114</v>
      </c>
      <c r="B502" s="101" t="s">
        <v>1503</v>
      </c>
      <c r="C502" s="98" t="s">
        <v>13</v>
      </c>
      <c r="D502" s="98" t="s">
        <v>294</v>
      </c>
      <c r="E502" s="98" t="s">
        <v>912</v>
      </c>
      <c r="F502" s="98" t="s">
        <v>1317</v>
      </c>
      <c r="G502" s="98" t="s">
        <v>1318</v>
      </c>
    </row>
    <row r="503" spans="1:7" ht="15" thickBot="1" x14ac:dyDescent="0.4">
      <c r="A503" s="98">
        <v>2005202114</v>
      </c>
      <c r="B503" s="101" t="s">
        <v>1503</v>
      </c>
      <c r="C503" s="98" t="s">
        <v>13</v>
      </c>
      <c r="D503" s="98" t="s">
        <v>294</v>
      </c>
      <c r="E503" s="98" t="s">
        <v>912</v>
      </c>
      <c r="F503" s="98" t="s">
        <v>1317</v>
      </c>
      <c r="G503" s="98" t="s">
        <v>1319</v>
      </c>
    </row>
    <row r="504" spans="1:7" ht="15" thickBot="1" x14ac:dyDescent="0.4">
      <c r="A504" s="98">
        <v>2005223603</v>
      </c>
      <c r="B504" s="101" t="s">
        <v>1503</v>
      </c>
      <c r="C504" s="98" t="s">
        <v>360</v>
      </c>
      <c r="D504" s="98" t="s">
        <v>294</v>
      </c>
      <c r="E504" s="98" t="s">
        <v>1395</v>
      </c>
      <c r="F504" s="98" t="s">
        <v>1317</v>
      </c>
      <c r="G504" s="98" t="s">
        <v>1318</v>
      </c>
    </row>
    <row r="505" spans="1:7" ht="15" thickBot="1" x14ac:dyDescent="0.4">
      <c r="A505" s="98">
        <v>2005223603</v>
      </c>
      <c r="B505" s="101" t="s">
        <v>1503</v>
      </c>
      <c r="C505" s="98" t="s">
        <v>360</v>
      </c>
      <c r="D505" s="98" t="s">
        <v>294</v>
      </c>
      <c r="E505" s="98" t="s">
        <v>912</v>
      </c>
      <c r="F505" s="98" t="s">
        <v>1317</v>
      </c>
      <c r="G505" s="98" t="s">
        <v>1318</v>
      </c>
    </row>
    <row r="506" spans="1:7" ht="15" thickBot="1" x14ac:dyDescent="0.4">
      <c r="A506" s="98">
        <v>2005223603</v>
      </c>
      <c r="B506" s="101" t="s">
        <v>1503</v>
      </c>
      <c r="C506" s="98" t="s">
        <v>360</v>
      </c>
      <c r="D506" s="98" t="s">
        <v>294</v>
      </c>
      <c r="E506" s="98" t="s">
        <v>914</v>
      </c>
      <c r="F506" s="98" t="s">
        <v>1317</v>
      </c>
      <c r="G506" s="98" t="s">
        <v>1318</v>
      </c>
    </row>
    <row r="507" spans="1:7" ht="15" thickBot="1" x14ac:dyDescent="0.4">
      <c r="A507" s="98">
        <v>2005230005</v>
      </c>
      <c r="B507" s="101" t="s">
        <v>1504</v>
      </c>
      <c r="C507" s="98" t="s">
        <v>439</v>
      </c>
      <c r="D507" s="98" t="s">
        <v>294</v>
      </c>
      <c r="E507" s="98" t="s">
        <v>911</v>
      </c>
      <c r="F507" s="98" t="s">
        <v>1317</v>
      </c>
      <c r="G507" s="98" t="s">
        <v>1318</v>
      </c>
    </row>
    <row r="508" spans="1:7" ht="15" thickBot="1" x14ac:dyDescent="0.4">
      <c r="A508" s="98">
        <v>2022210077</v>
      </c>
      <c r="B508" s="101" t="s">
        <v>2063</v>
      </c>
      <c r="C508" s="98" t="s">
        <v>1505</v>
      </c>
      <c r="D508" s="98" t="s">
        <v>294</v>
      </c>
      <c r="E508" s="98" t="s">
        <v>912</v>
      </c>
      <c r="F508" s="98" t="s">
        <v>1317</v>
      </c>
      <c r="G508" s="98" t="s">
        <v>1318</v>
      </c>
    </row>
    <row r="509" spans="1:7" ht="15" thickBot="1" x14ac:dyDescent="0.4">
      <c r="A509" s="98">
        <v>2022210077</v>
      </c>
      <c r="B509" s="101" t="s">
        <v>2063</v>
      </c>
      <c r="C509" s="98" t="s">
        <v>1505</v>
      </c>
      <c r="D509" s="98" t="s">
        <v>294</v>
      </c>
      <c r="E509" s="98" t="s">
        <v>911</v>
      </c>
      <c r="F509" s="98" t="s">
        <v>1317</v>
      </c>
      <c r="G509" s="98" t="s">
        <v>1318</v>
      </c>
    </row>
    <row r="510" spans="1:7" ht="15" thickBot="1" x14ac:dyDescent="0.4">
      <c r="A510" s="98">
        <v>2005220892</v>
      </c>
      <c r="B510" s="101" t="s">
        <v>1506</v>
      </c>
      <c r="C510" s="98" t="s">
        <v>360</v>
      </c>
      <c r="D510" s="98" t="s">
        <v>294</v>
      </c>
      <c r="E510" s="98" t="s">
        <v>913</v>
      </c>
      <c r="F510" s="98" t="s">
        <v>1317</v>
      </c>
      <c r="G510" s="98" t="s">
        <v>1318</v>
      </c>
    </row>
    <row r="511" spans="1:7" ht="15" thickBot="1" x14ac:dyDescent="0.4">
      <c r="A511" s="98">
        <v>2005220892</v>
      </c>
      <c r="B511" s="101" t="s">
        <v>1506</v>
      </c>
      <c r="C511" s="98" t="s">
        <v>360</v>
      </c>
      <c r="D511" s="98" t="s">
        <v>294</v>
      </c>
      <c r="E511" s="98" t="s">
        <v>1406</v>
      </c>
      <c r="F511" s="98" t="s">
        <v>1317</v>
      </c>
      <c r="G511" s="98" t="s">
        <v>1318</v>
      </c>
    </row>
    <row r="512" spans="1:7" ht="15" thickBot="1" x14ac:dyDescent="0.4">
      <c r="A512" s="98">
        <v>2005220892</v>
      </c>
      <c r="B512" s="101" t="s">
        <v>1506</v>
      </c>
      <c r="C512" s="98" t="s">
        <v>360</v>
      </c>
      <c r="D512" s="98" t="s">
        <v>294</v>
      </c>
      <c r="E512" s="98" t="s">
        <v>912</v>
      </c>
      <c r="F512" s="98" t="s">
        <v>1317</v>
      </c>
      <c r="G512" s="98" t="s">
        <v>1318</v>
      </c>
    </row>
    <row r="513" spans="1:7" ht="15" thickBot="1" x14ac:dyDescent="0.4">
      <c r="A513" s="98">
        <v>2005220892</v>
      </c>
      <c r="B513" s="101" t="s">
        <v>1506</v>
      </c>
      <c r="C513" s="98" t="s">
        <v>360</v>
      </c>
      <c r="D513" s="98" t="s">
        <v>294</v>
      </c>
      <c r="E513" s="98" t="s">
        <v>915</v>
      </c>
      <c r="F513" s="98" t="s">
        <v>1317</v>
      </c>
      <c r="G513" s="98" t="s">
        <v>1319</v>
      </c>
    </row>
    <row r="514" spans="1:7" ht="15" thickBot="1" x14ac:dyDescent="0.4">
      <c r="A514" s="98">
        <v>2005220410</v>
      </c>
      <c r="B514" s="101" t="s">
        <v>1507</v>
      </c>
      <c r="C514" s="98" t="s">
        <v>360</v>
      </c>
      <c r="D514" s="98" t="s">
        <v>294</v>
      </c>
      <c r="E514" s="98" t="s">
        <v>912</v>
      </c>
      <c r="F514" s="98" t="s">
        <v>1317</v>
      </c>
      <c r="G514" s="98" t="s">
        <v>1318</v>
      </c>
    </row>
    <row r="515" spans="1:7" ht="15" thickBot="1" x14ac:dyDescent="0.4">
      <c r="A515" s="98">
        <v>2005220410</v>
      </c>
      <c r="B515" s="101" t="s">
        <v>1507</v>
      </c>
      <c r="C515" s="98" t="s">
        <v>360</v>
      </c>
      <c r="D515" s="98" t="s">
        <v>294</v>
      </c>
      <c r="E515" s="98" t="s">
        <v>914</v>
      </c>
      <c r="F515" s="98" t="s">
        <v>1317</v>
      </c>
      <c r="G515" s="98" t="s">
        <v>1318</v>
      </c>
    </row>
    <row r="516" spans="1:7" ht="15" thickBot="1" x14ac:dyDescent="0.4">
      <c r="A516" s="98">
        <v>2005220410</v>
      </c>
      <c r="B516" s="101" t="s">
        <v>1507</v>
      </c>
      <c r="C516" s="98" t="s">
        <v>360</v>
      </c>
      <c r="D516" s="98" t="s">
        <v>294</v>
      </c>
      <c r="E516" s="98" t="s">
        <v>915</v>
      </c>
      <c r="F516" s="98" t="s">
        <v>1317</v>
      </c>
      <c r="G516" s="98" t="s">
        <v>1319</v>
      </c>
    </row>
    <row r="517" spans="1:7" ht="15" thickBot="1" x14ac:dyDescent="0.4">
      <c r="A517" s="98">
        <v>2005223446</v>
      </c>
      <c r="B517" s="101" t="s">
        <v>1508</v>
      </c>
      <c r="C517" s="98" t="s">
        <v>360</v>
      </c>
      <c r="D517" s="98" t="s">
        <v>294</v>
      </c>
      <c r="E517" s="98" t="s">
        <v>912</v>
      </c>
      <c r="F517" s="98" t="s">
        <v>1317</v>
      </c>
      <c r="G517" s="98" t="s">
        <v>1318</v>
      </c>
    </row>
    <row r="518" spans="1:7" ht="15" thickBot="1" x14ac:dyDescent="0.4">
      <c r="A518" s="98">
        <v>2005223446</v>
      </c>
      <c r="B518" s="101" t="s">
        <v>1508</v>
      </c>
      <c r="C518" s="98" t="s">
        <v>360</v>
      </c>
      <c r="D518" s="98" t="s">
        <v>294</v>
      </c>
      <c r="E518" s="98" t="s">
        <v>911</v>
      </c>
      <c r="F518" s="98" t="s">
        <v>1317</v>
      </c>
      <c r="G518" s="98" t="s">
        <v>1318</v>
      </c>
    </row>
    <row r="519" spans="1:7" ht="15" thickBot="1" x14ac:dyDescent="0.4">
      <c r="A519" s="98">
        <v>2005223446</v>
      </c>
      <c r="B519" s="101" t="s">
        <v>1508</v>
      </c>
      <c r="C519" s="98" t="s">
        <v>360</v>
      </c>
      <c r="D519" s="98" t="s">
        <v>294</v>
      </c>
      <c r="E519" s="98" t="s">
        <v>915</v>
      </c>
      <c r="F519" s="98" t="s">
        <v>1317</v>
      </c>
      <c r="G519" s="98" t="s">
        <v>1319</v>
      </c>
    </row>
    <row r="520" spans="1:7" ht="15" thickBot="1" x14ac:dyDescent="0.4">
      <c r="A520" s="98">
        <v>2005220247</v>
      </c>
      <c r="B520" s="101" t="s">
        <v>1509</v>
      </c>
      <c r="C520" s="98" t="s">
        <v>360</v>
      </c>
      <c r="D520" s="98" t="s">
        <v>294</v>
      </c>
      <c r="E520" s="98" t="s">
        <v>912</v>
      </c>
      <c r="F520" s="98" t="s">
        <v>1317</v>
      </c>
      <c r="G520" s="98" t="s">
        <v>1318</v>
      </c>
    </row>
    <row r="521" spans="1:7" ht="15" thickBot="1" x14ac:dyDescent="0.4">
      <c r="A521" s="98">
        <v>2005220247</v>
      </c>
      <c r="B521" s="101" t="s">
        <v>1509</v>
      </c>
      <c r="C521" s="98" t="s">
        <v>360</v>
      </c>
      <c r="D521" s="98" t="s">
        <v>294</v>
      </c>
      <c r="E521" s="98" t="s">
        <v>913</v>
      </c>
      <c r="F521" s="98" t="s">
        <v>1317</v>
      </c>
      <c r="G521" s="98" t="s">
        <v>1318</v>
      </c>
    </row>
    <row r="522" spans="1:7" ht="15" thickBot="1" x14ac:dyDescent="0.4">
      <c r="A522" s="98">
        <v>2005220247</v>
      </c>
      <c r="B522" s="101" t="s">
        <v>1509</v>
      </c>
      <c r="C522" s="98" t="s">
        <v>360</v>
      </c>
      <c r="D522" s="98" t="s">
        <v>294</v>
      </c>
      <c r="E522" s="98" t="s">
        <v>911</v>
      </c>
      <c r="F522" s="98" t="s">
        <v>1317</v>
      </c>
      <c r="G522" s="98" t="s">
        <v>1318</v>
      </c>
    </row>
    <row r="523" spans="1:7" ht="15" thickBot="1" x14ac:dyDescent="0.4">
      <c r="A523" s="98">
        <v>2041220044</v>
      </c>
      <c r="B523" s="101" t="s">
        <v>1661</v>
      </c>
      <c r="C523" s="98" t="s">
        <v>534</v>
      </c>
      <c r="D523" s="98" t="s">
        <v>294</v>
      </c>
      <c r="E523" s="98" t="s">
        <v>911</v>
      </c>
      <c r="F523" s="98" t="s">
        <v>1317</v>
      </c>
      <c r="G523" s="98" t="s">
        <v>1318</v>
      </c>
    </row>
    <row r="524" spans="1:7" ht="15" thickBot="1" x14ac:dyDescent="0.4">
      <c r="A524" s="98">
        <v>2005224830</v>
      </c>
      <c r="B524" s="101" t="s">
        <v>1510</v>
      </c>
      <c r="C524" s="98" t="s">
        <v>360</v>
      </c>
      <c r="D524" s="98" t="s">
        <v>294</v>
      </c>
      <c r="E524" s="98" t="s">
        <v>911</v>
      </c>
      <c r="F524" s="98" t="s">
        <v>1317</v>
      </c>
      <c r="G524" s="98" t="s">
        <v>1318</v>
      </c>
    </row>
    <row r="525" spans="1:7" ht="15" thickBot="1" x14ac:dyDescent="0.4">
      <c r="A525" s="98">
        <v>2005224830</v>
      </c>
      <c r="B525" s="101" t="s">
        <v>1510</v>
      </c>
      <c r="C525" s="98" t="s">
        <v>360</v>
      </c>
      <c r="D525" s="98" t="s">
        <v>294</v>
      </c>
      <c r="E525" s="98" t="s">
        <v>914</v>
      </c>
      <c r="F525" s="98" t="s">
        <v>1317</v>
      </c>
      <c r="G525" s="98" t="s">
        <v>1318</v>
      </c>
    </row>
    <row r="526" spans="1:7" ht="15" thickBot="1" x14ac:dyDescent="0.4">
      <c r="A526" s="98">
        <v>2005224830</v>
      </c>
      <c r="B526" s="101" t="s">
        <v>1510</v>
      </c>
      <c r="C526" s="98" t="s">
        <v>360</v>
      </c>
      <c r="D526" s="98" t="s">
        <v>294</v>
      </c>
      <c r="E526" s="98" t="s">
        <v>915</v>
      </c>
      <c r="F526" s="98" t="s">
        <v>1323</v>
      </c>
      <c r="G526" s="98" t="s">
        <v>1319</v>
      </c>
    </row>
    <row r="527" spans="1:7" ht="15" thickBot="1" x14ac:dyDescent="0.4">
      <c r="A527" s="98">
        <v>2005222885</v>
      </c>
      <c r="B527" s="101" t="s">
        <v>1511</v>
      </c>
      <c r="C527" s="98" t="s">
        <v>360</v>
      </c>
      <c r="D527" s="98" t="s">
        <v>294</v>
      </c>
      <c r="E527" s="98" t="s">
        <v>912</v>
      </c>
      <c r="F527" s="98" t="s">
        <v>1317</v>
      </c>
      <c r="G527" s="98" t="s">
        <v>1318</v>
      </c>
    </row>
    <row r="528" spans="1:7" ht="15" thickBot="1" x14ac:dyDescent="0.4">
      <c r="A528" s="98">
        <v>2005222885</v>
      </c>
      <c r="B528" s="101" t="s">
        <v>1511</v>
      </c>
      <c r="C528" s="98" t="s">
        <v>360</v>
      </c>
      <c r="D528" s="98" t="s">
        <v>294</v>
      </c>
      <c r="E528" s="98" t="s">
        <v>913</v>
      </c>
      <c r="F528" s="98" t="s">
        <v>1317</v>
      </c>
      <c r="G528" s="98" t="s">
        <v>1318</v>
      </c>
    </row>
    <row r="529" spans="1:7" ht="15" thickBot="1" x14ac:dyDescent="0.4">
      <c r="A529" s="98">
        <v>2005222885</v>
      </c>
      <c r="B529" s="101" t="s">
        <v>1511</v>
      </c>
      <c r="C529" s="98" t="s">
        <v>360</v>
      </c>
      <c r="D529" s="98" t="s">
        <v>294</v>
      </c>
      <c r="E529" s="98" t="s">
        <v>915</v>
      </c>
      <c r="F529" s="98" t="s">
        <v>1317</v>
      </c>
      <c r="G529" s="98" t="s">
        <v>1319</v>
      </c>
    </row>
    <row r="530" spans="1:7" ht="15" thickBot="1" x14ac:dyDescent="0.4">
      <c r="A530" s="98">
        <v>2005225101</v>
      </c>
      <c r="B530" s="101" t="s">
        <v>1512</v>
      </c>
      <c r="C530" s="98" t="s">
        <v>360</v>
      </c>
      <c r="D530" s="98" t="s">
        <v>294</v>
      </c>
      <c r="E530" s="98" t="s">
        <v>911</v>
      </c>
      <c r="F530" s="98" t="s">
        <v>1317</v>
      </c>
      <c r="G530" s="98" t="s">
        <v>1318</v>
      </c>
    </row>
    <row r="531" spans="1:7" ht="15" thickBot="1" x14ac:dyDescent="0.4">
      <c r="A531" s="98">
        <v>2005225101</v>
      </c>
      <c r="B531" s="101" t="s">
        <v>1513</v>
      </c>
      <c r="C531" s="98" t="s">
        <v>360</v>
      </c>
      <c r="D531" s="98" t="s">
        <v>294</v>
      </c>
      <c r="E531" s="98" t="s">
        <v>2086</v>
      </c>
      <c r="F531" s="98" t="s">
        <v>1317</v>
      </c>
      <c r="G531" s="98" t="s">
        <v>1318</v>
      </c>
    </row>
    <row r="532" spans="1:7" ht="15" thickBot="1" x14ac:dyDescent="0.4">
      <c r="A532" s="98">
        <v>2005230563</v>
      </c>
      <c r="B532" s="101" t="s">
        <v>1513</v>
      </c>
      <c r="C532" s="98" t="s">
        <v>1514</v>
      </c>
      <c r="D532" s="98" t="s">
        <v>294</v>
      </c>
      <c r="E532" s="98" t="s">
        <v>1395</v>
      </c>
      <c r="F532" s="98" t="s">
        <v>1317</v>
      </c>
      <c r="G532" s="98" t="s">
        <v>1318</v>
      </c>
    </row>
    <row r="533" spans="1:7" ht="15" thickBot="1" x14ac:dyDescent="0.4">
      <c r="A533" s="98">
        <v>2005230563</v>
      </c>
      <c r="B533" s="101" t="s">
        <v>1513</v>
      </c>
      <c r="C533" s="98" t="s">
        <v>1514</v>
      </c>
      <c r="D533" s="98" t="s">
        <v>294</v>
      </c>
      <c r="E533" s="98" t="s">
        <v>1395</v>
      </c>
      <c r="F533" s="98" t="s">
        <v>1317</v>
      </c>
      <c r="G533" s="98" t="s">
        <v>1318</v>
      </c>
    </row>
    <row r="534" spans="1:7" ht="15" thickBot="1" x14ac:dyDescent="0.4">
      <c r="A534" s="98">
        <v>2005224170</v>
      </c>
      <c r="B534" s="101" t="s">
        <v>1515</v>
      </c>
      <c r="C534" s="98" t="s">
        <v>360</v>
      </c>
      <c r="D534" s="98" t="s">
        <v>294</v>
      </c>
      <c r="E534" s="98" t="s">
        <v>1395</v>
      </c>
      <c r="F534" s="98" t="s">
        <v>1317</v>
      </c>
      <c r="G534" s="98" t="s">
        <v>1318</v>
      </c>
    </row>
    <row r="535" spans="1:7" ht="15" thickBot="1" x14ac:dyDescent="0.4">
      <c r="A535" s="98">
        <v>2005224170</v>
      </c>
      <c r="B535" s="101" t="s">
        <v>1515</v>
      </c>
      <c r="C535" s="98" t="s">
        <v>360</v>
      </c>
      <c r="D535" s="98" t="s">
        <v>294</v>
      </c>
      <c r="E535" s="98" t="s">
        <v>914</v>
      </c>
      <c r="F535" s="98" t="s">
        <v>1317</v>
      </c>
      <c r="G535" s="98" t="s">
        <v>1318</v>
      </c>
    </row>
    <row r="536" spans="1:7" ht="15" thickBot="1" x14ac:dyDescent="0.4">
      <c r="A536" s="98">
        <v>2022210071</v>
      </c>
      <c r="B536" s="101" t="s">
        <v>1516</v>
      </c>
      <c r="C536" s="98" t="s">
        <v>296</v>
      </c>
      <c r="D536" s="98" t="s">
        <v>294</v>
      </c>
      <c r="E536" s="98" t="s">
        <v>915</v>
      </c>
      <c r="F536" s="98" t="s">
        <v>1317</v>
      </c>
      <c r="G536" s="98" t="s">
        <v>1319</v>
      </c>
    </row>
    <row r="537" spans="1:7" ht="15" thickBot="1" x14ac:dyDescent="0.4">
      <c r="A537" s="98">
        <v>2022210071</v>
      </c>
      <c r="B537" s="101" t="s">
        <v>1516</v>
      </c>
      <c r="C537" s="98" t="s">
        <v>296</v>
      </c>
      <c r="D537" s="98" t="s">
        <v>294</v>
      </c>
      <c r="E537" s="98" t="s">
        <v>911</v>
      </c>
      <c r="F537" s="98" t="s">
        <v>1317</v>
      </c>
      <c r="G537" s="98" t="s">
        <v>1318</v>
      </c>
    </row>
    <row r="538" spans="1:7" ht="15" thickBot="1" x14ac:dyDescent="0.4">
      <c r="A538" s="98">
        <v>2022210071</v>
      </c>
      <c r="B538" s="101" t="s">
        <v>1516</v>
      </c>
      <c r="C538" s="98" t="s">
        <v>296</v>
      </c>
      <c r="D538" s="98" t="s">
        <v>294</v>
      </c>
      <c r="E538" s="98" t="s">
        <v>912</v>
      </c>
      <c r="F538" s="98" t="s">
        <v>1317</v>
      </c>
      <c r="G538" s="98" t="s">
        <v>1318</v>
      </c>
    </row>
    <row r="539" spans="1:7" ht="15" thickBot="1" x14ac:dyDescent="0.4">
      <c r="A539" s="98">
        <v>2022210071</v>
      </c>
      <c r="B539" s="101" t="s">
        <v>1516</v>
      </c>
      <c r="C539" s="98" t="s">
        <v>296</v>
      </c>
      <c r="D539" s="98" t="s">
        <v>294</v>
      </c>
      <c r="E539" s="98" t="s">
        <v>911</v>
      </c>
      <c r="F539" s="98" t="s">
        <v>1317</v>
      </c>
      <c r="G539" s="98" t="s">
        <v>1318</v>
      </c>
    </row>
    <row r="540" spans="1:7" ht="15" thickBot="1" x14ac:dyDescent="0.4">
      <c r="A540" s="98">
        <v>2022210071</v>
      </c>
      <c r="B540" s="101" t="s">
        <v>1516</v>
      </c>
      <c r="C540" s="98" t="s">
        <v>296</v>
      </c>
      <c r="D540" s="98" t="s">
        <v>294</v>
      </c>
      <c r="E540" s="98" t="s">
        <v>915</v>
      </c>
      <c r="F540" s="98" t="s">
        <v>1317</v>
      </c>
      <c r="G540" s="98" t="s">
        <v>1319</v>
      </c>
    </row>
    <row r="541" spans="1:7" ht="15" thickBot="1" x14ac:dyDescent="0.4">
      <c r="A541" s="98">
        <v>2022210071</v>
      </c>
      <c r="B541" s="101" t="s">
        <v>1516</v>
      </c>
      <c r="C541" s="98" t="s">
        <v>296</v>
      </c>
      <c r="D541" s="98" t="s">
        <v>294</v>
      </c>
      <c r="E541" s="98" t="s">
        <v>912</v>
      </c>
      <c r="F541" s="98" t="s">
        <v>1317</v>
      </c>
      <c r="G541" s="98" t="s">
        <v>1318</v>
      </c>
    </row>
    <row r="542" spans="1:7" ht="15" thickBot="1" x14ac:dyDescent="0.4">
      <c r="A542" s="98">
        <v>2005222701</v>
      </c>
      <c r="B542" s="101" t="s">
        <v>1517</v>
      </c>
      <c r="C542" s="98" t="s">
        <v>360</v>
      </c>
      <c r="D542" s="98" t="s">
        <v>294</v>
      </c>
      <c r="E542" s="98" t="s">
        <v>2086</v>
      </c>
      <c r="F542" s="98" t="s">
        <v>1317</v>
      </c>
      <c r="G542" s="98" t="s">
        <v>1318</v>
      </c>
    </row>
    <row r="543" spans="1:7" ht="15" thickBot="1" x14ac:dyDescent="0.4">
      <c r="A543" s="98">
        <v>2005222701</v>
      </c>
      <c r="B543" s="101" t="s">
        <v>1517</v>
      </c>
      <c r="C543" s="98" t="s">
        <v>360</v>
      </c>
      <c r="D543" s="98" t="s">
        <v>294</v>
      </c>
      <c r="E543" s="98" t="s">
        <v>911</v>
      </c>
      <c r="F543" s="98" t="s">
        <v>1317</v>
      </c>
      <c r="G543" s="98" t="s">
        <v>1318</v>
      </c>
    </row>
    <row r="544" spans="1:7" ht="15" thickBot="1" x14ac:dyDescent="0.4">
      <c r="A544" s="98">
        <v>2005222701</v>
      </c>
      <c r="B544" s="101" t="s">
        <v>1517</v>
      </c>
      <c r="C544" s="98" t="s">
        <v>360</v>
      </c>
      <c r="D544" s="98" t="s">
        <v>294</v>
      </c>
      <c r="E544" s="98" t="s">
        <v>915</v>
      </c>
      <c r="F544" s="98" t="s">
        <v>1323</v>
      </c>
      <c r="G544" s="98" t="s">
        <v>1319</v>
      </c>
    </row>
    <row r="545" spans="1:7" ht="15" thickBot="1" x14ac:dyDescent="0.4">
      <c r="A545" s="98">
        <v>2022210035</v>
      </c>
      <c r="B545" s="101" t="s">
        <v>1518</v>
      </c>
      <c r="C545" s="98" t="s">
        <v>300</v>
      </c>
      <c r="D545" s="98" t="s">
        <v>294</v>
      </c>
      <c r="E545" s="98" t="s">
        <v>915</v>
      </c>
      <c r="F545" s="98" t="s">
        <v>1317</v>
      </c>
      <c r="G545" s="98" t="s">
        <v>1319</v>
      </c>
    </row>
    <row r="546" spans="1:7" ht="15" thickBot="1" x14ac:dyDescent="0.4">
      <c r="A546" s="98">
        <v>2022210035</v>
      </c>
      <c r="B546" s="101" t="s">
        <v>1518</v>
      </c>
      <c r="C546" s="98" t="s">
        <v>300</v>
      </c>
      <c r="D546" s="98" t="s">
        <v>294</v>
      </c>
      <c r="E546" s="98" t="s">
        <v>913</v>
      </c>
      <c r="F546" s="98" t="s">
        <v>1317</v>
      </c>
      <c r="G546" s="98" t="s">
        <v>1318</v>
      </c>
    </row>
    <row r="547" spans="1:7" ht="15" thickBot="1" x14ac:dyDescent="0.4">
      <c r="A547" s="98">
        <v>2022210035</v>
      </c>
      <c r="B547" s="101" t="s">
        <v>1518</v>
      </c>
      <c r="C547" s="98" t="s">
        <v>300</v>
      </c>
      <c r="D547" s="98" t="s">
        <v>294</v>
      </c>
      <c r="E547" s="98" t="s">
        <v>911</v>
      </c>
      <c r="F547" s="98" t="s">
        <v>1317</v>
      </c>
      <c r="G547" s="98" t="s">
        <v>1318</v>
      </c>
    </row>
    <row r="548" spans="1:7" ht="15" thickBot="1" x14ac:dyDescent="0.4">
      <c r="A548" s="98">
        <v>2005223471</v>
      </c>
      <c r="B548" s="101" t="s">
        <v>1519</v>
      </c>
      <c r="C548" s="98" t="s">
        <v>360</v>
      </c>
      <c r="D548" s="98" t="s">
        <v>294</v>
      </c>
      <c r="E548" s="98" t="s">
        <v>912</v>
      </c>
      <c r="F548" s="98" t="s">
        <v>1317</v>
      </c>
      <c r="G548" s="98" t="s">
        <v>1318</v>
      </c>
    </row>
    <row r="549" spans="1:7" ht="15" thickBot="1" x14ac:dyDescent="0.4">
      <c r="A549" s="98">
        <v>2005223471</v>
      </c>
      <c r="B549" s="101" t="s">
        <v>1519</v>
      </c>
      <c r="C549" s="98" t="s">
        <v>360</v>
      </c>
      <c r="D549" s="98" t="s">
        <v>294</v>
      </c>
      <c r="E549" s="98" t="s">
        <v>912</v>
      </c>
      <c r="F549" s="98" t="s">
        <v>1317</v>
      </c>
      <c r="G549" s="98" t="s">
        <v>1318</v>
      </c>
    </row>
    <row r="550" spans="1:7" ht="15" thickBot="1" x14ac:dyDescent="0.4">
      <c r="A550" s="98">
        <v>2005223471</v>
      </c>
      <c r="B550" s="101" t="s">
        <v>1519</v>
      </c>
      <c r="C550" s="98" t="s">
        <v>360</v>
      </c>
      <c r="D550" s="98" t="s">
        <v>294</v>
      </c>
      <c r="E550" s="98" t="s">
        <v>914</v>
      </c>
      <c r="F550" s="98" t="s">
        <v>1317</v>
      </c>
      <c r="G550" s="98" t="s">
        <v>1318</v>
      </c>
    </row>
    <row r="551" spans="1:7" ht="15" thickBot="1" x14ac:dyDescent="0.4">
      <c r="A551" s="98">
        <v>2005223471</v>
      </c>
      <c r="B551" s="101" t="s">
        <v>1519</v>
      </c>
      <c r="C551" s="98" t="s">
        <v>360</v>
      </c>
      <c r="D551" s="98" t="s">
        <v>294</v>
      </c>
      <c r="E551" s="98" t="s">
        <v>914</v>
      </c>
      <c r="F551" s="98" t="s">
        <v>1317</v>
      </c>
      <c r="G551" s="98" t="s">
        <v>1318</v>
      </c>
    </row>
    <row r="552" spans="1:7" ht="15" thickBot="1" x14ac:dyDescent="0.4">
      <c r="A552" s="98">
        <v>2005223471</v>
      </c>
      <c r="B552" s="101" t="s">
        <v>1519</v>
      </c>
      <c r="C552" s="98" t="s">
        <v>360</v>
      </c>
      <c r="D552" s="98" t="s">
        <v>294</v>
      </c>
      <c r="E552" s="98" t="s">
        <v>911</v>
      </c>
      <c r="F552" s="98" t="s">
        <v>1317</v>
      </c>
      <c r="G552" s="98" t="s">
        <v>1318</v>
      </c>
    </row>
    <row r="553" spans="1:7" ht="15" thickBot="1" x14ac:dyDescent="0.4">
      <c r="A553" s="98">
        <v>2022218304</v>
      </c>
      <c r="B553" s="101" t="s">
        <v>1520</v>
      </c>
      <c r="C553" s="98" t="s">
        <v>302</v>
      </c>
      <c r="D553" s="98" t="s">
        <v>294</v>
      </c>
      <c r="E553" s="98" t="s">
        <v>911</v>
      </c>
      <c r="F553" s="98" t="s">
        <v>1317</v>
      </c>
      <c r="G553" s="98" t="s">
        <v>1318</v>
      </c>
    </row>
    <row r="554" spans="1:7" ht="15" thickBot="1" x14ac:dyDescent="0.4">
      <c r="A554" s="98">
        <v>2005225901</v>
      </c>
      <c r="B554" s="101" t="s">
        <v>1521</v>
      </c>
      <c r="C554" s="98" t="s">
        <v>360</v>
      </c>
      <c r="D554" s="98" t="s">
        <v>294</v>
      </c>
      <c r="E554" s="98" t="s">
        <v>914</v>
      </c>
      <c r="F554" s="98" t="s">
        <v>1317</v>
      </c>
      <c r="G554" s="98" t="s">
        <v>1318</v>
      </c>
    </row>
    <row r="555" spans="1:7" ht="15" thickBot="1" x14ac:dyDescent="0.4">
      <c r="A555" s="98">
        <v>2005225901</v>
      </c>
      <c r="B555" s="101" t="s">
        <v>1521</v>
      </c>
      <c r="C555" s="98" t="s">
        <v>360</v>
      </c>
      <c r="D555" s="98" t="s">
        <v>294</v>
      </c>
      <c r="E555" s="98" t="s">
        <v>913</v>
      </c>
      <c r="F555" s="98" t="s">
        <v>1317</v>
      </c>
      <c r="G555" s="98" t="s">
        <v>1318</v>
      </c>
    </row>
    <row r="556" spans="1:7" ht="15" thickBot="1" x14ac:dyDescent="0.4">
      <c r="A556" s="98">
        <v>2005225901</v>
      </c>
      <c r="B556" s="101" t="s">
        <v>1521</v>
      </c>
      <c r="C556" s="98" t="s">
        <v>360</v>
      </c>
      <c r="D556" s="98" t="s">
        <v>294</v>
      </c>
      <c r="E556" s="98" t="s">
        <v>911</v>
      </c>
      <c r="F556" s="98" t="s">
        <v>1317</v>
      </c>
      <c r="G556" s="98" t="s">
        <v>1318</v>
      </c>
    </row>
    <row r="557" spans="1:7" ht="15" thickBot="1" x14ac:dyDescent="0.4">
      <c r="A557" s="98">
        <v>2005222411</v>
      </c>
      <c r="B557" s="101" t="s">
        <v>1522</v>
      </c>
      <c r="C557" s="98" t="s">
        <v>360</v>
      </c>
      <c r="D557" s="98" t="s">
        <v>294</v>
      </c>
      <c r="E557" s="98" t="s">
        <v>912</v>
      </c>
      <c r="F557" s="98" t="s">
        <v>1317</v>
      </c>
      <c r="G557" s="98" t="s">
        <v>1318</v>
      </c>
    </row>
    <row r="558" spans="1:7" ht="15" thickBot="1" x14ac:dyDescent="0.4">
      <c r="A558" s="98">
        <v>2005222411</v>
      </c>
      <c r="B558" s="101" t="s">
        <v>1522</v>
      </c>
      <c r="C558" s="98" t="s">
        <v>360</v>
      </c>
      <c r="D558" s="98" t="s">
        <v>294</v>
      </c>
      <c r="E558" s="98" t="s">
        <v>911</v>
      </c>
      <c r="F558" s="98" t="s">
        <v>1317</v>
      </c>
      <c r="G558" s="98" t="s">
        <v>1318</v>
      </c>
    </row>
    <row r="559" spans="1:7" ht="15" thickBot="1" x14ac:dyDescent="0.4">
      <c r="A559" s="98">
        <v>2005225982</v>
      </c>
      <c r="B559" s="101" t="s">
        <v>1523</v>
      </c>
      <c r="C559" s="98" t="s">
        <v>360</v>
      </c>
      <c r="D559" s="98" t="s">
        <v>294</v>
      </c>
      <c r="E559" s="98" t="s">
        <v>914</v>
      </c>
      <c r="F559" s="98" t="s">
        <v>1317</v>
      </c>
      <c r="G559" s="98" t="s">
        <v>1318</v>
      </c>
    </row>
    <row r="560" spans="1:7" ht="15" thickBot="1" x14ac:dyDescent="0.4">
      <c r="A560" s="98">
        <v>2005225982</v>
      </c>
      <c r="B560" s="101" t="s">
        <v>1523</v>
      </c>
      <c r="C560" s="98" t="s">
        <v>360</v>
      </c>
      <c r="D560" s="98" t="s">
        <v>294</v>
      </c>
      <c r="E560" s="98" t="s">
        <v>913</v>
      </c>
      <c r="F560" s="98" t="s">
        <v>1317</v>
      </c>
      <c r="G560" s="98" t="s">
        <v>1318</v>
      </c>
    </row>
    <row r="561" spans="1:7" ht="15" thickBot="1" x14ac:dyDescent="0.4">
      <c r="A561" s="98">
        <v>2005225982</v>
      </c>
      <c r="B561" s="101" t="s">
        <v>1523</v>
      </c>
      <c r="C561" s="98" t="s">
        <v>360</v>
      </c>
      <c r="D561" s="98" t="s">
        <v>294</v>
      </c>
      <c r="E561" s="98" t="s">
        <v>911</v>
      </c>
      <c r="F561" s="98" t="s">
        <v>1317</v>
      </c>
      <c r="G561" s="98" t="s">
        <v>1318</v>
      </c>
    </row>
    <row r="562" spans="1:7" ht="15" thickBot="1" x14ac:dyDescent="0.4">
      <c r="A562" s="98">
        <v>2022200050</v>
      </c>
      <c r="B562" s="101" t="s">
        <v>1524</v>
      </c>
      <c r="C562" s="98" t="s">
        <v>108</v>
      </c>
      <c r="D562" s="98" t="s">
        <v>294</v>
      </c>
      <c r="E562" s="98" t="s">
        <v>912</v>
      </c>
      <c r="F562" s="98" t="s">
        <v>1317</v>
      </c>
      <c r="G562" s="98" t="s">
        <v>1318</v>
      </c>
    </row>
    <row r="563" spans="1:7" ht="15" thickBot="1" x14ac:dyDescent="0.4">
      <c r="A563" s="98">
        <v>2022200050</v>
      </c>
      <c r="B563" s="101" t="s">
        <v>1524</v>
      </c>
      <c r="C563" s="98" t="s">
        <v>108</v>
      </c>
      <c r="D563" s="98" t="s">
        <v>294</v>
      </c>
      <c r="E563" s="98" t="s">
        <v>911</v>
      </c>
      <c r="F563" s="98" t="s">
        <v>1317</v>
      </c>
      <c r="G563" s="98" t="s">
        <v>1318</v>
      </c>
    </row>
    <row r="564" spans="1:7" ht="15" thickBot="1" x14ac:dyDescent="0.4">
      <c r="A564" s="98">
        <v>2005221354</v>
      </c>
      <c r="B564" s="101" t="s">
        <v>1525</v>
      </c>
      <c r="C564" s="98" t="s">
        <v>360</v>
      </c>
      <c r="D564" s="98" t="s">
        <v>294</v>
      </c>
      <c r="E564" s="98" t="s">
        <v>912</v>
      </c>
      <c r="F564" s="98" t="s">
        <v>1317</v>
      </c>
      <c r="G564" s="98" t="s">
        <v>1318</v>
      </c>
    </row>
    <row r="565" spans="1:7" ht="15" thickBot="1" x14ac:dyDescent="0.4">
      <c r="A565" s="98">
        <v>2005221354</v>
      </c>
      <c r="B565" s="101" t="s">
        <v>1525</v>
      </c>
      <c r="C565" s="98" t="s">
        <v>360</v>
      </c>
      <c r="D565" s="98" t="s">
        <v>294</v>
      </c>
      <c r="E565" s="98" t="s">
        <v>911</v>
      </c>
      <c r="F565" s="98" t="s">
        <v>1317</v>
      </c>
      <c r="G565" s="98" t="s">
        <v>1318</v>
      </c>
    </row>
    <row r="566" spans="1:7" ht="15" thickBot="1" x14ac:dyDescent="0.4">
      <c r="A566" s="98">
        <v>2005221354</v>
      </c>
      <c r="B566" s="101" t="s">
        <v>1525</v>
      </c>
      <c r="C566" s="98" t="s">
        <v>360</v>
      </c>
      <c r="D566" s="98" t="s">
        <v>294</v>
      </c>
      <c r="E566" s="98" t="s">
        <v>1342</v>
      </c>
      <c r="F566" s="98" t="s">
        <v>1317</v>
      </c>
      <c r="G566" s="98" t="s">
        <v>1318</v>
      </c>
    </row>
    <row r="567" spans="1:7" ht="15" thickBot="1" x14ac:dyDescent="0.4">
      <c r="A567" s="98">
        <v>2041214089</v>
      </c>
      <c r="B567" s="101" t="s">
        <v>1526</v>
      </c>
      <c r="C567" s="98" t="s">
        <v>319</v>
      </c>
      <c r="D567" s="98" t="s">
        <v>294</v>
      </c>
      <c r="E567" s="98" t="s">
        <v>911</v>
      </c>
      <c r="F567" s="98" t="s">
        <v>1317</v>
      </c>
      <c r="G567" s="98" t="s">
        <v>1318</v>
      </c>
    </row>
    <row r="568" spans="1:7" ht="15" thickBot="1" x14ac:dyDescent="0.4">
      <c r="A568" s="98">
        <v>2041214089</v>
      </c>
      <c r="B568" s="101" t="s">
        <v>1526</v>
      </c>
      <c r="C568" s="98" t="s">
        <v>319</v>
      </c>
      <c r="D568" s="98" t="s">
        <v>294</v>
      </c>
      <c r="E568" s="98" t="s">
        <v>912</v>
      </c>
      <c r="F568" s="98" t="s">
        <v>1317</v>
      </c>
      <c r="G568" s="98" t="s">
        <v>1318</v>
      </c>
    </row>
    <row r="569" spans="1:7" ht="15" thickBot="1" x14ac:dyDescent="0.4">
      <c r="A569" s="98">
        <v>2041214089</v>
      </c>
      <c r="B569" s="101" t="s">
        <v>1526</v>
      </c>
      <c r="C569" s="98" t="s">
        <v>319</v>
      </c>
      <c r="D569" s="98" t="s">
        <v>294</v>
      </c>
      <c r="E569" s="98" t="s">
        <v>911</v>
      </c>
      <c r="F569" s="98" t="s">
        <v>1317</v>
      </c>
      <c r="G569" s="98" t="s">
        <v>1318</v>
      </c>
    </row>
    <row r="570" spans="1:7" ht="15" thickBot="1" x14ac:dyDescent="0.4">
      <c r="A570" s="98">
        <v>2041214089</v>
      </c>
      <c r="B570" s="101" t="s">
        <v>1526</v>
      </c>
      <c r="C570" s="98" t="s">
        <v>319</v>
      </c>
      <c r="D570" s="98" t="s">
        <v>294</v>
      </c>
      <c r="E570" s="98" t="s">
        <v>1342</v>
      </c>
      <c r="F570" s="98" t="s">
        <v>1317</v>
      </c>
      <c r="G570" s="98" t="s">
        <v>1318</v>
      </c>
    </row>
    <row r="571" spans="1:7" ht="15" thickBot="1" x14ac:dyDescent="0.4">
      <c r="A571" s="98">
        <v>2005211043</v>
      </c>
      <c r="B571" s="101" t="s">
        <v>1527</v>
      </c>
      <c r="C571" s="98" t="s">
        <v>1258</v>
      </c>
      <c r="D571" s="98" t="s">
        <v>294</v>
      </c>
      <c r="E571" s="98" t="s">
        <v>911</v>
      </c>
      <c r="F571" s="98" t="s">
        <v>1317</v>
      </c>
      <c r="G571" s="98" t="s">
        <v>1318</v>
      </c>
    </row>
    <row r="572" spans="1:7" ht="15" thickBot="1" x14ac:dyDescent="0.4">
      <c r="A572" s="98">
        <v>2005230625</v>
      </c>
      <c r="B572" s="101" t="s">
        <v>1528</v>
      </c>
      <c r="C572" s="98" t="s">
        <v>1529</v>
      </c>
      <c r="D572" s="98" t="s">
        <v>294</v>
      </c>
      <c r="E572" s="98" t="s">
        <v>1395</v>
      </c>
      <c r="F572" s="98" t="s">
        <v>1317</v>
      </c>
      <c r="G572" s="98" t="s">
        <v>1318</v>
      </c>
    </row>
    <row r="573" spans="1:7" ht="15" thickBot="1" x14ac:dyDescent="0.4">
      <c r="A573" s="98">
        <v>2041214109</v>
      </c>
      <c r="B573" s="101" t="s">
        <v>1530</v>
      </c>
      <c r="C573" s="98" t="s">
        <v>319</v>
      </c>
      <c r="D573" s="98" t="s">
        <v>294</v>
      </c>
      <c r="E573" s="98" t="s">
        <v>913</v>
      </c>
      <c r="F573" s="98" t="s">
        <v>1317</v>
      </c>
      <c r="G573" s="98" t="s">
        <v>1318</v>
      </c>
    </row>
    <row r="574" spans="1:7" ht="15" thickBot="1" x14ac:dyDescent="0.4">
      <c r="A574" s="98">
        <v>2041214109</v>
      </c>
      <c r="B574" s="101" t="s">
        <v>1530</v>
      </c>
      <c r="C574" s="98" t="s">
        <v>319</v>
      </c>
      <c r="D574" s="98" t="s">
        <v>294</v>
      </c>
      <c r="E574" s="98" t="s">
        <v>911</v>
      </c>
      <c r="F574" s="98" t="s">
        <v>1317</v>
      </c>
      <c r="G574" s="98" t="s">
        <v>1318</v>
      </c>
    </row>
    <row r="575" spans="1:7" ht="15" thickBot="1" x14ac:dyDescent="0.4">
      <c r="A575" s="98">
        <v>2041214109</v>
      </c>
      <c r="B575" s="101" t="s">
        <v>1530</v>
      </c>
      <c r="C575" s="98" t="s">
        <v>319</v>
      </c>
      <c r="D575" s="98" t="s">
        <v>294</v>
      </c>
      <c r="E575" s="98" t="s">
        <v>916</v>
      </c>
      <c r="F575" s="98" t="s">
        <v>1317</v>
      </c>
      <c r="G575" s="98" t="s">
        <v>1319</v>
      </c>
    </row>
    <row r="576" spans="1:7" ht="15" thickBot="1" x14ac:dyDescent="0.4">
      <c r="A576" s="98">
        <v>2005210487</v>
      </c>
      <c r="B576" s="101" t="s">
        <v>1531</v>
      </c>
      <c r="C576" s="98" t="s">
        <v>1532</v>
      </c>
      <c r="D576" s="98" t="s">
        <v>294</v>
      </c>
      <c r="E576" s="98" t="s">
        <v>911</v>
      </c>
      <c r="F576" s="98" t="s">
        <v>1317</v>
      </c>
      <c r="G576" s="98" t="s">
        <v>1318</v>
      </c>
    </row>
    <row r="577" spans="1:7" ht="15" thickBot="1" x14ac:dyDescent="0.4">
      <c r="A577" s="98">
        <v>2005210487</v>
      </c>
      <c r="B577" s="101" t="s">
        <v>1531</v>
      </c>
      <c r="C577" s="98" t="s">
        <v>1532</v>
      </c>
      <c r="D577" s="98" t="s">
        <v>294</v>
      </c>
      <c r="E577" s="98" t="s">
        <v>916</v>
      </c>
      <c r="F577" s="98" t="s">
        <v>1317</v>
      </c>
      <c r="G577" s="98" t="s">
        <v>1319</v>
      </c>
    </row>
    <row r="578" spans="1:7" ht="15" thickBot="1" x14ac:dyDescent="0.4">
      <c r="A578" s="98">
        <v>2005210487</v>
      </c>
      <c r="B578" s="101" t="s">
        <v>1531</v>
      </c>
      <c r="C578" s="98" t="s">
        <v>1532</v>
      </c>
      <c r="D578" s="98" t="s">
        <v>294</v>
      </c>
      <c r="E578" s="98" t="s">
        <v>1533</v>
      </c>
      <c r="F578" s="98" t="s">
        <v>1317</v>
      </c>
      <c r="G578" s="98" t="s">
        <v>1318</v>
      </c>
    </row>
    <row r="579" spans="1:7" ht="15" thickBot="1" x14ac:dyDescent="0.4">
      <c r="A579" s="98">
        <v>2005200682</v>
      </c>
      <c r="B579" s="101" t="s">
        <v>1534</v>
      </c>
      <c r="C579" s="98" t="s">
        <v>12</v>
      </c>
      <c r="D579" s="98" t="s">
        <v>294</v>
      </c>
      <c r="E579" s="98" t="s">
        <v>912</v>
      </c>
      <c r="F579" s="98" t="s">
        <v>1317</v>
      </c>
      <c r="G579" s="98" t="s">
        <v>1318</v>
      </c>
    </row>
    <row r="580" spans="1:7" ht="15" thickBot="1" x14ac:dyDescent="0.4">
      <c r="A580" s="98">
        <v>2005200682</v>
      </c>
      <c r="B580" s="101" t="s">
        <v>1534</v>
      </c>
      <c r="C580" s="98" t="s">
        <v>12</v>
      </c>
      <c r="D580" s="98" t="s">
        <v>294</v>
      </c>
      <c r="E580" s="98" t="s">
        <v>911</v>
      </c>
      <c r="F580" s="98" t="s">
        <v>1317</v>
      </c>
      <c r="G580" s="98" t="s">
        <v>1318</v>
      </c>
    </row>
    <row r="581" spans="1:7" ht="15" thickBot="1" x14ac:dyDescent="0.4">
      <c r="A581" s="98">
        <v>2005200682</v>
      </c>
      <c r="B581" s="101" t="s">
        <v>1534</v>
      </c>
      <c r="C581" s="98" t="s">
        <v>12</v>
      </c>
      <c r="D581" s="98" t="s">
        <v>294</v>
      </c>
      <c r="E581" s="98" t="s">
        <v>915</v>
      </c>
      <c r="F581" s="98" t="s">
        <v>1317</v>
      </c>
      <c r="G581" s="98" t="s">
        <v>1319</v>
      </c>
    </row>
    <row r="582" spans="1:7" ht="15" thickBot="1" x14ac:dyDescent="0.4">
      <c r="A582" s="98">
        <v>2005222706</v>
      </c>
      <c r="B582" s="101" t="s">
        <v>1535</v>
      </c>
      <c r="C582" s="98" t="s">
        <v>360</v>
      </c>
      <c r="D582" s="98" t="s">
        <v>294</v>
      </c>
      <c r="E582" s="98" t="s">
        <v>913</v>
      </c>
      <c r="F582" s="98" t="s">
        <v>1317</v>
      </c>
      <c r="G582" s="98" t="s">
        <v>1318</v>
      </c>
    </row>
    <row r="583" spans="1:7" ht="15" thickBot="1" x14ac:dyDescent="0.4">
      <c r="A583" s="98">
        <v>2005222706</v>
      </c>
      <c r="B583" s="101" t="s">
        <v>1535</v>
      </c>
      <c r="C583" s="98" t="s">
        <v>360</v>
      </c>
      <c r="D583" s="98" t="s">
        <v>294</v>
      </c>
      <c r="E583" s="98" t="s">
        <v>912</v>
      </c>
      <c r="F583" s="98" t="s">
        <v>1317</v>
      </c>
      <c r="G583" s="98" t="s">
        <v>1318</v>
      </c>
    </row>
    <row r="584" spans="1:7" ht="15" thickBot="1" x14ac:dyDescent="0.4">
      <c r="A584" s="98">
        <v>2005222706</v>
      </c>
      <c r="B584" s="101" t="s">
        <v>1535</v>
      </c>
      <c r="C584" s="98" t="s">
        <v>360</v>
      </c>
      <c r="D584" s="98" t="s">
        <v>294</v>
      </c>
      <c r="E584" s="98" t="s">
        <v>915</v>
      </c>
      <c r="F584" s="98" t="s">
        <v>1317</v>
      </c>
      <c r="G584" s="98" t="s">
        <v>1319</v>
      </c>
    </row>
    <row r="585" spans="1:7" ht="15" thickBot="1" x14ac:dyDescent="0.4">
      <c r="A585" s="98">
        <v>2005212101</v>
      </c>
      <c r="B585" s="101" t="s">
        <v>1536</v>
      </c>
      <c r="C585" s="98" t="s">
        <v>331</v>
      </c>
      <c r="D585" s="98" t="s">
        <v>294</v>
      </c>
      <c r="E585" s="98" t="s">
        <v>912</v>
      </c>
      <c r="F585" s="98" t="s">
        <v>1317</v>
      </c>
      <c r="G585" s="98" t="s">
        <v>1318</v>
      </c>
    </row>
    <row r="586" spans="1:7" ht="15" thickBot="1" x14ac:dyDescent="0.4">
      <c r="A586" s="98">
        <v>2005212101</v>
      </c>
      <c r="B586" s="101" t="s">
        <v>1537</v>
      </c>
      <c r="C586" s="98" t="s">
        <v>331</v>
      </c>
      <c r="D586" s="98" t="s">
        <v>294</v>
      </c>
      <c r="E586" s="98" t="s">
        <v>915</v>
      </c>
      <c r="F586" s="98" t="s">
        <v>1317</v>
      </c>
      <c r="G586" s="98" t="s">
        <v>1319</v>
      </c>
    </row>
    <row r="587" spans="1:7" ht="15" thickBot="1" x14ac:dyDescent="0.4">
      <c r="A587" s="98">
        <v>2005212101</v>
      </c>
      <c r="B587" s="101" t="s">
        <v>1536</v>
      </c>
      <c r="C587" s="98" t="s">
        <v>331</v>
      </c>
      <c r="D587" s="98" t="s">
        <v>294</v>
      </c>
      <c r="E587" s="98" t="s">
        <v>913</v>
      </c>
      <c r="F587" s="98" t="s">
        <v>1317</v>
      </c>
      <c r="G587" s="98" t="s">
        <v>1318</v>
      </c>
    </row>
    <row r="588" spans="1:7" ht="15" thickBot="1" x14ac:dyDescent="0.4">
      <c r="A588" s="98">
        <v>2005212202</v>
      </c>
      <c r="B588" s="101" t="s">
        <v>1538</v>
      </c>
      <c r="C588" s="98" t="s">
        <v>1532</v>
      </c>
      <c r="D588" s="98" t="s">
        <v>294</v>
      </c>
      <c r="E588" s="98" t="s">
        <v>914</v>
      </c>
      <c r="F588" s="98" t="s">
        <v>1317</v>
      </c>
      <c r="G588" s="98" t="s">
        <v>1318</v>
      </c>
    </row>
    <row r="589" spans="1:7" ht="15" thickBot="1" x14ac:dyDescent="0.4">
      <c r="A589" s="98">
        <v>2005212202</v>
      </c>
      <c r="B589" s="101" t="s">
        <v>1538</v>
      </c>
      <c r="C589" s="98" t="s">
        <v>1532</v>
      </c>
      <c r="D589" s="98" t="s">
        <v>294</v>
      </c>
      <c r="E589" s="98" t="s">
        <v>911</v>
      </c>
      <c r="F589" s="98" t="s">
        <v>1317</v>
      </c>
      <c r="G589" s="98" t="s">
        <v>1318</v>
      </c>
    </row>
    <row r="590" spans="1:7" ht="15" thickBot="1" x14ac:dyDescent="0.4">
      <c r="A590" s="98">
        <v>2005212202</v>
      </c>
      <c r="B590" s="101" t="s">
        <v>1538</v>
      </c>
      <c r="C590" s="98" t="s">
        <v>1532</v>
      </c>
      <c r="D590" s="98" t="s">
        <v>294</v>
      </c>
      <c r="E590" s="98" t="s">
        <v>915</v>
      </c>
      <c r="F590" s="98" t="s">
        <v>1317</v>
      </c>
      <c r="G590" s="98" t="s">
        <v>1319</v>
      </c>
    </row>
    <row r="591" spans="1:7" ht="15" thickBot="1" x14ac:dyDescent="0.4">
      <c r="A591" s="98">
        <v>2005220001</v>
      </c>
      <c r="B591" s="101" t="s">
        <v>1539</v>
      </c>
      <c r="C591" s="98" t="s">
        <v>360</v>
      </c>
      <c r="D591" s="98" t="s">
        <v>294</v>
      </c>
      <c r="E591" s="98" t="s">
        <v>1395</v>
      </c>
      <c r="F591" s="98" t="s">
        <v>1317</v>
      </c>
      <c r="G591" s="98" t="s">
        <v>1318</v>
      </c>
    </row>
    <row r="592" spans="1:7" ht="15" thickBot="1" x14ac:dyDescent="0.4">
      <c r="A592" s="98">
        <v>2005220001</v>
      </c>
      <c r="B592" s="101" t="s">
        <v>1539</v>
      </c>
      <c r="C592" s="98" t="s">
        <v>360</v>
      </c>
      <c r="D592" s="98" t="s">
        <v>294</v>
      </c>
      <c r="E592" s="98" t="s">
        <v>911</v>
      </c>
      <c r="F592" s="98" t="s">
        <v>1317</v>
      </c>
      <c r="G592" s="98" t="s">
        <v>1318</v>
      </c>
    </row>
    <row r="593" spans="1:7" ht="15" thickBot="1" x14ac:dyDescent="0.4">
      <c r="A593" s="98">
        <v>2005220001</v>
      </c>
      <c r="B593" s="101" t="s">
        <v>1539</v>
      </c>
      <c r="C593" s="98" t="s">
        <v>360</v>
      </c>
      <c r="D593" s="98" t="s">
        <v>294</v>
      </c>
      <c r="E593" s="98" t="s">
        <v>915</v>
      </c>
      <c r="F593" s="98" t="s">
        <v>1323</v>
      </c>
      <c r="G593" s="98" t="s">
        <v>1319</v>
      </c>
    </row>
    <row r="594" spans="1:7" ht="15" thickBot="1" x14ac:dyDescent="0.4">
      <c r="A594" s="98">
        <v>2005226159</v>
      </c>
      <c r="B594" s="101" t="s">
        <v>1540</v>
      </c>
      <c r="C594" s="98" t="s">
        <v>360</v>
      </c>
      <c r="D594" s="98" t="s">
        <v>294</v>
      </c>
      <c r="E594" s="98" t="s">
        <v>911</v>
      </c>
      <c r="F594" s="98" t="s">
        <v>1317</v>
      </c>
      <c r="G594" s="98" t="s">
        <v>1318</v>
      </c>
    </row>
    <row r="595" spans="1:7" ht="15" thickBot="1" x14ac:dyDescent="0.4">
      <c r="A595" s="98">
        <v>2005226159</v>
      </c>
      <c r="B595" s="101" t="s">
        <v>1540</v>
      </c>
      <c r="C595" s="98" t="s">
        <v>360</v>
      </c>
      <c r="D595" s="98" t="s">
        <v>294</v>
      </c>
      <c r="E595" s="98" t="s">
        <v>1342</v>
      </c>
      <c r="F595" s="98" t="s">
        <v>1317</v>
      </c>
      <c r="G595" s="98" t="s">
        <v>1318</v>
      </c>
    </row>
    <row r="596" spans="1:7" ht="15" thickBot="1" x14ac:dyDescent="0.4">
      <c r="A596" s="98">
        <v>2005226159</v>
      </c>
      <c r="B596" s="101" t="s">
        <v>1540</v>
      </c>
      <c r="C596" s="98" t="s">
        <v>360</v>
      </c>
      <c r="D596" s="98" t="s">
        <v>294</v>
      </c>
      <c r="E596" s="98" t="s">
        <v>916</v>
      </c>
      <c r="F596" s="98" t="s">
        <v>1323</v>
      </c>
      <c r="G596" s="98" t="s">
        <v>1318</v>
      </c>
    </row>
    <row r="597" spans="1:7" ht="15" thickBot="1" x14ac:dyDescent="0.4">
      <c r="A597" s="98">
        <v>2022218376</v>
      </c>
      <c r="B597" s="101" t="s">
        <v>1541</v>
      </c>
      <c r="C597" s="98" t="s">
        <v>1477</v>
      </c>
      <c r="D597" s="98" t="s">
        <v>294</v>
      </c>
      <c r="E597" s="98" t="s">
        <v>912</v>
      </c>
      <c r="F597" s="98" t="s">
        <v>1317</v>
      </c>
      <c r="G597" s="98" t="s">
        <v>1318</v>
      </c>
    </row>
    <row r="598" spans="1:7" ht="15" thickBot="1" x14ac:dyDescent="0.4">
      <c r="A598" s="98">
        <v>2022218376</v>
      </c>
      <c r="B598" s="101" t="s">
        <v>1541</v>
      </c>
      <c r="C598" s="98" t="s">
        <v>1477</v>
      </c>
      <c r="D598" s="98" t="s">
        <v>294</v>
      </c>
      <c r="E598" s="98" t="s">
        <v>914</v>
      </c>
      <c r="F598" s="98" t="s">
        <v>1317</v>
      </c>
      <c r="G598" s="98" t="s">
        <v>1318</v>
      </c>
    </row>
    <row r="599" spans="1:7" ht="15" thickBot="1" x14ac:dyDescent="0.4">
      <c r="A599" s="98">
        <v>2005225621</v>
      </c>
      <c r="B599" s="101" t="s">
        <v>1542</v>
      </c>
      <c r="C599" s="98" t="s">
        <v>337</v>
      </c>
      <c r="D599" s="98" t="s">
        <v>294</v>
      </c>
      <c r="E599" s="98" t="s">
        <v>912</v>
      </c>
      <c r="F599" s="98" t="s">
        <v>1317</v>
      </c>
      <c r="G599" s="98" t="s">
        <v>1318</v>
      </c>
    </row>
    <row r="600" spans="1:7" ht="15" thickBot="1" x14ac:dyDescent="0.4">
      <c r="A600" s="98">
        <v>2005225621</v>
      </c>
      <c r="B600" s="101" t="s">
        <v>1543</v>
      </c>
      <c r="C600" s="98" t="s">
        <v>337</v>
      </c>
      <c r="D600" s="98" t="s">
        <v>294</v>
      </c>
      <c r="E600" s="98" t="s">
        <v>911</v>
      </c>
      <c r="F600" s="98" t="s">
        <v>1317</v>
      </c>
      <c r="G600" s="98" t="s">
        <v>1318</v>
      </c>
    </row>
    <row r="601" spans="1:7" ht="15" thickBot="1" x14ac:dyDescent="0.4">
      <c r="A601" s="98">
        <v>2005225621</v>
      </c>
      <c r="B601" s="101" t="s">
        <v>1543</v>
      </c>
      <c r="C601" s="98" t="s">
        <v>337</v>
      </c>
      <c r="D601" s="98" t="s">
        <v>294</v>
      </c>
      <c r="E601" s="98" t="s">
        <v>915</v>
      </c>
      <c r="F601" s="98" t="s">
        <v>1317</v>
      </c>
      <c r="G601" s="98" t="s">
        <v>1319</v>
      </c>
    </row>
    <row r="602" spans="1:7" ht="15" thickBot="1" x14ac:dyDescent="0.4">
      <c r="A602" s="98">
        <v>2005225621</v>
      </c>
      <c r="B602" s="101" t="s">
        <v>1543</v>
      </c>
      <c r="C602" s="98" t="s">
        <v>337</v>
      </c>
      <c r="D602" s="98" t="s">
        <v>294</v>
      </c>
      <c r="E602" s="98" t="s">
        <v>915</v>
      </c>
      <c r="F602" s="98" t="s">
        <v>1317</v>
      </c>
      <c r="G602" s="98" t="s">
        <v>1319</v>
      </c>
    </row>
    <row r="603" spans="1:7" ht="15" thickBot="1" x14ac:dyDescent="0.4">
      <c r="A603" s="98">
        <v>2005230425</v>
      </c>
      <c r="B603" s="101" t="s">
        <v>1544</v>
      </c>
      <c r="C603" s="98" t="s">
        <v>1545</v>
      </c>
      <c r="D603" s="98" t="s">
        <v>294</v>
      </c>
      <c r="E603" s="98" t="s">
        <v>1395</v>
      </c>
      <c r="F603" s="98" t="s">
        <v>1317</v>
      </c>
      <c r="G603" s="98" t="s">
        <v>1318</v>
      </c>
    </row>
    <row r="604" spans="1:7" ht="15" thickBot="1" x14ac:dyDescent="0.4">
      <c r="A604" s="98">
        <v>2005224896</v>
      </c>
      <c r="B604" s="101" t="s">
        <v>1546</v>
      </c>
      <c r="C604" s="98" t="s">
        <v>337</v>
      </c>
      <c r="D604" s="98" t="s">
        <v>294</v>
      </c>
      <c r="E604" s="98" t="s">
        <v>912</v>
      </c>
      <c r="F604" s="98" t="s">
        <v>1317</v>
      </c>
      <c r="G604" s="98" t="s">
        <v>1318</v>
      </c>
    </row>
    <row r="605" spans="1:7" ht="15" thickBot="1" x14ac:dyDescent="0.4">
      <c r="A605" s="98">
        <v>2005224896</v>
      </c>
      <c r="B605" s="101" t="s">
        <v>1546</v>
      </c>
      <c r="C605" s="98" t="s">
        <v>337</v>
      </c>
      <c r="D605" s="98" t="s">
        <v>294</v>
      </c>
      <c r="E605" s="98" t="s">
        <v>912</v>
      </c>
      <c r="F605" s="98" t="s">
        <v>1317</v>
      </c>
      <c r="G605" s="98" t="s">
        <v>1318</v>
      </c>
    </row>
    <row r="606" spans="1:7" ht="15" thickBot="1" x14ac:dyDescent="0.4">
      <c r="A606" s="98">
        <v>2005201064</v>
      </c>
      <c r="B606" s="101" t="s">
        <v>1547</v>
      </c>
      <c r="C606" s="98" t="s">
        <v>20</v>
      </c>
      <c r="D606" s="98" t="s">
        <v>294</v>
      </c>
      <c r="E606" s="98" t="s">
        <v>913</v>
      </c>
      <c r="F606" s="98" t="s">
        <v>1317</v>
      </c>
      <c r="G606" s="98" t="s">
        <v>1318</v>
      </c>
    </row>
    <row r="607" spans="1:7" ht="15" thickBot="1" x14ac:dyDescent="0.4">
      <c r="A607" s="98">
        <v>2005201064</v>
      </c>
      <c r="B607" s="101" t="s">
        <v>1547</v>
      </c>
      <c r="C607" s="98" t="s">
        <v>20</v>
      </c>
      <c r="D607" s="98" t="s">
        <v>294</v>
      </c>
      <c r="E607" s="98" t="s">
        <v>912</v>
      </c>
      <c r="F607" s="98" t="s">
        <v>1317</v>
      </c>
      <c r="G607" s="98" t="s">
        <v>1318</v>
      </c>
    </row>
    <row r="608" spans="1:7" ht="15" thickBot="1" x14ac:dyDescent="0.4">
      <c r="A608" s="98">
        <v>2005201064</v>
      </c>
      <c r="B608" s="101" t="s">
        <v>1547</v>
      </c>
      <c r="C608" s="98" t="s">
        <v>20</v>
      </c>
      <c r="D608" s="98" t="s">
        <v>294</v>
      </c>
      <c r="E608" s="98" t="s">
        <v>915</v>
      </c>
      <c r="F608" s="98" t="s">
        <v>1323</v>
      </c>
      <c r="G608" s="98" t="s">
        <v>1319</v>
      </c>
    </row>
    <row r="609" spans="1:7" ht="15" thickBot="1" x14ac:dyDescent="0.4">
      <c r="A609" s="98">
        <v>2005217901</v>
      </c>
      <c r="B609" s="101" t="s">
        <v>1548</v>
      </c>
      <c r="C609" s="98" t="s">
        <v>332</v>
      </c>
      <c r="D609" s="98" t="s">
        <v>294</v>
      </c>
      <c r="E609" s="98" t="s">
        <v>912</v>
      </c>
      <c r="F609" s="98" t="s">
        <v>1317</v>
      </c>
      <c r="G609" s="98" t="s">
        <v>1318</v>
      </c>
    </row>
    <row r="610" spans="1:7" ht="15" thickBot="1" x14ac:dyDescent="0.4">
      <c r="A610" s="98">
        <v>2005217901</v>
      </c>
      <c r="B610" s="101" t="s">
        <v>1548</v>
      </c>
      <c r="C610" s="98" t="s">
        <v>332</v>
      </c>
      <c r="D610" s="98" t="s">
        <v>294</v>
      </c>
      <c r="E610" s="98" t="s">
        <v>911</v>
      </c>
      <c r="F610" s="98" t="s">
        <v>1317</v>
      </c>
      <c r="G610" s="98" t="s">
        <v>1318</v>
      </c>
    </row>
    <row r="611" spans="1:7" ht="15" thickBot="1" x14ac:dyDescent="0.4">
      <c r="A611" s="98">
        <v>2005225987</v>
      </c>
      <c r="B611" s="101" t="s">
        <v>1549</v>
      </c>
      <c r="C611" s="98" t="s">
        <v>337</v>
      </c>
      <c r="D611" s="98" t="s">
        <v>294</v>
      </c>
      <c r="E611" s="98" t="s">
        <v>912</v>
      </c>
      <c r="F611" s="98" t="s">
        <v>1317</v>
      </c>
      <c r="G611" s="98" t="s">
        <v>1318</v>
      </c>
    </row>
    <row r="612" spans="1:7" ht="15" thickBot="1" x14ac:dyDescent="0.4">
      <c r="A612" s="98">
        <v>2005225987</v>
      </c>
      <c r="B612" s="101" t="s">
        <v>1549</v>
      </c>
      <c r="C612" s="98" t="s">
        <v>337</v>
      </c>
      <c r="D612" s="98" t="s">
        <v>294</v>
      </c>
      <c r="E612" s="98" t="s">
        <v>914</v>
      </c>
      <c r="F612" s="98" t="s">
        <v>1317</v>
      </c>
      <c r="G612" s="98" t="s">
        <v>1318</v>
      </c>
    </row>
    <row r="613" spans="1:7" ht="15" thickBot="1" x14ac:dyDescent="0.4">
      <c r="A613" s="98">
        <v>2005225987</v>
      </c>
      <c r="B613" s="101" t="s">
        <v>1549</v>
      </c>
      <c r="C613" s="98" t="s">
        <v>337</v>
      </c>
      <c r="D613" s="98" t="s">
        <v>294</v>
      </c>
      <c r="E613" s="98" t="s">
        <v>913</v>
      </c>
      <c r="F613" s="98" t="s">
        <v>1317</v>
      </c>
      <c r="G613" s="98" t="s">
        <v>1318</v>
      </c>
    </row>
    <row r="614" spans="1:7" ht="15" thickBot="1" x14ac:dyDescent="0.4">
      <c r="A614" s="98">
        <v>2005221603</v>
      </c>
      <c r="B614" s="101" t="s">
        <v>1801</v>
      </c>
      <c r="C614" s="98" t="s">
        <v>337</v>
      </c>
      <c r="D614" s="98" t="s">
        <v>294</v>
      </c>
      <c r="E614" s="98" t="s">
        <v>911</v>
      </c>
      <c r="F614" s="98" t="s">
        <v>1317</v>
      </c>
      <c r="G614" s="98" t="s">
        <v>1318</v>
      </c>
    </row>
    <row r="615" spans="1:7" ht="15" thickBot="1" x14ac:dyDescent="0.4">
      <c r="A615" s="98">
        <v>2005225622</v>
      </c>
      <c r="B615" s="101" t="s">
        <v>1550</v>
      </c>
      <c r="C615" s="98" t="s">
        <v>337</v>
      </c>
      <c r="D615" s="98" t="s">
        <v>294</v>
      </c>
      <c r="E615" s="98" t="s">
        <v>912</v>
      </c>
      <c r="F615" s="98" t="s">
        <v>1317</v>
      </c>
      <c r="G615" s="98" t="s">
        <v>1318</v>
      </c>
    </row>
    <row r="616" spans="1:7" ht="15" thickBot="1" x14ac:dyDescent="0.4">
      <c r="A616" s="98">
        <v>2005225622</v>
      </c>
      <c r="B616" s="101" t="s">
        <v>1550</v>
      </c>
      <c r="C616" s="98" t="s">
        <v>337</v>
      </c>
      <c r="D616" s="98" t="s">
        <v>294</v>
      </c>
      <c r="E616" s="98" t="s">
        <v>914</v>
      </c>
      <c r="F616" s="98" t="s">
        <v>1317</v>
      </c>
      <c r="G616" s="98" t="s">
        <v>1318</v>
      </c>
    </row>
    <row r="617" spans="1:7" ht="15" thickBot="1" x14ac:dyDescent="0.4">
      <c r="A617" s="98">
        <v>2005225622</v>
      </c>
      <c r="B617" s="101" t="s">
        <v>1550</v>
      </c>
      <c r="C617" s="98" t="s">
        <v>337</v>
      </c>
      <c r="D617" s="98" t="s">
        <v>294</v>
      </c>
      <c r="E617" s="98" t="s">
        <v>915</v>
      </c>
      <c r="F617" s="98" t="s">
        <v>1323</v>
      </c>
      <c r="G617" s="98" t="s">
        <v>1319</v>
      </c>
    </row>
    <row r="618" spans="1:7" ht="15" thickBot="1" x14ac:dyDescent="0.4">
      <c r="A618" s="98">
        <v>2005224350</v>
      </c>
      <c r="B618" s="101" t="s">
        <v>1551</v>
      </c>
      <c r="C618" s="98" t="s">
        <v>337</v>
      </c>
      <c r="D618" s="98" t="s">
        <v>294</v>
      </c>
      <c r="E618" s="98" t="s">
        <v>914</v>
      </c>
      <c r="F618" s="98" t="s">
        <v>1317</v>
      </c>
      <c r="G618" s="98" t="s">
        <v>1318</v>
      </c>
    </row>
    <row r="619" spans="1:7" ht="15" thickBot="1" x14ac:dyDescent="0.4">
      <c r="A619" s="98">
        <v>2005224350</v>
      </c>
      <c r="B619" s="101" t="s">
        <v>1551</v>
      </c>
      <c r="C619" s="98" t="s">
        <v>337</v>
      </c>
      <c r="D619" s="98" t="s">
        <v>294</v>
      </c>
      <c r="E619" s="98" t="s">
        <v>911</v>
      </c>
      <c r="F619" s="98" t="s">
        <v>1317</v>
      </c>
      <c r="G619" s="98" t="s">
        <v>1318</v>
      </c>
    </row>
    <row r="620" spans="1:7" ht="15" thickBot="1" x14ac:dyDescent="0.4">
      <c r="A620" s="98">
        <v>2005224350</v>
      </c>
      <c r="B620" s="101" t="s">
        <v>1551</v>
      </c>
      <c r="C620" s="98" t="s">
        <v>337</v>
      </c>
      <c r="D620" s="98" t="s">
        <v>294</v>
      </c>
      <c r="E620" s="98" t="s">
        <v>912</v>
      </c>
      <c r="F620" s="98" t="s">
        <v>1317</v>
      </c>
      <c r="G620" s="98" t="s">
        <v>1318</v>
      </c>
    </row>
    <row r="621" spans="1:7" ht="15" thickBot="1" x14ac:dyDescent="0.4">
      <c r="A621" s="98">
        <v>2005200493</v>
      </c>
      <c r="B621" s="101" t="s">
        <v>2071</v>
      </c>
      <c r="C621" s="98" t="s">
        <v>22</v>
      </c>
      <c r="D621" s="98" t="s">
        <v>294</v>
      </c>
      <c r="E621" s="98" t="s">
        <v>912</v>
      </c>
      <c r="F621" s="98" t="s">
        <v>1317</v>
      </c>
      <c r="G621" s="98" t="s">
        <v>1318</v>
      </c>
    </row>
    <row r="622" spans="1:7" ht="15" thickBot="1" x14ac:dyDescent="0.4">
      <c r="A622" s="98">
        <v>2005221225</v>
      </c>
      <c r="B622" s="101" t="s">
        <v>1552</v>
      </c>
      <c r="C622" s="98" t="s">
        <v>360</v>
      </c>
      <c r="D622" s="98" t="s">
        <v>294</v>
      </c>
      <c r="E622" s="98" t="s">
        <v>912</v>
      </c>
      <c r="F622" s="98" t="s">
        <v>1317</v>
      </c>
      <c r="G622" s="98" t="s">
        <v>1318</v>
      </c>
    </row>
    <row r="623" spans="1:7" ht="15" thickBot="1" x14ac:dyDescent="0.4">
      <c r="A623" s="98">
        <v>2005221225</v>
      </c>
      <c r="B623" s="101" t="s">
        <v>1552</v>
      </c>
      <c r="C623" s="98" t="s">
        <v>360</v>
      </c>
      <c r="D623" s="98" t="s">
        <v>294</v>
      </c>
      <c r="E623" s="98" t="s">
        <v>913</v>
      </c>
      <c r="F623" s="98" t="s">
        <v>1317</v>
      </c>
      <c r="G623" s="98" t="s">
        <v>1318</v>
      </c>
    </row>
    <row r="624" spans="1:7" ht="15" thickBot="1" x14ac:dyDescent="0.4">
      <c r="A624" s="98">
        <v>2005221225</v>
      </c>
      <c r="B624" s="101" t="s">
        <v>1552</v>
      </c>
      <c r="C624" s="98" t="s">
        <v>360</v>
      </c>
      <c r="D624" s="98" t="s">
        <v>294</v>
      </c>
      <c r="E624" s="98" t="s">
        <v>911</v>
      </c>
      <c r="F624" s="98" t="s">
        <v>1317</v>
      </c>
      <c r="G624" s="98" t="s">
        <v>1318</v>
      </c>
    </row>
    <row r="625" spans="1:7" ht="15" thickBot="1" x14ac:dyDescent="0.4">
      <c r="A625" s="98">
        <v>2005221212</v>
      </c>
      <c r="B625" s="101" t="s">
        <v>1553</v>
      </c>
      <c r="C625" s="98" t="s">
        <v>360</v>
      </c>
      <c r="D625" s="98" t="s">
        <v>294</v>
      </c>
      <c r="E625" s="98" t="s">
        <v>912</v>
      </c>
      <c r="F625" s="98" t="s">
        <v>1317</v>
      </c>
      <c r="G625" s="98" t="s">
        <v>1318</v>
      </c>
    </row>
    <row r="626" spans="1:7" ht="15" thickBot="1" x14ac:dyDescent="0.4">
      <c r="A626" s="98">
        <v>2005221212</v>
      </c>
      <c r="B626" s="101" t="s">
        <v>1553</v>
      </c>
      <c r="C626" s="98" t="s">
        <v>360</v>
      </c>
      <c r="D626" s="98" t="s">
        <v>294</v>
      </c>
      <c r="E626" s="98" t="s">
        <v>913</v>
      </c>
      <c r="F626" s="98" t="s">
        <v>1317</v>
      </c>
      <c r="G626" s="98" t="s">
        <v>1318</v>
      </c>
    </row>
    <row r="627" spans="1:7" ht="15" thickBot="1" x14ac:dyDescent="0.4">
      <c r="A627" s="98">
        <v>2005221212</v>
      </c>
      <c r="B627" s="101" t="s">
        <v>1553</v>
      </c>
      <c r="C627" s="98" t="s">
        <v>360</v>
      </c>
      <c r="D627" s="98" t="s">
        <v>294</v>
      </c>
      <c r="E627" s="98" t="s">
        <v>911</v>
      </c>
      <c r="F627" s="98" t="s">
        <v>1317</v>
      </c>
      <c r="G627" s="98" t="s">
        <v>1318</v>
      </c>
    </row>
    <row r="628" spans="1:7" ht="15" thickBot="1" x14ac:dyDescent="0.4">
      <c r="A628" s="98">
        <v>2041225352</v>
      </c>
      <c r="B628" s="101" t="s">
        <v>1371</v>
      </c>
      <c r="C628" s="98" t="s">
        <v>132</v>
      </c>
      <c r="D628" s="98" t="s">
        <v>294</v>
      </c>
      <c r="E628" s="98" t="s">
        <v>912</v>
      </c>
      <c r="F628" s="98" t="s">
        <v>1317</v>
      </c>
      <c r="G628" s="98" t="s">
        <v>1318</v>
      </c>
    </row>
    <row r="629" spans="1:7" ht="15" thickBot="1" x14ac:dyDescent="0.4">
      <c r="A629" s="98">
        <v>2005225490</v>
      </c>
      <c r="B629" s="101" t="s">
        <v>1554</v>
      </c>
      <c r="C629" s="98" t="s">
        <v>337</v>
      </c>
      <c r="D629" s="98" t="s">
        <v>294</v>
      </c>
      <c r="E629" s="98" t="s">
        <v>914</v>
      </c>
      <c r="F629" s="98" t="s">
        <v>1317</v>
      </c>
      <c r="G629" s="98" t="s">
        <v>1318</v>
      </c>
    </row>
    <row r="630" spans="1:7" ht="15" thickBot="1" x14ac:dyDescent="0.4">
      <c r="A630" s="98">
        <v>2005225490</v>
      </c>
      <c r="B630" s="101" t="s">
        <v>1554</v>
      </c>
      <c r="C630" s="98" t="s">
        <v>337</v>
      </c>
      <c r="D630" s="98" t="s">
        <v>294</v>
      </c>
      <c r="E630" s="98" t="s">
        <v>1342</v>
      </c>
      <c r="F630" s="98" t="s">
        <v>1317</v>
      </c>
      <c r="G630" s="98" t="s">
        <v>1318</v>
      </c>
    </row>
    <row r="631" spans="1:7" ht="15" thickBot="1" x14ac:dyDescent="0.4">
      <c r="A631" s="98">
        <v>2005225490</v>
      </c>
      <c r="B631" s="101" t="s">
        <v>1554</v>
      </c>
      <c r="C631" s="98" t="s">
        <v>337</v>
      </c>
      <c r="D631" s="98" t="s">
        <v>294</v>
      </c>
      <c r="E631" s="98" t="s">
        <v>911</v>
      </c>
      <c r="F631" s="98" t="s">
        <v>1317</v>
      </c>
      <c r="G631" s="98" t="s">
        <v>1318</v>
      </c>
    </row>
    <row r="632" spans="1:7" ht="15" thickBot="1" x14ac:dyDescent="0.4">
      <c r="A632" s="98">
        <v>2041225790</v>
      </c>
      <c r="B632" s="101" t="s">
        <v>1615</v>
      </c>
      <c r="C632" s="98" t="s">
        <v>1616</v>
      </c>
      <c r="D632" s="98" t="s">
        <v>294</v>
      </c>
      <c r="E632" s="98" t="s">
        <v>911</v>
      </c>
      <c r="F632" s="98" t="s">
        <v>1317</v>
      </c>
      <c r="G632" s="98" t="s">
        <v>1318</v>
      </c>
    </row>
    <row r="633" spans="1:7" ht="15" thickBot="1" x14ac:dyDescent="0.4">
      <c r="A633" s="98">
        <v>2005223081</v>
      </c>
      <c r="B633" s="101" t="s">
        <v>1555</v>
      </c>
      <c r="C633" s="98" t="s">
        <v>360</v>
      </c>
      <c r="D633" s="98" t="s">
        <v>294</v>
      </c>
      <c r="E633" s="98" t="s">
        <v>912</v>
      </c>
      <c r="F633" s="98" t="s">
        <v>1317</v>
      </c>
      <c r="G633" s="98" t="s">
        <v>1318</v>
      </c>
    </row>
    <row r="634" spans="1:7" ht="15" thickBot="1" x14ac:dyDescent="0.4">
      <c r="A634" s="98">
        <v>2005223081</v>
      </c>
      <c r="B634" s="101" t="s">
        <v>1555</v>
      </c>
      <c r="C634" s="98" t="s">
        <v>360</v>
      </c>
      <c r="D634" s="98" t="s">
        <v>294</v>
      </c>
      <c r="E634" s="98" t="s">
        <v>913</v>
      </c>
      <c r="F634" s="98" t="s">
        <v>1317</v>
      </c>
      <c r="G634" s="98" t="s">
        <v>1318</v>
      </c>
    </row>
    <row r="635" spans="1:7" ht="15" thickBot="1" x14ac:dyDescent="0.4">
      <c r="A635" s="98">
        <v>2005223081</v>
      </c>
      <c r="B635" s="101" t="s">
        <v>1555</v>
      </c>
      <c r="C635" s="98" t="s">
        <v>360</v>
      </c>
      <c r="D635" s="98" t="s">
        <v>294</v>
      </c>
      <c r="E635" s="98" t="s">
        <v>912</v>
      </c>
      <c r="F635" s="98" t="s">
        <v>1317</v>
      </c>
      <c r="G635" s="98" t="s">
        <v>1318</v>
      </c>
    </row>
    <row r="636" spans="1:7" ht="15" thickBot="1" x14ac:dyDescent="0.4">
      <c r="A636" s="98">
        <v>2005223081</v>
      </c>
      <c r="B636" s="101" t="s">
        <v>1555</v>
      </c>
      <c r="C636" s="98" t="s">
        <v>360</v>
      </c>
      <c r="D636" s="98" t="s">
        <v>294</v>
      </c>
      <c r="E636" s="98" t="s">
        <v>913</v>
      </c>
      <c r="F636" s="98" t="s">
        <v>1317</v>
      </c>
      <c r="G636" s="98" t="s">
        <v>1318</v>
      </c>
    </row>
    <row r="637" spans="1:7" ht="15" thickBot="1" x14ac:dyDescent="0.4">
      <c r="A637" s="98">
        <v>2005223081</v>
      </c>
      <c r="B637" s="101" t="s">
        <v>1555</v>
      </c>
      <c r="C637" s="98" t="s">
        <v>360</v>
      </c>
      <c r="D637" s="98" t="s">
        <v>294</v>
      </c>
      <c r="E637" s="98" t="s">
        <v>915</v>
      </c>
      <c r="F637" s="98" t="s">
        <v>1317</v>
      </c>
      <c r="G637" s="98" t="s">
        <v>1319</v>
      </c>
    </row>
    <row r="638" spans="1:7" ht="15" thickBot="1" x14ac:dyDescent="0.4">
      <c r="A638" s="98">
        <v>2041214066</v>
      </c>
      <c r="B638" s="101" t="s">
        <v>1556</v>
      </c>
      <c r="C638" s="98" t="s">
        <v>1492</v>
      </c>
      <c r="D638" s="98" t="s">
        <v>294</v>
      </c>
      <c r="E638" s="98" t="s">
        <v>912</v>
      </c>
      <c r="F638" s="98" t="s">
        <v>1317</v>
      </c>
      <c r="G638" s="98" t="s">
        <v>1318</v>
      </c>
    </row>
    <row r="639" spans="1:7" ht="15" thickBot="1" x14ac:dyDescent="0.4">
      <c r="A639" s="98">
        <v>2041214066</v>
      </c>
      <c r="B639" s="101" t="s">
        <v>1556</v>
      </c>
      <c r="C639" s="98" t="s">
        <v>1492</v>
      </c>
      <c r="D639" s="98" t="s">
        <v>294</v>
      </c>
      <c r="E639" s="98" t="s">
        <v>1342</v>
      </c>
      <c r="F639" s="98" t="s">
        <v>1317</v>
      </c>
      <c r="G639" s="98" t="s">
        <v>1318</v>
      </c>
    </row>
    <row r="640" spans="1:7" ht="15" thickBot="1" x14ac:dyDescent="0.4">
      <c r="A640" s="98">
        <v>2041214066</v>
      </c>
      <c r="B640" s="101" t="s">
        <v>1556</v>
      </c>
      <c r="C640" s="98" t="s">
        <v>1492</v>
      </c>
      <c r="D640" s="98" t="s">
        <v>294</v>
      </c>
      <c r="E640" s="98" t="s">
        <v>911</v>
      </c>
      <c r="F640" s="98" t="s">
        <v>1317</v>
      </c>
      <c r="G640" s="98" t="s">
        <v>1318</v>
      </c>
    </row>
    <row r="641" spans="1:7" ht="15" thickBot="1" x14ac:dyDescent="0.4">
      <c r="A641" s="98">
        <v>2041214066</v>
      </c>
      <c r="B641" s="101" t="s">
        <v>1556</v>
      </c>
      <c r="C641" s="98" t="s">
        <v>1492</v>
      </c>
      <c r="D641" s="98" t="s">
        <v>294</v>
      </c>
      <c r="E641" s="98" t="s">
        <v>915</v>
      </c>
      <c r="F641" s="98" t="s">
        <v>1317</v>
      </c>
      <c r="G641" s="98" t="s">
        <v>1319</v>
      </c>
    </row>
    <row r="642" spans="1:7" ht="15" thickBot="1" x14ac:dyDescent="0.4">
      <c r="A642" s="98">
        <v>2005222898</v>
      </c>
      <c r="B642" s="101" t="s">
        <v>1557</v>
      </c>
      <c r="C642" s="98" t="s">
        <v>360</v>
      </c>
      <c r="D642" s="98" t="s">
        <v>294</v>
      </c>
      <c r="E642" s="98" t="s">
        <v>913</v>
      </c>
      <c r="F642" s="98" t="s">
        <v>1317</v>
      </c>
      <c r="G642" s="98" t="s">
        <v>1318</v>
      </c>
    </row>
    <row r="643" spans="1:7" ht="15" thickBot="1" x14ac:dyDescent="0.4">
      <c r="A643" s="98">
        <v>2005222898</v>
      </c>
      <c r="B643" s="101" t="s">
        <v>1557</v>
      </c>
      <c r="C643" s="98" t="s">
        <v>360</v>
      </c>
      <c r="D643" s="98" t="s">
        <v>294</v>
      </c>
      <c r="E643" s="98" t="s">
        <v>911</v>
      </c>
      <c r="F643" s="98" t="s">
        <v>1317</v>
      </c>
      <c r="G643" s="98" t="s">
        <v>1318</v>
      </c>
    </row>
    <row r="644" spans="1:7" ht="15" thickBot="1" x14ac:dyDescent="0.4">
      <c r="A644" s="98">
        <v>2005220576</v>
      </c>
      <c r="B644" s="101" t="s">
        <v>1558</v>
      </c>
      <c r="C644" s="98" t="s">
        <v>360</v>
      </c>
      <c r="D644" s="98" t="s">
        <v>294</v>
      </c>
      <c r="E644" s="98" t="s">
        <v>911</v>
      </c>
      <c r="F644" s="98" t="s">
        <v>1317</v>
      </c>
      <c r="G644" s="98" t="s">
        <v>1318</v>
      </c>
    </row>
    <row r="645" spans="1:7" ht="15" thickBot="1" x14ac:dyDescent="0.4">
      <c r="A645" s="98">
        <v>2005220576</v>
      </c>
      <c r="B645" s="101" t="s">
        <v>1558</v>
      </c>
      <c r="C645" s="98" t="s">
        <v>360</v>
      </c>
      <c r="D645" s="98" t="s">
        <v>294</v>
      </c>
      <c r="E645" s="98" t="s">
        <v>912</v>
      </c>
      <c r="F645" s="98" t="s">
        <v>1317</v>
      </c>
      <c r="G645" s="98" t="s">
        <v>1318</v>
      </c>
    </row>
    <row r="646" spans="1:7" ht="15" thickBot="1" x14ac:dyDescent="0.4">
      <c r="A646" s="98">
        <v>2005220576</v>
      </c>
      <c r="B646" s="101" t="s">
        <v>1558</v>
      </c>
      <c r="C646" s="98" t="s">
        <v>360</v>
      </c>
      <c r="D646" s="98" t="s">
        <v>294</v>
      </c>
      <c r="E646" s="98" t="s">
        <v>1406</v>
      </c>
      <c r="F646" s="98" t="s">
        <v>1317</v>
      </c>
      <c r="G646" s="98" t="s">
        <v>1318</v>
      </c>
    </row>
    <row r="647" spans="1:7" ht="15" thickBot="1" x14ac:dyDescent="0.4">
      <c r="A647" s="98">
        <v>2041214067</v>
      </c>
      <c r="B647" s="101" t="s">
        <v>1559</v>
      </c>
      <c r="C647" s="98" t="s">
        <v>319</v>
      </c>
      <c r="D647" s="98" t="s">
        <v>294</v>
      </c>
      <c r="E647" s="98" t="s">
        <v>913</v>
      </c>
      <c r="F647" s="98" t="s">
        <v>1317</v>
      </c>
      <c r="G647" s="98" t="s">
        <v>1318</v>
      </c>
    </row>
    <row r="648" spans="1:7" ht="15" thickBot="1" x14ac:dyDescent="0.4">
      <c r="A648" s="98">
        <v>2041214067</v>
      </c>
      <c r="B648" s="101" t="s">
        <v>1559</v>
      </c>
      <c r="C648" s="98" t="s">
        <v>319</v>
      </c>
      <c r="D648" s="98" t="s">
        <v>294</v>
      </c>
      <c r="E648" s="98" t="s">
        <v>911</v>
      </c>
      <c r="F648" s="98" t="s">
        <v>1317</v>
      </c>
      <c r="G648" s="98" t="s">
        <v>1318</v>
      </c>
    </row>
    <row r="649" spans="1:7" ht="15" thickBot="1" x14ac:dyDescent="0.4">
      <c r="A649" s="98">
        <v>2041214067</v>
      </c>
      <c r="B649" s="101" t="s">
        <v>1559</v>
      </c>
      <c r="C649" s="98" t="s">
        <v>319</v>
      </c>
      <c r="D649" s="98" t="s">
        <v>294</v>
      </c>
      <c r="E649" s="98" t="s">
        <v>916</v>
      </c>
      <c r="F649" s="98" t="s">
        <v>1317</v>
      </c>
      <c r="G649" s="98" t="s">
        <v>1319</v>
      </c>
    </row>
    <row r="650" spans="1:7" ht="15" thickBot="1" x14ac:dyDescent="0.4">
      <c r="A650" s="98">
        <v>2022210264</v>
      </c>
      <c r="B650" s="101" t="s">
        <v>1560</v>
      </c>
      <c r="C650" s="98" t="s">
        <v>1505</v>
      </c>
      <c r="D650" s="98" t="s">
        <v>294</v>
      </c>
      <c r="E650" s="98" t="s">
        <v>912</v>
      </c>
      <c r="F650" s="98" t="s">
        <v>1317</v>
      </c>
      <c r="G650" s="98" t="s">
        <v>1318</v>
      </c>
    </row>
    <row r="651" spans="1:7" ht="15" thickBot="1" x14ac:dyDescent="0.4">
      <c r="A651" s="98">
        <v>2022210264</v>
      </c>
      <c r="B651" s="101" t="s">
        <v>1560</v>
      </c>
      <c r="C651" s="98" t="s">
        <v>1505</v>
      </c>
      <c r="D651" s="98" t="s">
        <v>294</v>
      </c>
      <c r="E651" s="98" t="s">
        <v>911</v>
      </c>
      <c r="F651" s="98" t="s">
        <v>1317</v>
      </c>
      <c r="G651" s="98" t="s">
        <v>1318</v>
      </c>
    </row>
    <row r="652" spans="1:7" ht="15" thickBot="1" x14ac:dyDescent="0.4">
      <c r="A652" s="98">
        <v>2022210264</v>
      </c>
      <c r="B652" s="101" t="s">
        <v>1560</v>
      </c>
      <c r="C652" s="98" t="s">
        <v>1505</v>
      </c>
      <c r="D652" s="98" t="s">
        <v>294</v>
      </c>
      <c r="E652" s="98" t="s">
        <v>912</v>
      </c>
      <c r="F652" s="98" t="s">
        <v>1317</v>
      </c>
      <c r="G652" s="98" t="s">
        <v>1318</v>
      </c>
    </row>
    <row r="653" spans="1:7" ht="15" thickBot="1" x14ac:dyDescent="0.4">
      <c r="A653" s="98">
        <v>2022210264</v>
      </c>
      <c r="B653" s="101" t="s">
        <v>1560</v>
      </c>
      <c r="C653" s="98" t="s">
        <v>1505</v>
      </c>
      <c r="D653" s="98" t="s">
        <v>294</v>
      </c>
      <c r="E653" s="98" t="s">
        <v>915</v>
      </c>
      <c r="F653" s="98" t="s">
        <v>1317</v>
      </c>
      <c r="G653" s="98" t="s">
        <v>1319</v>
      </c>
    </row>
    <row r="654" spans="1:7" ht="15" thickBot="1" x14ac:dyDescent="0.4">
      <c r="A654" s="98">
        <v>2005222831</v>
      </c>
      <c r="B654" s="101" t="s">
        <v>2084</v>
      </c>
      <c r="C654" s="98" t="s">
        <v>360</v>
      </c>
      <c r="D654" s="98" t="s">
        <v>294</v>
      </c>
      <c r="E654" s="98" t="s">
        <v>913</v>
      </c>
      <c r="F654" s="98" t="s">
        <v>1317</v>
      </c>
      <c r="G654" s="98" t="s">
        <v>1318</v>
      </c>
    </row>
    <row r="655" spans="1:7" ht="15" thickBot="1" x14ac:dyDescent="0.4">
      <c r="A655" s="98">
        <v>2005222831</v>
      </c>
      <c r="B655" s="101" t="s">
        <v>2084</v>
      </c>
      <c r="C655" s="98" t="s">
        <v>360</v>
      </c>
      <c r="D655" s="98" t="s">
        <v>294</v>
      </c>
      <c r="E655" s="98" t="s">
        <v>912</v>
      </c>
      <c r="F655" s="98" t="s">
        <v>1317</v>
      </c>
      <c r="G655" s="98" t="s">
        <v>1318</v>
      </c>
    </row>
    <row r="656" spans="1:7" ht="15" thickBot="1" x14ac:dyDescent="0.4">
      <c r="A656" s="98">
        <v>2005224359</v>
      </c>
      <c r="B656" s="101" t="s">
        <v>2068</v>
      </c>
      <c r="C656" s="98" t="s">
        <v>337</v>
      </c>
      <c r="D656" s="98" t="s">
        <v>294</v>
      </c>
      <c r="E656" s="98" t="s">
        <v>912</v>
      </c>
      <c r="F656" s="98" t="s">
        <v>1317</v>
      </c>
      <c r="G656" s="98" t="s">
        <v>1318</v>
      </c>
    </row>
    <row r="657" spans="1:7" ht="15" thickBot="1" x14ac:dyDescent="0.4">
      <c r="A657" s="98">
        <v>2005224359</v>
      </c>
      <c r="B657" s="101" t="s">
        <v>2068</v>
      </c>
      <c r="C657" s="98" t="s">
        <v>337</v>
      </c>
      <c r="D657" s="98" t="s">
        <v>294</v>
      </c>
      <c r="E657" s="98" t="s">
        <v>911</v>
      </c>
      <c r="F657" s="98" t="s">
        <v>1317</v>
      </c>
      <c r="G657" s="98" t="s">
        <v>1318</v>
      </c>
    </row>
    <row r="658" spans="1:7" ht="15" thickBot="1" x14ac:dyDescent="0.4">
      <c r="A658" s="98">
        <v>2005224359</v>
      </c>
      <c r="B658" s="101" t="s">
        <v>2068</v>
      </c>
      <c r="C658" s="98" t="s">
        <v>337</v>
      </c>
      <c r="D658" s="98" t="s">
        <v>294</v>
      </c>
      <c r="E658" s="98" t="s">
        <v>915</v>
      </c>
      <c r="F658" s="98" t="s">
        <v>1317</v>
      </c>
      <c r="G658" s="98" t="s">
        <v>1319</v>
      </c>
    </row>
    <row r="659" spans="1:7" ht="15" thickBot="1" x14ac:dyDescent="0.4">
      <c r="A659" s="98">
        <v>2005222188</v>
      </c>
      <c r="B659" s="101" t="s">
        <v>1561</v>
      </c>
      <c r="C659" s="98" t="s">
        <v>360</v>
      </c>
      <c r="D659" s="98" t="s">
        <v>294</v>
      </c>
      <c r="E659" s="98" t="s">
        <v>912</v>
      </c>
      <c r="F659" s="98" t="s">
        <v>1317</v>
      </c>
      <c r="G659" s="98" t="s">
        <v>1318</v>
      </c>
    </row>
    <row r="660" spans="1:7" ht="15" thickBot="1" x14ac:dyDescent="0.4">
      <c r="A660" s="98">
        <v>2005222188</v>
      </c>
      <c r="B660" s="101" t="s">
        <v>1561</v>
      </c>
      <c r="C660" s="98" t="s">
        <v>360</v>
      </c>
      <c r="D660" s="98" t="s">
        <v>294</v>
      </c>
      <c r="E660" s="98" t="s">
        <v>911</v>
      </c>
      <c r="F660" s="98" t="s">
        <v>1317</v>
      </c>
      <c r="G660" s="98" t="s">
        <v>1318</v>
      </c>
    </row>
    <row r="661" spans="1:7" ht="15" thickBot="1" x14ac:dyDescent="0.4">
      <c r="A661" s="98">
        <v>2005230180</v>
      </c>
      <c r="B661" s="101" t="s">
        <v>1562</v>
      </c>
      <c r="C661" s="98" t="s">
        <v>1545</v>
      </c>
      <c r="D661" s="98" t="s">
        <v>294</v>
      </c>
      <c r="E661" s="98" t="s">
        <v>1395</v>
      </c>
      <c r="F661" s="98" t="s">
        <v>1317</v>
      </c>
      <c r="G661" s="98" t="s">
        <v>1318</v>
      </c>
    </row>
    <row r="662" spans="1:7" ht="15" thickBot="1" x14ac:dyDescent="0.4">
      <c r="A662" s="98">
        <v>2041225975</v>
      </c>
      <c r="B662" s="101" t="s">
        <v>1563</v>
      </c>
      <c r="C662" s="98" t="s">
        <v>148</v>
      </c>
      <c r="D662" s="98" t="s">
        <v>441</v>
      </c>
      <c r="E662" s="98" t="s">
        <v>915</v>
      </c>
      <c r="F662" s="98" t="s">
        <v>1317</v>
      </c>
      <c r="G662" s="98" t="s">
        <v>1319</v>
      </c>
    </row>
    <row r="663" spans="1:7" ht="15" thickBot="1" x14ac:dyDescent="0.4">
      <c r="A663" s="98">
        <v>2041225975</v>
      </c>
      <c r="B663" s="101" t="s">
        <v>1563</v>
      </c>
      <c r="C663" s="98" t="s">
        <v>148</v>
      </c>
      <c r="D663" s="98" t="s">
        <v>441</v>
      </c>
      <c r="E663" s="98" t="s">
        <v>912</v>
      </c>
      <c r="F663" s="98" t="s">
        <v>1317</v>
      </c>
      <c r="G663" s="98" t="s">
        <v>1318</v>
      </c>
    </row>
    <row r="664" spans="1:7" ht="15" thickBot="1" x14ac:dyDescent="0.4">
      <c r="A664" s="98">
        <v>2041225975</v>
      </c>
      <c r="B664" s="101" t="s">
        <v>1563</v>
      </c>
      <c r="C664" s="98" t="s">
        <v>148</v>
      </c>
      <c r="D664" s="98" t="s">
        <v>441</v>
      </c>
      <c r="E664" s="98" t="s">
        <v>911</v>
      </c>
      <c r="F664" s="98" t="s">
        <v>1317</v>
      </c>
      <c r="G664" s="98" t="s">
        <v>1318</v>
      </c>
    </row>
    <row r="665" spans="1:7" ht="15" thickBot="1" x14ac:dyDescent="0.4">
      <c r="A665" s="98">
        <v>2041226001</v>
      </c>
      <c r="B665" s="101" t="s">
        <v>1564</v>
      </c>
      <c r="C665" s="98" t="s">
        <v>148</v>
      </c>
      <c r="D665" s="98" t="s">
        <v>441</v>
      </c>
      <c r="E665" s="98" t="s">
        <v>912</v>
      </c>
      <c r="F665" s="98" t="s">
        <v>1317</v>
      </c>
      <c r="G665" s="98" t="s">
        <v>1318</v>
      </c>
    </row>
    <row r="666" spans="1:7" ht="15" thickBot="1" x14ac:dyDescent="0.4">
      <c r="A666" s="98">
        <v>2041225020</v>
      </c>
      <c r="B666" s="101" t="s">
        <v>1566</v>
      </c>
      <c r="C666" s="98" t="s">
        <v>444</v>
      </c>
      <c r="D666" s="98" t="s">
        <v>441</v>
      </c>
      <c r="E666" s="98" t="s">
        <v>1321</v>
      </c>
      <c r="F666" s="98" t="s">
        <v>1317</v>
      </c>
      <c r="G666" s="98" t="s">
        <v>1318</v>
      </c>
    </row>
    <row r="667" spans="1:7" ht="15" thickBot="1" x14ac:dyDescent="0.4">
      <c r="A667" s="98">
        <v>2041225020</v>
      </c>
      <c r="B667" s="101" t="s">
        <v>1565</v>
      </c>
      <c r="C667" s="98" t="s">
        <v>444</v>
      </c>
      <c r="D667" s="98" t="s">
        <v>441</v>
      </c>
      <c r="E667" s="98" t="s">
        <v>911</v>
      </c>
      <c r="F667" s="98" t="s">
        <v>1317</v>
      </c>
      <c r="G667" s="98" t="s">
        <v>1318</v>
      </c>
    </row>
    <row r="668" spans="1:7" ht="15" thickBot="1" x14ac:dyDescent="0.4">
      <c r="A668" s="98">
        <v>2041225020</v>
      </c>
      <c r="B668" s="101" t="s">
        <v>1566</v>
      </c>
      <c r="C668" s="98" t="s">
        <v>444</v>
      </c>
      <c r="D668" s="98" t="s">
        <v>441</v>
      </c>
      <c r="E668" s="98" t="s">
        <v>914</v>
      </c>
      <c r="F668" s="98" t="s">
        <v>1317</v>
      </c>
      <c r="G668" s="98" t="s">
        <v>1318</v>
      </c>
    </row>
    <row r="669" spans="1:7" ht="15" thickBot="1" x14ac:dyDescent="0.4">
      <c r="A669" s="98">
        <v>2041225020</v>
      </c>
      <c r="B669" s="101" t="s">
        <v>1566</v>
      </c>
      <c r="C669" s="98" t="s">
        <v>444</v>
      </c>
      <c r="D669" s="98" t="s">
        <v>441</v>
      </c>
      <c r="E669" s="98" t="s">
        <v>915</v>
      </c>
      <c r="F669" s="98" t="s">
        <v>1323</v>
      </c>
      <c r="G669" s="98" t="s">
        <v>1319</v>
      </c>
    </row>
    <row r="670" spans="1:7" ht="15" thickBot="1" x14ac:dyDescent="0.4">
      <c r="A670" s="98">
        <v>2041226078</v>
      </c>
      <c r="B670" s="101" t="s">
        <v>1567</v>
      </c>
      <c r="C670" s="98" t="s">
        <v>148</v>
      </c>
      <c r="D670" s="98" t="s">
        <v>441</v>
      </c>
      <c r="E670" s="98" t="s">
        <v>911</v>
      </c>
      <c r="F670" s="98" t="s">
        <v>1317</v>
      </c>
      <c r="G670" s="98" t="s">
        <v>1318</v>
      </c>
    </row>
    <row r="671" spans="1:7" ht="15" thickBot="1" x14ac:dyDescent="0.4">
      <c r="A671" s="98">
        <v>2041226078</v>
      </c>
      <c r="B671" s="101" t="s">
        <v>1567</v>
      </c>
      <c r="C671" s="98" t="s">
        <v>148</v>
      </c>
      <c r="D671" s="98" t="s">
        <v>441</v>
      </c>
      <c r="E671" s="98" t="s">
        <v>912</v>
      </c>
      <c r="F671" s="98" t="s">
        <v>1317</v>
      </c>
      <c r="G671" s="98" t="s">
        <v>1318</v>
      </c>
    </row>
    <row r="672" spans="1:7" ht="15" thickBot="1" x14ac:dyDescent="0.4">
      <c r="A672" s="98">
        <v>2041226078</v>
      </c>
      <c r="B672" s="101" t="s">
        <v>1567</v>
      </c>
      <c r="C672" s="98" t="s">
        <v>148</v>
      </c>
      <c r="D672" s="98" t="s">
        <v>441</v>
      </c>
      <c r="E672" s="98" t="s">
        <v>915</v>
      </c>
      <c r="F672" s="98" t="s">
        <v>1323</v>
      </c>
      <c r="G672" s="98" t="s">
        <v>1319</v>
      </c>
    </row>
    <row r="673" spans="1:7" ht="15" thickBot="1" x14ac:dyDescent="0.4">
      <c r="A673" s="98">
        <v>2041220535</v>
      </c>
      <c r="B673" s="101" t="s">
        <v>1568</v>
      </c>
      <c r="C673" s="98" t="s">
        <v>444</v>
      </c>
      <c r="D673" s="98" t="s">
        <v>441</v>
      </c>
      <c r="E673" s="98" t="s">
        <v>1321</v>
      </c>
      <c r="F673" s="98" t="s">
        <v>1317</v>
      </c>
      <c r="G673" s="98" t="s">
        <v>1318</v>
      </c>
    </row>
    <row r="674" spans="1:7" ht="15" thickBot="1" x14ac:dyDescent="0.4">
      <c r="A674" s="98">
        <v>2041220535</v>
      </c>
      <c r="B674" s="101" t="s">
        <v>1568</v>
      </c>
      <c r="C674" s="98" t="s">
        <v>444</v>
      </c>
      <c r="D674" s="98" t="s">
        <v>441</v>
      </c>
      <c r="E674" s="98" t="s">
        <v>911</v>
      </c>
      <c r="F674" s="98" t="s">
        <v>1317</v>
      </c>
      <c r="G674" s="98" t="s">
        <v>1318</v>
      </c>
    </row>
    <row r="675" spans="1:7" ht="15" thickBot="1" x14ac:dyDescent="0.4">
      <c r="A675" s="98">
        <v>2041220535</v>
      </c>
      <c r="B675" s="101" t="s">
        <v>1568</v>
      </c>
      <c r="C675" s="98" t="s">
        <v>444</v>
      </c>
      <c r="D675" s="98" t="s">
        <v>441</v>
      </c>
      <c r="E675" s="98" t="s">
        <v>915</v>
      </c>
      <c r="F675" s="98" t="s">
        <v>1317</v>
      </c>
      <c r="G675" s="98" t="s">
        <v>1319</v>
      </c>
    </row>
    <row r="676" spans="1:7" ht="15" thickBot="1" x14ac:dyDescent="0.4">
      <c r="A676" s="98">
        <v>2041220789</v>
      </c>
      <c r="B676" s="101" t="s">
        <v>1569</v>
      </c>
      <c r="C676" s="98" t="s">
        <v>444</v>
      </c>
      <c r="D676" s="98" t="s">
        <v>441</v>
      </c>
      <c r="E676" s="98" t="s">
        <v>1321</v>
      </c>
      <c r="F676" s="98" t="s">
        <v>1317</v>
      </c>
      <c r="G676" s="98" t="s">
        <v>1318</v>
      </c>
    </row>
    <row r="677" spans="1:7" ht="15" thickBot="1" x14ac:dyDescent="0.4">
      <c r="A677" s="98">
        <v>2041220789</v>
      </c>
      <c r="B677" s="101" t="s">
        <v>1569</v>
      </c>
      <c r="C677" s="98" t="s">
        <v>444</v>
      </c>
      <c r="D677" s="98" t="s">
        <v>441</v>
      </c>
      <c r="E677" s="98" t="s">
        <v>911</v>
      </c>
      <c r="F677" s="98" t="s">
        <v>1317</v>
      </c>
      <c r="G677" s="98" t="s">
        <v>1318</v>
      </c>
    </row>
    <row r="678" spans="1:7" ht="15" thickBot="1" x14ac:dyDescent="0.4">
      <c r="A678" s="98">
        <v>2041220789</v>
      </c>
      <c r="B678" s="101" t="s">
        <v>1569</v>
      </c>
      <c r="C678" s="98" t="s">
        <v>444</v>
      </c>
      <c r="D678" s="98" t="s">
        <v>441</v>
      </c>
      <c r="E678" s="98" t="s">
        <v>911</v>
      </c>
      <c r="F678" s="98" t="s">
        <v>1317</v>
      </c>
      <c r="G678" s="98" t="s">
        <v>1318</v>
      </c>
    </row>
    <row r="679" spans="1:7" ht="15" thickBot="1" x14ac:dyDescent="0.4">
      <c r="A679" s="98">
        <v>2041220789</v>
      </c>
      <c r="B679" s="101" t="s">
        <v>1569</v>
      </c>
      <c r="C679" s="98" t="s">
        <v>444</v>
      </c>
      <c r="D679" s="98" t="s">
        <v>441</v>
      </c>
      <c r="E679" s="98" t="s">
        <v>915</v>
      </c>
      <c r="F679" s="98" t="s">
        <v>1323</v>
      </c>
      <c r="G679" s="98" t="s">
        <v>1319</v>
      </c>
    </row>
    <row r="680" spans="1:7" ht="15" thickBot="1" x14ac:dyDescent="0.4">
      <c r="A680" s="98">
        <v>2041225550</v>
      </c>
      <c r="B680" s="101" t="s">
        <v>1570</v>
      </c>
      <c r="C680" s="98" t="s">
        <v>444</v>
      </c>
      <c r="D680" s="98" t="s">
        <v>441</v>
      </c>
      <c r="E680" s="98" t="s">
        <v>1321</v>
      </c>
      <c r="F680" s="98" t="s">
        <v>1317</v>
      </c>
      <c r="G680" s="98" t="s">
        <v>1318</v>
      </c>
    </row>
    <row r="681" spans="1:7" ht="15" thickBot="1" x14ac:dyDescent="0.4">
      <c r="A681" s="98">
        <v>2041225550</v>
      </c>
      <c r="B681" s="101" t="s">
        <v>1570</v>
      </c>
      <c r="C681" s="98" t="s">
        <v>444</v>
      </c>
      <c r="D681" s="98" t="s">
        <v>441</v>
      </c>
      <c r="E681" s="98" t="s">
        <v>911</v>
      </c>
      <c r="F681" s="98" t="s">
        <v>1317</v>
      </c>
      <c r="G681" s="98" t="s">
        <v>1318</v>
      </c>
    </row>
    <row r="682" spans="1:7" ht="15" thickBot="1" x14ac:dyDescent="0.4">
      <c r="A682" s="98">
        <v>2041225550</v>
      </c>
      <c r="B682" s="101" t="s">
        <v>1570</v>
      </c>
      <c r="C682" s="98" t="s">
        <v>444</v>
      </c>
      <c r="D682" s="98" t="s">
        <v>441</v>
      </c>
      <c r="E682" s="98" t="s">
        <v>916</v>
      </c>
      <c r="F682" s="98" t="s">
        <v>1323</v>
      </c>
      <c r="G682" s="98" t="s">
        <v>1319</v>
      </c>
    </row>
    <row r="683" spans="1:7" ht="15" thickBot="1" x14ac:dyDescent="0.4">
      <c r="A683" s="98">
        <v>2041222296</v>
      </c>
      <c r="B683" s="101" t="s">
        <v>1571</v>
      </c>
      <c r="C683" s="98" t="s">
        <v>444</v>
      </c>
      <c r="D683" s="98" t="s">
        <v>441</v>
      </c>
      <c r="E683" s="98" t="s">
        <v>911</v>
      </c>
      <c r="F683" s="98" t="s">
        <v>1317</v>
      </c>
      <c r="G683" s="98" t="s">
        <v>1318</v>
      </c>
    </row>
    <row r="684" spans="1:7" ht="15" thickBot="1" x14ac:dyDescent="0.4">
      <c r="A684" s="98">
        <v>2041222296</v>
      </c>
      <c r="B684" s="101" t="s">
        <v>1571</v>
      </c>
      <c r="C684" s="98" t="s">
        <v>444</v>
      </c>
      <c r="D684" s="98" t="s">
        <v>441</v>
      </c>
      <c r="E684" s="98" t="s">
        <v>911</v>
      </c>
      <c r="F684" s="98" t="s">
        <v>1317</v>
      </c>
      <c r="G684" s="98" t="s">
        <v>1318</v>
      </c>
    </row>
    <row r="685" spans="1:7" ht="15" thickBot="1" x14ac:dyDescent="0.4">
      <c r="A685" s="98">
        <v>2041222296</v>
      </c>
      <c r="B685" s="101" t="s">
        <v>1572</v>
      </c>
      <c r="C685" s="98" t="s">
        <v>444</v>
      </c>
      <c r="D685" s="98" t="s">
        <v>441</v>
      </c>
      <c r="E685" s="98" t="s">
        <v>914</v>
      </c>
      <c r="F685" s="98" t="s">
        <v>1317</v>
      </c>
      <c r="G685" s="98" t="s">
        <v>1318</v>
      </c>
    </row>
    <row r="686" spans="1:7" ht="15" thickBot="1" x14ac:dyDescent="0.4">
      <c r="A686" s="98">
        <v>2041222296</v>
      </c>
      <c r="B686" s="101" t="s">
        <v>1572</v>
      </c>
      <c r="C686" s="98" t="s">
        <v>444</v>
      </c>
      <c r="D686" s="98" t="s">
        <v>441</v>
      </c>
      <c r="E686" s="98" t="s">
        <v>912</v>
      </c>
      <c r="F686" s="98" t="s">
        <v>1317</v>
      </c>
      <c r="G686" s="98" t="s">
        <v>1318</v>
      </c>
    </row>
    <row r="687" spans="1:7" ht="15" thickBot="1" x14ac:dyDescent="0.4">
      <c r="A687" s="98">
        <v>2041225983</v>
      </c>
      <c r="B687" s="101" t="s">
        <v>1573</v>
      </c>
      <c r="C687" s="98" t="s">
        <v>148</v>
      </c>
      <c r="D687" s="98" t="s">
        <v>441</v>
      </c>
      <c r="E687" s="98" t="s">
        <v>911</v>
      </c>
      <c r="F687" s="98" t="s">
        <v>1317</v>
      </c>
      <c r="G687" s="98" t="s">
        <v>1318</v>
      </c>
    </row>
    <row r="688" spans="1:7" ht="15" thickBot="1" x14ac:dyDescent="0.4">
      <c r="A688" s="98">
        <v>2041225983</v>
      </c>
      <c r="B688" s="101" t="s">
        <v>1573</v>
      </c>
      <c r="C688" s="98" t="s">
        <v>148</v>
      </c>
      <c r="D688" s="98" t="s">
        <v>441</v>
      </c>
      <c r="E688" s="98" t="s">
        <v>916</v>
      </c>
      <c r="F688" s="98" t="s">
        <v>1323</v>
      </c>
      <c r="G688" s="98" t="s">
        <v>1319</v>
      </c>
    </row>
    <row r="689" spans="1:7" ht="15" thickBot="1" x14ac:dyDescent="0.4">
      <c r="A689" s="98">
        <v>2041225983</v>
      </c>
      <c r="B689" s="101" t="s">
        <v>1573</v>
      </c>
      <c r="C689" s="98" t="s">
        <v>148</v>
      </c>
      <c r="D689" s="98" t="s">
        <v>441</v>
      </c>
      <c r="E689" s="98" t="s">
        <v>912</v>
      </c>
      <c r="F689" s="98" t="s">
        <v>1317</v>
      </c>
      <c r="G689" s="98" t="s">
        <v>1318</v>
      </c>
    </row>
    <row r="690" spans="1:7" ht="15" thickBot="1" x14ac:dyDescent="0.4">
      <c r="A690" s="98">
        <v>2041225428</v>
      </c>
      <c r="B690" s="101" t="s">
        <v>1574</v>
      </c>
      <c r="C690" s="98" t="s">
        <v>444</v>
      </c>
      <c r="D690" s="98" t="s">
        <v>441</v>
      </c>
      <c r="E690" s="98" t="s">
        <v>1321</v>
      </c>
      <c r="F690" s="98" t="s">
        <v>1317</v>
      </c>
      <c r="G690" s="98" t="s">
        <v>1318</v>
      </c>
    </row>
    <row r="691" spans="1:7" ht="15" thickBot="1" x14ac:dyDescent="0.4">
      <c r="A691" s="98">
        <v>2041225428</v>
      </c>
      <c r="B691" s="101" t="s">
        <v>1574</v>
      </c>
      <c r="C691" s="98" t="s">
        <v>444</v>
      </c>
      <c r="D691" s="98" t="s">
        <v>441</v>
      </c>
      <c r="E691" s="98" t="s">
        <v>911</v>
      </c>
      <c r="F691" s="98" t="s">
        <v>1317</v>
      </c>
      <c r="G691" s="98" t="s">
        <v>1318</v>
      </c>
    </row>
    <row r="692" spans="1:7" ht="15" thickBot="1" x14ac:dyDescent="0.4">
      <c r="A692" s="98">
        <v>2041225428</v>
      </c>
      <c r="B692" s="101" t="s">
        <v>1574</v>
      </c>
      <c r="C692" s="98" t="s">
        <v>444</v>
      </c>
      <c r="D692" s="98" t="s">
        <v>441</v>
      </c>
      <c r="E692" s="98" t="s">
        <v>915</v>
      </c>
      <c r="F692" s="98" t="s">
        <v>1323</v>
      </c>
      <c r="G692" s="98" t="s">
        <v>1319</v>
      </c>
    </row>
    <row r="693" spans="1:7" ht="15" thickBot="1" x14ac:dyDescent="0.4">
      <c r="A693" s="98">
        <v>2041221255</v>
      </c>
      <c r="B693" s="101" t="s">
        <v>1575</v>
      </c>
      <c r="C693" s="98" t="s">
        <v>444</v>
      </c>
      <c r="D693" s="98" t="s">
        <v>441</v>
      </c>
      <c r="E693" s="98" t="s">
        <v>913</v>
      </c>
      <c r="F693" s="98" t="s">
        <v>1317</v>
      </c>
      <c r="G693" s="98" t="s">
        <v>1318</v>
      </c>
    </row>
    <row r="694" spans="1:7" ht="15" thickBot="1" x14ac:dyDescent="0.4">
      <c r="A694" s="98">
        <v>2041221255</v>
      </c>
      <c r="B694" s="101" t="s">
        <v>1575</v>
      </c>
      <c r="C694" s="98" t="s">
        <v>444</v>
      </c>
      <c r="D694" s="98" t="s">
        <v>441</v>
      </c>
      <c r="E694" s="98" t="s">
        <v>916</v>
      </c>
      <c r="F694" s="98" t="s">
        <v>1317</v>
      </c>
      <c r="G694" s="98" t="s">
        <v>1319</v>
      </c>
    </row>
    <row r="695" spans="1:7" ht="15" thickBot="1" x14ac:dyDescent="0.4">
      <c r="A695" s="98">
        <v>2041221255</v>
      </c>
      <c r="B695" s="101" t="s">
        <v>1575</v>
      </c>
      <c r="C695" s="98" t="s">
        <v>444</v>
      </c>
      <c r="D695" s="98" t="s">
        <v>441</v>
      </c>
      <c r="E695" s="98" t="s">
        <v>911</v>
      </c>
      <c r="F695" s="98" t="s">
        <v>1317</v>
      </c>
      <c r="G695" s="98" t="s">
        <v>1318</v>
      </c>
    </row>
    <row r="696" spans="1:7" ht="15" thickBot="1" x14ac:dyDescent="0.4">
      <c r="A696" s="98">
        <v>2041225813</v>
      </c>
      <c r="B696" s="101" t="s">
        <v>440</v>
      </c>
      <c r="C696" s="98" t="s">
        <v>148</v>
      </c>
      <c r="D696" s="98" t="s">
        <v>441</v>
      </c>
      <c r="E696" s="98" t="s">
        <v>912</v>
      </c>
      <c r="F696" s="98" t="s">
        <v>1317</v>
      </c>
      <c r="G696" s="98" t="s">
        <v>1318</v>
      </c>
    </row>
    <row r="697" spans="1:7" ht="15" thickBot="1" x14ac:dyDescent="0.4">
      <c r="A697" s="98">
        <v>2041225813</v>
      </c>
      <c r="B697" s="101" t="s">
        <v>1576</v>
      </c>
      <c r="C697" s="98" t="s">
        <v>148</v>
      </c>
      <c r="D697" s="98" t="s">
        <v>441</v>
      </c>
      <c r="E697" s="98" t="s">
        <v>911</v>
      </c>
      <c r="F697" s="98" t="s">
        <v>1317</v>
      </c>
      <c r="G697" s="98" t="s">
        <v>1318</v>
      </c>
    </row>
    <row r="698" spans="1:7" ht="15" thickBot="1" x14ac:dyDescent="0.4">
      <c r="A698" s="98">
        <v>2041226246</v>
      </c>
      <c r="B698" s="101" t="s">
        <v>1577</v>
      </c>
      <c r="C698" s="98" t="s">
        <v>444</v>
      </c>
      <c r="D698" s="98" t="s">
        <v>441</v>
      </c>
      <c r="E698" s="98" t="s">
        <v>911</v>
      </c>
      <c r="F698" s="98" t="s">
        <v>1317</v>
      </c>
      <c r="G698" s="98" t="s">
        <v>1318</v>
      </c>
    </row>
    <row r="699" spans="1:7" ht="15" thickBot="1" x14ac:dyDescent="0.4">
      <c r="A699" s="98">
        <v>2041226246</v>
      </c>
      <c r="B699" s="101" t="s">
        <v>1577</v>
      </c>
      <c r="C699" s="98" t="s">
        <v>444</v>
      </c>
      <c r="D699" s="98" t="s">
        <v>441</v>
      </c>
      <c r="E699" s="98" t="s">
        <v>913</v>
      </c>
      <c r="F699" s="98" t="s">
        <v>1317</v>
      </c>
      <c r="G699" s="98" t="s">
        <v>1318</v>
      </c>
    </row>
    <row r="700" spans="1:7" ht="15" thickBot="1" x14ac:dyDescent="0.4">
      <c r="A700" s="98">
        <v>2041226246</v>
      </c>
      <c r="B700" s="101" t="s">
        <v>1577</v>
      </c>
      <c r="C700" s="98" t="s">
        <v>444</v>
      </c>
      <c r="D700" s="98" t="s">
        <v>441</v>
      </c>
      <c r="E700" s="98" t="s">
        <v>916</v>
      </c>
      <c r="F700" s="98" t="s">
        <v>1317</v>
      </c>
      <c r="G700" s="98" t="s">
        <v>1319</v>
      </c>
    </row>
    <row r="701" spans="1:7" ht="15" thickBot="1" x14ac:dyDescent="0.4">
      <c r="A701" s="98">
        <v>2041226242</v>
      </c>
      <c r="B701" s="101" t="s">
        <v>1578</v>
      </c>
      <c r="C701" s="98" t="s">
        <v>444</v>
      </c>
      <c r="D701" s="98" t="s">
        <v>441</v>
      </c>
      <c r="E701" s="98" t="s">
        <v>911</v>
      </c>
      <c r="F701" s="98" t="s">
        <v>1317</v>
      </c>
      <c r="G701" s="98" t="s">
        <v>1319</v>
      </c>
    </row>
    <row r="702" spans="1:7" ht="15" thickBot="1" x14ac:dyDescent="0.4">
      <c r="A702" s="98">
        <v>2041226242</v>
      </c>
      <c r="B702" s="101" t="s">
        <v>1578</v>
      </c>
      <c r="C702" s="98" t="s">
        <v>444</v>
      </c>
      <c r="D702" s="98" t="s">
        <v>441</v>
      </c>
      <c r="E702" s="98" t="s">
        <v>915</v>
      </c>
      <c r="F702" s="98" t="s">
        <v>1317</v>
      </c>
      <c r="G702" s="98" t="s">
        <v>1319</v>
      </c>
    </row>
    <row r="703" spans="1:7" ht="15" thickBot="1" x14ac:dyDescent="0.4">
      <c r="A703" s="98">
        <v>2041226242</v>
      </c>
      <c r="B703" s="101" t="s">
        <v>1578</v>
      </c>
      <c r="C703" s="98" t="s">
        <v>444</v>
      </c>
      <c r="D703" s="98" t="s">
        <v>441</v>
      </c>
      <c r="E703" s="98" t="s">
        <v>914</v>
      </c>
      <c r="F703" s="98" t="s">
        <v>1317</v>
      </c>
      <c r="G703" s="98" t="s">
        <v>1318</v>
      </c>
    </row>
    <row r="704" spans="1:7" ht="15" thickBot="1" x14ac:dyDescent="0.4">
      <c r="A704" s="98">
        <v>2041222736</v>
      </c>
      <c r="B704" s="101" t="s">
        <v>1579</v>
      </c>
      <c r="C704" s="98" t="s">
        <v>444</v>
      </c>
      <c r="D704" s="98" t="s">
        <v>441</v>
      </c>
      <c r="E704" s="98" t="s">
        <v>1321</v>
      </c>
      <c r="F704" s="98" t="s">
        <v>1317</v>
      </c>
      <c r="G704" s="98" t="s">
        <v>1319</v>
      </c>
    </row>
    <row r="705" spans="1:7" ht="15" thickBot="1" x14ac:dyDescent="0.4">
      <c r="A705" s="98">
        <v>2041222736</v>
      </c>
      <c r="B705" s="101" t="s">
        <v>1579</v>
      </c>
      <c r="C705" s="98" t="s">
        <v>444</v>
      </c>
      <c r="D705" s="98" t="s">
        <v>441</v>
      </c>
      <c r="E705" s="98" t="s">
        <v>911</v>
      </c>
      <c r="F705" s="98" t="s">
        <v>1317</v>
      </c>
      <c r="G705" s="98" t="s">
        <v>1318</v>
      </c>
    </row>
    <row r="706" spans="1:7" ht="15" thickBot="1" x14ac:dyDescent="0.4">
      <c r="A706" s="98">
        <v>2041222736</v>
      </c>
      <c r="B706" s="101" t="s">
        <v>1579</v>
      </c>
      <c r="C706" s="98" t="s">
        <v>444</v>
      </c>
      <c r="D706" s="98" t="s">
        <v>441</v>
      </c>
      <c r="E706" s="98" t="s">
        <v>915</v>
      </c>
      <c r="F706" s="98" t="s">
        <v>1323</v>
      </c>
      <c r="G706" s="98" t="s">
        <v>1319</v>
      </c>
    </row>
    <row r="707" spans="1:7" ht="15" thickBot="1" x14ac:dyDescent="0.4">
      <c r="A707" s="98">
        <v>2041222736</v>
      </c>
      <c r="B707" s="101" t="s">
        <v>1579</v>
      </c>
      <c r="C707" s="98" t="s">
        <v>444</v>
      </c>
      <c r="D707" s="98" t="s">
        <v>441</v>
      </c>
      <c r="E707" s="98" t="s">
        <v>914</v>
      </c>
      <c r="F707" s="98" t="s">
        <v>1317</v>
      </c>
      <c r="G707" s="98" t="s">
        <v>1318</v>
      </c>
    </row>
    <row r="708" spans="1:7" ht="15" thickBot="1" x14ac:dyDescent="0.4">
      <c r="A708" s="98">
        <v>2041225735</v>
      </c>
      <c r="B708" s="101" t="s">
        <v>1580</v>
      </c>
      <c r="C708" s="98" t="s">
        <v>444</v>
      </c>
      <c r="D708" s="98" t="s">
        <v>441</v>
      </c>
      <c r="E708" s="98" t="s">
        <v>912</v>
      </c>
      <c r="F708" s="98" t="s">
        <v>1317</v>
      </c>
      <c r="G708" s="98" t="s">
        <v>1318</v>
      </c>
    </row>
    <row r="709" spans="1:7" ht="15" thickBot="1" x14ac:dyDescent="0.4">
      <c r="A709" s="98">
        <v>2041225735</v>
      </c>
      <c r="B709" s="101" t="s">
        <v>1580</v>
      </c>
      <c r="C709" s="98" t="s">
        <v>444</v>
      </c>
      <c r="D709" s="98" t="s">
        <v>441</v>
      </c>
      <c r="E709" s="98" t="s">
        <v>911</v>
      </c>
      <c r="F709" s="98" t="s">
        <v>1317</v>
      </c>
      <c r="G709" s="98" t="s">
        <v>1318</v>
      </c>
    </row>
    <row r="710" spans="1:7" ht="15" thickBot="1" x14ac:dyDescent="0.4">
      <c r="A710" s="98">
        <v>2041225735</v>
      </c>
      <c r="B710" s="101" t="s">
        <v>1580</v>
      </c>
      <c r="C710" s="98" t="s">
        <v>444</v>
      </c>
      <c r="D710" s="98" t="s">
        <v>441</v>
      </c>
      <c r="E710" s="98" t="s">
        <v>915</v>
      </c>
      <c r="F710" s="98" t="s">
        <v>1323</v>
      </c>
      <c r="G710" s="98" t="s">
        <v>1319</v>
      </c>
    </row>
    <row r="711" spans="1:7" ht="15" thickBot="1" x14ac:dyDescent="0.4">
      <c r="A711" s="98">
        <v>2041225084</v>
      </c>
      <c r="B711" s="101" t="s">
        <v>1581</v>
      </c>
      <c r="C711" s="98" t="s">
        <v>444</v>
      </c>
      <c r="D711" s="98" t="s">
        <v>441</v>
      </c>
      <c r="E711" s="98" t="s">
        <v>913</v>
      </c>
      <c r="F711" s="98" t="s">
        <v>1317</v>
      </c>
      <c r="G711" s="98" t="s">
        <v>1318</v>
      </c>
    </row>
    <row r="712" spans="1:7" ht="15" thickBot="1" x14ac:dyDescent="0.4">
      <c r="A712" s="98">
        <v>2041225084</v>
      </c>
      <c r="B712" s="101" t="s">
        <v>1581</v>
      </c>
      <c r="C712" s="98" t="s">
        <v>444</v>
      </c>
      <c r="D712" s="98" t="s">
        <v>441</v>
      </c>
      <c r="E712" s="98" t="s">
        <v>915</v>
      </c>
      <c r="F712" s="98" t="s">
        <v>1317</v>
      </c>
      <c r="G712" s="98" t="s">
        <v>1319</v>
      </c>
    </row>
    <row r="713" spans="1:7" ht="15" thickBot="1" x14ac:dyDescent="0.4">
      <c r="A713" s="98">
        <v>2041225084</v>
      </c>
      <c r="B713" s="101" t="s">
        <v>1581</v>
      </c>
      <c r="C713" s="98" t="s">
        <v>444</v>
      </c>
      <c r="D713" s="98" t="s">
        <v>441</v>
      </c>
      <c r="E713" s="98" t="s">
        <v>911</v>
      </c>
      <c r="F713" s="98" t="s">
        <v>1317</v>
      </c>
      <c r="G713" s="98" t="s">
        <v>1318</v>
      </c>
    </row>
    <row r="714" spans="1:7" ht="15" thickBot="1" x14ac:dyDescent="0.4">
      <c r="A714" s="98">
        <v>2041222339</v>
      </c>
      <c r="B714" s="101" t="s">
        <v>1582</v>
      </c>
      <c r="C714" s="98" t="s">
        <v>444</v>
      </c>
      <c r="D714" s="98" t="s">
        <v>441</v>
      </c>
      <c r="E714" s="98" t="s">
        <v>911</v>
      </c>
      <c r="F714" s="98" t="s">
        <v>1317</v>
      </c>
      <c r="G714" s="98" t="s">
        <v>1318</v>
      </c>
    </row>
    <row r="715" spans="1:7" ht="15" thickBot="1" x14ac:dyDescent="0.4">
      <c r="A715" s="98">
        <v>2041222339</v>
      </c>
      <c r="B715" s="101" t="s">
        <v>1582</v>
      </c>
      <c r="C715" s="98" t="s">
        <v>444</v>
      </c>
      <c r="D715" s="98" t="s">
        <v>441</v>
      </c>
      <c r="E715" s="98" t="s">
        <v>914</v>
      </c>
      <c r="F715" s="98" t="s">
        <v>1317</v>
      </c>
      <c r="G715" s="98" t="s">
        <v>1318</v>
      </c>
    </row>
    <row r="716" spans="1:7" ht="15" thickBot="1" x14ac:dyDescent="0.4">
      <c r="A716" s="98">
        <v>2041226076</v>
      </c>
      <c r="B716" s="101" t="s">
        <v>1583</v>
      </c>
      <c r="C716" s="98" t="s">
        <v>148</v>
      </c>
      <c r="D716" s="98" t="s">
        <v>441</v>
      </c>
      <c r="E716" s="98" t="s">
        <v>912</v>
      </c>
      <c r="F716" s="98" t="s">
        <v>1317</v>
      </c>
      <c r="G716" s="98" t="s">
        <v>1318</v>
      </c>
    </row>
    <row r="717" spans="1:7" ht="15" thickBot="1" x14ac:dyDescent="0.4">
      <c r="A717" s="98">
        <v>2041226076</v>
      </c>
      <c r="B717" s="101" t="s">
        <v>1583</v>
      </c>
      <c r="C717" s="98" t="s">
        <v>148</v>
      </c>
      <c r="D717" s="98" t="s">
        <v>441</v>
      </c>
      <c r="E717" s="98" t="s">
        <v>915</v>
      </c>
      <c r="F717" s="98" t="s">
        <v>1317</v>
      </c>
      <c r="G717" s="98" t="s">
        <v>1319</v>
      </c>
    </row>
    <row r="718" spans="1:7" ht="15" thickBot="1" x14ac:dyDescent="0.4">
      <c r="A718" s="98">
        <v>2041226076</v>
      </c>
      <c r="B718" s="101" t="s">
        <v>1583</v>
      </c>
      <c r="C718" s="98" t="s">
        <v>148</v>
      </c>
      <c r="D718" s="98" t="s">
        <v>441</v>
      </c>
      <c r="E718" s="98" t="s">
        <v>911</v>
      </c>
      <c r="F718" s="98" t="s">
        <v>1317</v>
      </c>
      <c r="G718" s="98" t="s">
        <v>1318</v>
      </c>
    </row>
    <row r="719" spans="1:7" ht="15" thickBot="1" x14ac:dyDescent="0.4">
      <c r="A719" s="98">
        <v>2041225754</v>
      </c>
      <c r="B719" s="101" t="s">
        <v>1584</v>
      </c>
      <c r="C719" s="98" t="s">
        <v>148</v>
      </c>
      <c r="D719" s="98" t="s">
        <v>441</v>
      </c>
      <c r="E719" s="98" t="s">
        <v>914</v>
      </c>
      <c r="F719" s="98" t="s">
        <v>1317</v>
      </c>
      <c r="G719" s="98" t="s">
        <v>1318</v>
      </c>
    </row>
    <row r="720" spans="1:7" ht="15" thickBot="1" x14ac:dyDescent="0.4">
      <c r="A720" s="98">
        <v>2041225754</v>
      </c>
      <c r="B720" s="101" t="s">
        <v>1584</v>
      </c>
      <c r="C720" s="98" t="s">
        <v>148</v>
      </c>
      <c r="D720" s="98" t="s">
        <v>441</v>
      </c>
      <c r="E720" s="98" t="s">
        <v>916</v>
      </c>
      <c r="F720" s="98" t="s">
        <v>1317</v>
      </c>
      <c r="G720" s="98" t="s">
        <v>1319</v>
      </c>
    </row>
    <row r="721" spans="1:7" ht="15" thickBot="1" x14ac:dyDescent="0.4">
      <c r="A721" s="98">
        <v>2041222216</v>
      </c>
      <c r="B721" s="101" t="s">
        <v>1585</v>
      </c>
      <c r="C721" s="98" t="s">
        <v>444</v>
      </c>
      <c r="D721" s="98" t="s">
        <v>441</v>
      </c>
      <c r="E721" s="98" t="s">
        <v>911</v>
      </c>
      <c r="F721" s="98" t="s">
        <v>1317</v>
      </c>
      <c r="G721" s="98" t="s">
        <v>1318</v>
      </c>
    </row>
    <row r="722" spans="1:7" ht="15" thickBot="1" x14ac:dyDescent="0.4">
      <c r="A722" s="98">
        <v>2041222216</v>
      </c>
      <c r="B722" s="101" t="s">
        <v>1585</v>
      </c>
      <c r="C722" s="98" t="s">
        <v>444</v>
      </c>
      <c r="D722" s="98" t="s">
        <v>441</v>
      </c>
      <c r="E722" s="98" t="s">
        <v>914</v>
      </c>
      <c r="F722" s="98" t="s">
        <v>1317</v>
      </c>
      <c r="G722" s="98" t="s">
        <v>1318</v>
      </c>
    </row>
    <row r="723" spans="1:7" ht="15" thickBot="1" x14ac:dyDescent="0.4">
      <c r="A723" s="98">
        <v>2041222216</v>
      </c>
      <c r="B723" s="101" t="s">
        <v>1585</v>
      </c>
      <c r="C723" s="98" t="s">
        <v>444</v>
      </c>
      <c r="D723" s="98" t="s">
        <v>441</v>
      </c>
      <c r="E723" s="98" t="s">
        <v>912</v>
      </c>
      <c r="F723" s="98" t="s">
        <v>1317</v>
      </c>
      <c r="G723" s="98" t="s">
        <v>1318</v>
      </c>
    </row>
    <row r="724" spans="1:7" ht="15" thickBot="1" x14ac:dyDescent="0.4">
      <c r="A724" s="98">
        <v>2041224024</v>
      </c>
      <c r="B724" s="101" t="s">
        <v>1586</v>
      </c>
      <c r="C724" s="98" t="s">
        <v>444</v>
      </c>
      <c r="D724" s="98" t="s">
        <v>441</v>
      </c>
      <c r="E724" s="98" t="s">
        <v>912</v>
      </c>
      <c r="F724" s="98" t="s">
        <v>1317</v>
      </c>
      <c r="G724" s="98" t="s">
        <v>1318</v>
      </c>
    </row>
    <row r="725" spans="1:7" ht="15" thickBot="1" x14ac:dyDescent="0.4">
      <c r="A725" s="98">
        <v>2041224024</v>
      </c>
      <c r="B725" s="101" t="s">
        <v>1586</v>
      </c>
      <c r="C725" s="98" t="s">
        <v>444</v>
      </c>
      <c r="D725" s="98" t="s">
        <v>441</v>
      </c>
      <c r="E725" s="98" t="s">
        <v>911</v>
      </c>
      <c r="F725" s="98" t="s">
        <v>1317</v>
      </c>
      <c r="G725" s="98" t="s">
        <v>1318</v>
      </c>
    </row>
    <row r="726" spans="1:7" ht="15" thickBot="1" x14ac:dyDescent="0.4">
      <c r="A726" s="98">
        <v>2041225504</v>
      </c>
      <c r="B726" s="101" t="s">
        <v>1587</v>
      </c>
      <c r="C726" s="98" t="s">
        <v>444</v>
      </c>
      <c r="D726" s="98" t="s">
        <v>441</v>
      </c>
      <c r="E726" s="98" t="s">
        <v>911</v>
      </c>
      <c r="F726" s="98" t="s">
        <v>1317</v>
      </c>
      <c r="G726" s="98" t="s">
        <v>1318</v>
      </c>
    </row>
    <row r="727" spans="1:7" ht="15" thickBot="1" x14ac:dyDescent="0.4">
      <c r="A727" s="98">
        <v>2041225504</v>
      </c>
      <c r="B727" s="101" t="s">
        <v>1587</v>
      </c>
      <c r="C727" s="98" t="s">
        <v>444</v>
      </c>
      <c r="D727" s="98" t="s">
        <v>441</v>
      </c>
      <c r="E727" s="98" t="s">
        <v>915</v>
      </c>
      <c r="F727" s="98" t="s">
        <v>1317</v>
      </c>
      <c r="G727" s="98" t="s">
        <v>1319</v>
      </c>
    </row>
    <row r="728" spans="1:7" ht="15" thickBot="1" x14ac:dyDescent="0.4">
      <c r="A728" s="98">
        <v>2041225504</v>
      </c>
      <c r="B728" s="101" t="s">
        <v>1587</v>
      </c>
      <c r="C728" s="98" t="s">
        <v>444</v>
      </c>
      <c r="D728" s="98" t="s">
        <v>441</v>
      </c>
      <c r="E728" s="98" t="s">
        <v>914</v>
      </c>
      <c r="F728" s="98" t="s">
        <v>1317</v>
      </c>
      <c r="G728" s="98" t="s">
        <v>1318</v>
      </c>
    </row>
    <row r="729" spans="1:7" ht="15" thickBot="1" x14ac:dyDescent="0.4">
      <c r="A729" s="98">
        <v>2041222224</v>
      </c>
      <c r="B729" s="101" t="s">
        <v>2074</v>
      </c>
      <c r="C729" s="98" t="s">
        <v>444</v>
      </c>
      <c r="D729" s="98" t="s">
        <v>441</v>
      </c>
      <c r="E729" s="98" t="s">
        <v>913</v>
      </c>
      <c r="F729" s="98" t="s">
        <v>1317</v>
      </c>
      <c r="G729" s="98" t="s">
        <v>1318</v>
      </c>
    </row>
    <row r="730" spans="1:7" ht="15" thickBot="1" x14ac:dyDescent="0.4">
      <c r="A730" s="98">
        <v>2041222224</v>
      </c>
      <c r="B730" s="101" t="s">
        <v>2074</v>
      </c>
      <c r="C730" s="98" t="s">
        <v>444</v>
      </c>
      <c r="D730" s="98" t="s">
        <v>441</v>
      </c>
      <c r="E730" s="98" t="s">
        <v>913</v>
      </c>
      <c r="F730" s="98" t="s">
        <v>1317</v>
      </c>
      <c r="G730" s="98" t="s">
        <v>1318</v>
      </c>
    </row>
    <row r="731" spans="1:7" ht="15" thickBot="1" x14ac:dyDescent="0.4">
      <c r="A731" s="98">
        <v>2041222224</v>
      </c>
      <c r="B731" s="101" t="s">
        <v>2074</v>
      </c>
      <c r="C731" s="98" t="s">
        <v>444</v>
      </c>
      <c r="D731" s="98" t="s">
        <v>441</v>
      </c>
      <c r="E731" s="98" t="s">
        <v>911</v>
      </c>
      <c r="F731" s="98" t="s">
        <v>1317</v>
      </c>
      <c r="G731" s="98" t="s">
        <v>1318</v>
      </c>
    </row>
    <row r="732" spans="1:7" ht="15" thickBot="1" x14ac:dyDescent="0.4">
      <c r="A732" s="98">
        <v>2041222224</v>
      </c>
      <c r="B732" s="101" t="s">
        <v>2074</v>
      </c>
      <c r="C732" s="98" t="s">
        <v>444</v>
      </c>
      <c r="D732" s="98" t="s">
        <v>441</v>
      </c>
      <c r="E732" s="98" t="s">
        <v>911</v>
      </c>
      <c r="F732" s="98" t="s">
        <v>1317</v>
      </c>
      <c r="G732" s="98" t="s">
        <v>1318</v>
      </c>
    </row>
    <row r="733" spans="1:7" ht="15" thickBot="1" x14ac:dyDescent="0.4">
      <c r="A733" s="98">
        <v>2041223504</v>
      </c>
      <c r="B733" s="101" t="s">
        <v>1588</v>
      </c>
      <c r="C733" s="98" t="s">
        <v>444</v>
      </c>
      <c r="D733" s="98" t="s">
        <v>441</v>
      </c>
      <c r="E733" s="98" t="s">
        <v>913</v>
      </c>
      <c r="F733" s="98" t="s">
        <v>1317</v>
      </c>
      <c r="G733" s="98" t="s">
        <v>1318</v>
      </c>
    </row>
    <row r="734" spans="1:7" ht="15" thickBot="1" x14ac:dyDescent="0.4">
      <c r="A734" s="98">
        <v>2041223504</v>
      </c>
      <c r="B734" s="101" t="s">
        <v>1588</v>
      </c>
      <c r="C734" s="98" t="s">
        <v>444</v>
      </c>
      <c r="D734" s="98" t="s">
        <v>441</v>
      </c>
      <c r="E734" s="98" t="s">
        <v>915</v>
      </c>
      <c r="F734" s="98" t="s">
        <v>1317</v>
      </c>
      <c r="G734" s="98" t="s">
        <v>1319</v>
      </c>
    </row>
    <row r="735" spans="1:7" ht="15" thickBot="1" x14ac:dyDescent="0.4">
      <c r="A735" s="98">
        <v>2041223504</v>
      </c>
      <c r="B735" s="101" t="s">
        <v>1588</v>
      </c>
      <c r="C735" s="98" t="s">
        <v>444</v>
      </c>
      <c r="D735" s="98" t="s">
        <v>441</v>
      </c>
      <c r="E735" s="98" t="s">
        <v>1342</v>
      </c>
      <c r="F735" s="98" t="s">
        <v>1317</v>
      </c>
      <c r="G735" s="98" t="s">
        <v>1318</v>
      </c>
    </row>
    <row r="736" spans="1:7" ht="15" thickBot="1" x14ac:dyDescent="0.4">
      <c r="A736" s="98">
        <v>2041222960</v>
      </c>
      <c r="B736" s="101" t="s">
        <v>1851</v>
      </c>
      <c r="C736" s="98" t="s">
        <v>444</v>
      </c>
      <c r="D736" s="98" t="s">
        <v>441</v>
      </c>
      <c r="E736" s="98" t="s">
        <v>913</v>
      </c>
      <c r="F736" s="98" t="s">
        <v>1317</v>
      </c>
      <c r="G736" s="98" t="s">
        <v>1318</v>
      </c>
    </row>
    <row r="737" spans="1:7" ht="15" thickBot="1" x14ac:dyDescent="0.4">
      <c r="A737" s="98">
        <v>2041222960</v>
      </c>
      <c r="B737" s="101" t="s">
        <v>1851</v>
      </c>
      <c r="C737" s="98" t="s">
        <v>444</v>
      </c>
      <c r="D737" s="98" t="s">
        <v>441</v>
      </c>
      <c r="E737" s="98" t="s">
        <v>1321</v>
      </c>
      <c r="F737" s="98" t="s">
        <v>1317</v>
      </c>
      <c r="G737" s="98" t="s">
        <v>1318</v>
      </c>
    </row>
    <row r="738" spans="1:7" ht="15" thickBot="1" x14ac:dyDescent="0.4">
      <c r="A738" s="98">
        <v>2041222960</v>
      </c>
      <c r="B738" s="101" t="s">
        <v>1851</v>
      </c>
      <c r="C738" s="98" t="s">
        <v>444</v>
      </c>
      <c r="D738" s="98" t="s">
        <v>441</v>
      </c>
      <c r="E738" s="98" t="s">
        <v>915</v>
      </c>
      <c r="F738" s="98" t="s">
        <v>1317</v>
      </c>
      <c r="G738" s="98" t="s">
        <v>1319</v>
      </c>
    </row>
    <row r="739" spans="1:7" ht="15" thickBot="1" x14ac:dyDescent="0.4">
      <c r="A739" s="98">
        <v>2041223085</v>
      </c>
      <c r="B739" s="101" t="s">
        <v>1589</v>
      </c>
      <c r="C739" s="98" t="s">
        <v>444</v>
      </c>
      <c r="D739" s="98" t="s">
        <v>441</v>
      </c>
      <c r="E739" s="98" t="s">
        <v>913</v>
      </c>
      <c r="F739" s="98" t="s">
        <v>1317</v>
      </c>
      <c r="G739" s="98" t="s">
        <v>1318</v>
      </c>
    </row>
    <row r="740" spans="1:7" ht="15" thickBot="1" x14ac:dyDescent="0.4">
      <c r="A740" s="98">
        <v>2041223085</v>
      </c>
      <c r="B740" s="101" t="s">
        <v>1589</v>
      </c>
      <c r="C740" s="98" t="s">
        <v>444</v>
      </c>
      <c r="D740" s="98" t="s">
        <v>441</v>
      </c>
      <c r="E740" s="98" t="s">
        <v>1321</v>
      </c>
      <c r="F740" s="98" t="s">
        <v>1317</v>
      </c>
      <c r="G740" s="98" t="s">
        <v>1318</v>
      </c>
    </row>
    <row r="741" spans="1:7" ht="15" thickBot="1" x14ac:dyDescent="0.4">
      <c r="A741" s="98">
        <v>2041223085</v>
      </c>
      <c r="B741" s="101" t="s">
        <v>1589</v>
      </c>
      <c r="C741" s="98" t="s">
        <v>444</v>
      </c>
      <c r="D741" s="98" t="s">
        <v>441</v>
      </c>
      <c r="E741" s="98" t="s">
        <v>911</v>
      </c>
      <c r="F741" s="98" t="s">
        <v>1317</v>
      </c>
      <c r="G741" s="98" t="s">
        <v>1318</v>
      </c>
    </row>
    <row r="742" spans="1:7" ht="15" thickBot="1" x14ac:dyDescent="0.4">
      <c r="A742" s="98">
        <v>2041224495</v>
      </c>
      <c r="B742" s="101" t="s">
        <v>1590</v>
      </c>
      <c r="C742" s="98" t="s">
        <v>148</v>
      </c>
      <c r="D742" s="98" t="s">
        <v>441</v>
      </c>
      <c r="E742" s="98" t="s">
        <v>914</v>
      </c>
      <c r="F742" s="98" t="s">
        <v>1317</v>
      </c>
      <c r="G742" s="98" t="s">
        <v>1318</v>
      </c>
    </row>
    <row r="743" spans="1:7" ht="15" thickBot="1" x14ac:dyDescent="0.4">
      <c r="A743" s="98">
        <v>2041224495</v>
      </c>
      <c r="B743" s="101" t="s">
        <v>1590</v>
      </c>
      <c r="C743" s="98" t="s">
        <v>148</v>
      </c>
      <c r="D743" s="98" t="s">
        <v>441</v>
      </c>
      <c r="E743" s="98" t="s">
        <v>913</v>
      </c>
      <c r="F743" s="98" t="s">
        <v>1317</v>
      </c>
      <c r="G743" s="98" t="s">
        <v>1318</v>
      </c>
    </row>
    <row r="744" spans="1:7" ht="15" thickBot="1" x14ac:dyDescent="0.4">
      <c r="A744" s="98">
        <v>2041224495</v>
      </c>
      <c r="B744" s="101" t="s">
        <v>1590</v>
      </c>
      <c r="C744" s="98">
        <v>2041224495</v>
      </c>
      <c r="D744" s="98" t="s">
        <v>441</v>
      </c>
      <c r="E744" s="98" t="s">
        <v>915</v>
      </c>
      <c r="F744" s="98" t="s">
        <v>1317</v>
      </c>
      <c r="G744" s="98" t="s">
        <v>1319</v>
      </c>
    </row>
    <row r="745" spans="1:7" ht="15" thickBot="1" x14ac:dyDescent="0.4">
      <c r="A745" s="98">
        <v>2041221449</v>
      </c>
      <c r="B745" s="101" t="s">
        <v>2064</v>
      </c>
      <c r="C745" s="98" t="s">
        <v>444</v>
      </c>
      <c r="D745" s="98" t="s">
        <v>441</v>
      </c>
      <c r="E745" s="98" t="s">
        <v>912</v>
      </c>
      <c r="F745" s="98" t="s">
        <v>1317</v>
      </c>
      <c r="G745" s="98" t="s">
        <v>1318</v>
      </c>
    </row>
    <row r="746" spans="1:7" ht="15" thickBot="1" x14ac:dyDescent="0.4">
      <c r="A746" s="98">
        <v>2041221449</v>
      </c>
      <c r="B746" s="101" t="s">
        <v>2064</v>
      </c>
      <c r="C746" s="98" t="s">
        <v>444</v>
      </c>
      <c r="D746" s="98" t="s">
        <v>441</v>
      </c>
      <c r="E746" s="98" t="s">
        <v>911</v>
      </c>
      <c r="F746" s="98" t="s">
        <v>1317</v>
      </c>
      <c r="G746" s="98" t="s">
        <v>1318</v>
      </c>
    </row>
    <row r="747" spans="1:7" ht="15" thickBot="1" x14ac:dyDescent="0.4">
      <c r="A747" s="98">
        <v>2041226245</v>
      </c>
      <c r="B747" s="101" t="s">
        <v>1591</v>
      </c>
      <c r="C747" s="98" t="s">
        <v>444</v>
      </c>
      <c r="D747" s="98" t="s">
        <v>441</v>
      </c>
      <c r="E747" s="98" t="s">
        <v>1321</v>
      </c>
      <c r="F747" s="98" t="s">
        <v>1317</v>
      </c>
      <c r="G747" s="98" t="s">
        <v>1318</v>
      </c>
    </row>
    <row r="748" spans="1:7" ht="15" thickBot="1" x14ac:dyDescent="0.4">
      <c r="A748" s="98">
        <v>2041226245</v>
      </c>
      <c r="B748" s="101" t="s">
        <v>1591</v>
      </c>
      <c r="C748" s="98" t="s">
        <v>444</v>
      </c>
      <c r="D748" s="98" t="s">
        <v>441</v>
      </c>
      <c r="E748" s="98" t="s">
        <v>911</v>
      </c>
      <c r="F748" s="98" t="s">
        <v>1317</v>
      </c>
      <c r="G748" s="98" t="s">
        <v>1318</v>
      </c>
    </row>
    <row r="749" spans="1:7" ht="15" thickBot="1" x14ac:dyDescent="0.4">
      <c r="A749" s="98">
        <v>2041226245</v>
      </c>
      <c r="B749" s="101" t="s">
        <v>1591</v>
      </c>
      <c r="C749" s="98" t="s">
        <v>444</v>
      </c>
      <c r="D749" s="98" t="s">
        <v>441</v>
      </c>
      <c r="E749" s="98" t="s">
        <v>915</v>
      </c>
      <c r="F749" s="98" t="s">
        <v>1317</v>
      </c>
      <c r="G749" s="98" t="s">
        <v>1319</v>
      </c>
    </row>
    <row r="750" spans="1:7" ht="15" thickBot="1" x14ac:dyDescent="0.4">
      <c r="A750" s="98">
        <v>2041224116</v>
      </c>
      <c r="B750" s="101" t="s">
        <v>1592</v>
      </c>
      <c r="C750" s="98" t="s">
        <v>444</v>
      </c>
      <c r="D750" s="98" t="s">
        <v>441</v>
      </c>
      <c r="E750" s="98" t="s">
        <v>911</v>
      </c>
      <c r="F750" s="98" t="s">
        <v>1317</v>
      </c>
      <c r="G750" s="98" t="s">
        <v>1318</v>
      </c>
    </row>
    <row r="751" spans="1:7" ht="15" thickBot="1" x14ac:dyDescent="0.4">
      <c r="A751" s="98">
        <v>2041224116</v>
      </c>
      <c r="B751" s="101" t="s">
        <v>1592</v>
      </c>
      <c r="C751" s="98" t="s">
        <v>444</v>
      </c>
      <c r="D751" s="98" t="s">
        <v>441</v>
      </c>
      <c r="E751" s="98" t="s">
        <v>914</v>
      </c>
      <c r="F751" s="98" t="s">
        <v>1317</v>
      </c>
      <c r="G751" s="98" t="s">
        <v>1318</v>
      </c>
    </row>
    <row r="752" spans="1:7" ht="15" thickBot="1" x14ac:dyDescent="0.4">
      <c r="A752" s="98">
        <v>2041224116</v>
      </c>
      <c r="B752" s="101" t="s">
        <v>1592</v>
      </c>
      <c r="C752" s="98" t="s">
        <v>444</v>
      </c>
      <c r="D752" s="98" t="s">
        <v>441</v>
      </c>
      <c r="E752" s="98" t="s">
        <v>915</v>
      </c>
      <c r="F752" s="98" t="s">
        <v>1317</v>
      </c>
      <c r="G752" s="98" t="s">
        <v>1319</v>
      </c>
    </row>
    <row r="753" spans="1:7" ht="15" thickBot="1" x14ac:dyDescent="0.4">
      <c r="A753" s="98">
        <v>2041224139</v>
      </c>
      <c r="B753" s="101" t="s">
        <v>1593</v>
      </c>
      <c r="C753" s="98" t="s">
        <v>444</v>
      </c>
      <c r="D753" s="98" t="s">
        <v>441</v>
      </c>
      <c r="E753" s="98" t="s">
        <v>911</v>
      </c>
      <c r="F753" s="98" t="s">
        <v>1317</v>
      </c>
      <c r="G753" s="98" t="s">
        <v>1318</v>
      </c>
    </row>
    <row r="754" spans="1:7" ht="15" thickBot="1" x14ac:dyDescent="0.4">
      <c r="A754" s="98">
        <v>2041224139</v>
      </c>
      <c r="B754" s="101" t="s">
        <v>1594</v>
      </c>
      <c r="C754" s="98" t="s">
        <v>444</v>
      </c>
      <c r="D754" s="98" t="s">
        <v>441</v>
      </c>
      <c r="E754" s="98" t="s">
        <v>1321</v>
      </c>
      <c r="F754" s="98" t="s">
        <v>1317</v>
      </c>
      <c r="G754" s="98" t="s">
        <v>1318</v>
      </c>
    </row>
    <row r="755" spans="1:7" ht="15" thickBot="1" x14ac:dyDescent="0.4">
      <c r="A755" s="98">
        <v>2041224139</v>
      </c>
      <c r="B755" s="101" t="s">
        <v>1594</v>
      </c>
      <c r="C755" s="98" t="s">
        <v>444</v>
      </c>
      <c r="D755" s="98" t="s">
        <v>441</v>
      </c>
      <c r="E755" s="98" t="s">
        <v>911</v>
      </c>
      <c r="F755" s="98" t="s">
        <v>1317</v>
      </c>
      <c r="G755" s="98" t="s">
        <v>1318</v>
      </c>
    </row>
    <row r="756" spans="1:7" ht="15" thickBot="1" x14ac:dyDescent="0.4">
      <c r="A756" s="98">
        <v>2041224139</v>
      </c>
      <c r="B756" s="101" t="s">
        <v>1594</v>
      </c>
      <c r="C756" s="98" t="s">
        <v>444</v>
      </c>
      <c r="D756" s="98" t="s">
        <v>441</v>
      </c>
      <c r="E756" s="98" t="s">
        <v>916</v>
      </c>
      <c r="F756" s="98" t="s">
        <v>1317</v>
      </c>
      <c r="G756" s="98" t="s">
        <v>1319</v>
      </c>
    </row>
    <row r="757" spans="1:7" ht="15" thickBot="1" x14ac:dyDescent="0.4">
      <c r="A757" s="98">
        <v>2041225663</v>
      </c>
      <c r="B757" s="101" t="s">
        <v>1595</v>
      </c>
      <c r="C757" s="98" t="s">
        <v>444</v>
      </c>
      <c r="D757" s="98" t="s">
        <v>441</v>
      </c>
      <c r="E757" s="98" t="s">
        <v>915</v>
      </c>
      <c r="F757" s="98" t="s">
        <v>1317</v>
      </c>
      <c r="G757" s="98" t="s">
        <v>1319</v>
      </c>
    </row>
    <row r="758" spans="1:7" ht="15" thickBot="1" x14ac:dyDescent="0.4">
      <c r="A758" s="98">
        <v>2041225663</v>
      </c>
      <c r="B758" s="101" t="s">
        <v>1595</v>
      </c>
      <c r="C758" s="98" t="s">
        <v>444</v>
      </c>
      <c r="D758" s="98" t="s">
        <v>441</v>
      </c>
      <c r="E758" s="98" t="s">
        <v>911</v>
      </c>
      <c r="F758" s="98" t="s">
        <v>1317</v>
      </c>
      <c r="G758" s="98" t="s">
        <v>1318</v>
      </c>
    </row>
    <row r="759" spans="1:7" ht="15" thickBot="1" x14ac:dyDescent="0.4">
      <c r="A759" s="98">
        <v>2041225663</v>
      </c>
      <c r="B759" s="101" t="s">
        <v>1595</v>
      </c>
      <c r="C759" s="98" t="s">
        <v>444</v>
      </c>
      <c r="D759" s="98" t="s">
        <v>441</v>
      </c>
      <c r="E759" s="98" t="s">
        <v>914</v>
      </c>
      <c r="F759" s="98" t="s">
        <v>1317</v>
      </c>
      <c r="G759" s="98" t="s">
        <v>1318</v>
      </c>
    </row>
    <row r="760" spans="1:7" ht="15" thickBot="1" x14ac:dyDescent="0.4">
      <c r="A760" s="98">
        <v>2041221349</v>
      </c>
      <c r="B760" s="101" t="s">
        <v>1596</v>
      </c>
      <c r="C760" s="98" t="s">
        <v>444</v>
      </c>
      <c r="D760" s="98" t="s">
        <v>441</v>
      </c>
      <c r="E760" s="98" t="s">
        <v>911</v>
      </c>
      <c r="F760" s="98" t="s">
        <v>1317</v>
      </c>
      <c r="G760" s="98" t="s">
        <v>1318</v>
      </c>
    </row>
    <row r="761" spans="1:7" ht="15" thickBot="1" x14ac:dyDescent="0.4">
      <c r="A761" s="98">
        <v>2041221349</v>
      </c>
      <c r="B761" s="101" t="s">
        <v>1596</v>
      </c>
      <c r="C761" s="98" t="s">
        <v>444</v>
      </c>
      <c r="D761" s="98" t="s">
        <v>441</v>
      </c>
      <c r="E761" s="98" t="s">
        <v>914</v>
      </c>
      <c r="F761" s="98" t="s">
        <v>1317</v>
      </c>
      <c r="G761" s="98" t="s">
        <v>1318</v>
      </c>
    </row>
    <row r="762" spans="1:7" ht="15" thickBot="1" x14ac:dyDescent="0.4">
      <c r="A762" s="98">
        <v>2041221349</v>
      </c>
      <c r="B762" s="101" t="s">
        <v>1596</v>
      </c>
      <c r="C762" s="98" t="s">
        <v>444</v>
      </c>
      <c r="D762" s="98" t="s">
        <v>441</v>
      </c>
      <c r="E762" s="98" t="s">
        <v>915</v>
      </c>
      <c r="F762" s="98" t="s">
        <v>1317</v>
      </c>
      <c r="G762" s="98" t="s">
        <v>1319</v>
      </c>
    </row>
    <row r="763" spans="1:7" ht="15" thickBot="1" x14ac:dyDescent="0.4">
      <c r="A763" s="98">
        <v>2041225749</v>
      </c>
      <c r="B763" s="101" t="s">
        <v>1597</v>
      </c>
      <c r="C763" s="98" t="s">
        <v>148</v>
      </c>
      <c r="D763" s="98" t="s">
        <v>441</v>
      </c>
      <c r="E763" s="98" t="s">
        <v>913</v>
      </c>
      <c r="F763" s="98" t="s">
        <v>1317</v>
      </c>
      <c r="G763" s="98" t="s">
        <v>1318</v>
      </c>
    </row>
    <row r="764" spans="1:7" ht="15" thickBot="1" x14ac:dyDescent="0.4">
      <c r="A764" s="98">
        <v>2041225749</v>
      </c>
      <c r="B764" s="101" t="s">
        <v>1597</v>
      </c>
      <c r="C764" s="98" t="s">
        <v>148</v>
      </c>
      <c r="D764" s="98" t="s">
        <v>441</v>
      </c>
      <c r="E764" s="98" t="s">
        <v>915</v>
      </c>
      <c r="F764" s="98" t="s">
        <v>1317</v>
      </c>
      <c r="G764" s="98" t="s">
        <v>1319</v>
      </c>
    </row>
    <row r="765" spans="1:7" ht="15" thickBot="1" x14ac:dyDescent="0.4">
      <c r="A765" s="98">
        <v>2041220013</v>
      </c>
      <c r="B765" s="101" t="s">
        <v>1598</v>
      </c>
      <c r="C765" s="98" t="s">
        <v>444</v>
      </c>
      <c r="D765" s="98" t="s">
        <v>441</v>
      </c>
      <c r="E765" s="98" t="s">
        <v>911</v>
      </c>
      <c r="F765" s="98" t="s">
        <v>1317</v>
      </c>
      <c r="G765" s="98" t="s">
        <v>1318</v>
      </c>
    </row>
    <row r="766" spans="1:7" ht="15" thickBot="1" x14ac:dyDescent="0.4">
      <c r="A766" s="98">
        <v>2041220013</v>
      </c>
      <c r="B766" s="101" t="s">
        <v>1598</v>
      </c>
      <c r="C766" s="98" t="s">
        <v>444</v>
      </c>
      <c r="D766" s="98" t="s">
        <v>441</v>
      </c>
      <c r="E766" s="98" t="s">
        <v>914</v>
      </c>
      <c r="F766" s="98" t="s">
        <v>1317</v>
      </c>
      <c r="G766" s="98" t="s">
        <v>1318</v>
      </c>
    </row>
    <row r="767" spans="1:7" ht="15" thickBot="1" x14ac:dyDescent="0.4">
      <c r="A767" s="98">
        <v>2041220013</v>
      </c>
      <c r="B767" s="101" t="s">
        <v>1598</v>
      </c>
      <c r="C767" s="98" t="s">
        <v>444</v>
      </c>
      <c r="D767" s="98" t="s">
        <v>441</v>
      </c>
      <c r="E767" s="98" t="s">
        <v>915</v>
      </c>
      <c r="F767" s="98" t="s">
        <v>1317</v>
      </c>
      <c r="G767" s="98" t="s">
        <v>1319</v>
      </c>
    </row>
    <row r="768" spans="1:7" ht="15" thickBot="1" x14ac:dyDescent="0.4">
      <c r="A768" s="98">
        <v>2041222332</v>
      </c>
      <c r="B768" s="101" t="s">
        <v>1599</v>
      </c>
      <c r="C768" s="98" t="s">
        <v>444</v>
      </c>
      <c r="D768" s="98" t="s">
        <v>441</v>
      </c>
      <c r="E768" s="98" t="s">
        <v>1321</v>
      </c>
      <c r="F768" s="98" t="s">
        <v>1317</v>
      </c>
      <c r="G768" s="98" t="s">
        <v>1318</v>
      </c>
    </row>
    <row r="769" spans="1:7" ht="15" thickBot="1" x14ac:dyDescent="0.4">
      <c r="A769" s="98">
        <v>2041222332</v>
      </c>
      <c r="B769" s="101" t="s">
        <v>1599</v>
      </c>
      <c r="C769" s="98" t="s">
        <v>444</v>
      </c>
      <c r="D769" s="98" t="s">
        <v>441</v>
      </c>
      <c r="E769" s="98" t="s">
        <v>911</v>
      </c>
      <c r="F769" s="98" t="s">
        <v>1317</v>
      </c>
      <c r="G769" s="98" t="s">
        <v>1318</v>
      </c>
    </row>
    <row r="770" spans="1:7" ht="15" thickBot="1" x14ac:dyDescent="0.4">
      <c r="A770" s="98">
        <v>2041222332</v>
      </c>
      <c r="B770" s="101" t="s">
        <v>1599</v>
      </c>
      <c r="C770" s="98" t="s">
        <v>444</v>
      </c>
      <c r="D770" s="98" t="s">
        <v>441</v>
      </c>
      <c r="E770" s="98" t="s">
        <v>915</v>
      </c>
      <c r="F770" s="98" t="s">
        <v>1317</v>
      </c>
      <c r="G770" s="98" t="s">
        <v>1319</v>
      </c>
    </row>
    <row r="771" spans="1:7" ht="15" thickBot="1" x14ac:dyDescent="0.4">
      <c r="A771" s="98">
        <v>2041222332</v>
      </c>
      <c r="B771" s="101" t="s">
        <v>1599</v>
      </c>
      <c r="C771" s="98" t="s">
        <v>444</v>
      </c>
      <c r="D771" s="98" t="s">
        <v>441</v>
      </c>
      <c r="E771" s="98" t="s">
        <v>914</v>
      </c>
      <c r="F771" s="98" t="s">
        <v>1317</v>
      </c>
      <c r="G771" s="98" t="s">
        <v>1318</v>
      </c>
    </row>
    <row r="772" spans="1:7" ht="15" thickBot="1" x14ac:dyDescent="0.4">
      <c r="A772" s="98">
        <v>2041222332</v>
      </c>
      <c r="B772" s="101" t="s">
        <v>1599</v>
      </c>
      <c r="C772" s="98" t="s">
        <v>444</v>
      </c>
      <c r="D772" s="98" t="s">
        <v>441</v>
      </c>
      <c r="E772" s="98" t="s">
        <v>914</v>
      </c>
      <c r="F772" s="98" t="s">
        <v>1317</v>
      </c>
      <c r="G772" s="98" t="s">
        <v>1318</v>
      </c>
    </row>
    <row r="773" spans="1:7" ht="15" thickBot="1" x14ac:dyDescent="0.4">
      <c r="A773" s="98">
        <v>2041222950</v>
      </c>
      <c r="B773" s="101" t="s">
        <v>1600</v>
      </c>
      <c r="C773" s="98" t="s">
        <v>444</v>
      </c>
      <c r="D773" s="98" t="s">
        <v>441</v>
      </c>
      <c r="E773" s="98" t="s">
        <v>911</v>
      </c>
      <c r="F773" s="98" t="s">
        <v>1317</v>
      </c>
      <c r="G773" s="98" t="s">
        <v>1318</v>
      </c>
    </row>
    <row r="774" spans="1:7" ht="15" thickBot="1" x14ac:dyDescent="0.4">
      <c r="A774" s="98">
        <v>2041222950</v>
      </c>
      <c r="B774" s="101" t="s">
        <v>1600</v>
      </c>
      <c r="C774" s="98" t="s">
        <v>444</v>
      </c>
      <c r="D774" s="98" t="s">
        <v>441</v>
      </c>
      <c r="E774" s="98" t="s">
        <v>914</v>
      </c>
      <c r="F774" s="98" t="s">
        <v>1317</v>
      </c>
      <c r="G774" s="98" t="s">
        <v>1318</v>
      </c>
    </row>
    <row r="775" spans="1:7" ht="15" thickBot="1" x14ac:dyDescent="0.4">
      <c r="A775" s="98">
        <v>2041222950</v>
      </c>
      <c r="B775" s="101" t="s">
        <v>1600</v>
      </c>
      <c r="C775" s="98" t="s">
        <v>444</v>
      </c>
      <c r="D775" s="98" t="s">
        <v>441</v>
      </c>
      <c r="E775" s="98" t="s">
        <v>915</v>
      </c>
      <c r="F775" s="98" t="s">
        <v>1323</v>
      </c>
      <c r="G775" s="98" t="s">
        <v>1319</v>
      </c>
    </row>
    <row r="776" spans="1:7" ht="15" thickBot="1" x14ac:dyDescent="0.4">
      <c r="A776" s="98">
        <v>2041220119</v>
      </c>
      <c r="B776" s="101" t="s">
        <v>1601</v>
      </c>
      <c r="C776" s="98" t="s">
        <v>444</v>
      </c>
      <c r="D776" s="98" t="s">
        <v>441</v>
      </c>
      <c r="E776" s="98" t="s">
        <v>911</v>
      </c>
      <c r="F776" s="98" t="s">
        <v>1317</v>
      </c>
      <c r="G776" s="98" t="s">
        <v>1318</v>
      </c>
    </row>
    <row r="777" spans="1:7" ht="15" thickBot="1" x14ac:dyDescent="0.4">
      <c r="A777" s="98">
        <v>2041222486</v>
      </c>
      <c r="B777" s="101" t="s">
        <v>1602</v>
      </c>
      <c r="C777" s="98" t="s">
        <v>444</v>
      </c>
      <c r="D777" s="98" t="s">
        <v>441</v>
      </c>
      <c r="E777" s="98" t="s">
        <v>911</v>
      </c>
      <c r="F777" s="98" t="s">
        <v>1317</v>
      </c>
      <c r="G777" s="98" t="s">
        <v>1318</v>
      </c>
    </row>
    <row r="778" spans="1:7" ht="15" thickBot="1" x14ac:dyDescent="0.4">
      <c r="A778" s="98">
        <v>2041222486</v>
      </c>
      <c r="B778" s="101" t="s">
        <v>1602</v>
      </c>
      <c r="C778" s="98" t="s">
        <v>444</v>
      </c>
      <c r="D778" s="98" t="s">
        <v>441</v>
      </c>
      <c r="E778" s="98" t="s">
        <v>911</v>
      </c>
      <c r="F778" s="98" t="s">
        <v>1317</v>
      </c>
      <c r="G778" s="98" t="s">
        <v>1318</v>
      </c>
    </row>
    <row r="779" spans="1:7" ht="15" thickBot="1" x14ac:dyDescent="0.4">
      <c r="A779" s="98">
        <v>2041222486</v>
      </c>
      <c r="B779" s="101" t="s">
        <v>1602</v>
      </c>
      <c r="C779" s="98" t="s">
        <v>444</v>
      </c>
      <c r="D779" s="98" t="s">
        <v>441</v>
      </c>
      <c r="E779" s="98" t="s">
        <v>911</v>
      </c>
      <c r="F779" s="98" t="s">
        <v>1317</v>
      </c>
      <c r="G779" s="98" t="s">
        <v>1318</v>
      </c>
    </row>
    <row r="780" spans="1:7" ht="15" thickBot="1" x14ac:dyDescent="0.4">
      <c r="A780" s="98">
        <v>2041222486</v>
      </c>
      <c r="B780" s="101" t="s">
        <v>1602</v>
      </c>
      <c r="C780" s="98" t="s">
        <v>444</v>
      </c>
      <c r="D780" s="98" t="s">
        <v>441</v>
      </c>
      <c r="E780" s="98" t="s">
        <v>914</v>
      </c>
      <c r="F780" s="98" t="s">
        <v>1317</v>
      </c>
      <c r="G780" s="98" t="s">
        <v>1318</v>
      </c>
    </row>
    <row r="781" spans="1:7" ht="15" thickBot="1" x14ac:dyDescent="0.4">
      <c r="A781" s="98">
        <v>2041222486</v>
      </c>
      <c r="B781" s="101" t="s">
        <v>1602</v>
      </c>
      <c r="C781" s="98" t="s">
        <v>444</v>
      </c>
      <c r="D781" s="98" t="s">
        <v>441</v>
      </c>
      <c r="E781" s="98" t="s">
        <v>915</v>
      </c>
      <c r="F781" s="98" t="s">
        <v>1317</v>
      </c>
      <c r="G781" s="98" t="s">
        <v>1319</v>
      </c>
    </row>
    <row r="782" spans="1:7" ht="15" thickBot="1" x14ac:dyDescent="0.4">
      <c r="A782" s="98">
        <v>2005200613</v>
      </c>
      <c r="B782" s="101" t="s">
        <v>1603</v>
      </c>
      <c r="C782" s="98" t="s">
        <v>20</v>
      </c>
      <c r="D782" s="98" t="s">
        <v>441</v>
      </c>
      <c r="E782" s="98" t="s">
        <v>913</v>
      </c>
      <c r="F782" s="98" t="s">
        <v>1317</v>
      </c>
      <c r="G782" s="98" t="s">
        <v>1318</v>
      </c>
    </row>
    <row r="783" spans="1:7" ht="15" thickBot="1" x14ac:dyDescent="0.4">
      <c r="A783" s="98">
        <v>2005200613</v>
      </c>
      <c r="B783" s="101" t="s">
        <v>1603</v>
      </c>
      <c r="C783" s="98" t="s">
        <v>20</v>
      </c>
      <c r="D783" s="98" t="s">
        <v>441</v>
      </c>
      <c r="E783" s="98" t="s">
        <v>912</v>
      </c>
      <c r="F783" s="98" t="s">
        <v>1317</v>
      </c>
      <c r="G783" s="98" t="s">
        <v>1318</v>
      </c>
    </row>
    <row r="784" spans="1:7" ht="15" thickBot="1" x14ac:dyDescent="0.4">
      <c r="A784" s="98">
        <v>2005200613</v>
      </c>
      <c r="B784" s="101" t="s">
        <v>1603</v>
      </c>
      <c r="C784" s="98" t="s">
        <v>20</v>
      </c>
      <c r="D784" s="98" t="s">
        <v>441</v>
      </c>
      <c r="E784" s="98" t="s">
        <v>915</v>
      </c>
      <c r="F784" s="98" t="s">
        <v>1323</v>
      </c>
      <c r="G784" s="98" t="s">
        <v>1319</v>
      </c>
    </row>
    <row r="785" spans="1:7" ht="15" thickBot="1" x14ac:dyDescent="0.4">
      <c r="A785" s="98">
        <v>2041226032</v>
      </c>
      <c r="B785" s="101" t="s">
        <v>1604</v>
      </c>
      <c r="C785" s="98" t="s">
        <v>444</v>
      </c>
      <c r="D785" s="98" t="s">
        <v>441</v>
      </c>
      <c r="E785" s="98" t="s">
        <v>913</v>
      </c>
      <c r="F785" s="98" t="s">
        <v>1317</v>
      </c>
      <c r="G785" s="98" t="s">
        <v>1318</v>
      </c>
    </row>
    <row r="786" spans="1:7" ht="15" thickBot="1" x14ac:dyDescent="0.4">
      <c r="A786" s="98">
        <v>2041226032</v>
      </c>
      <c r="B786" s="101" t="s">
        <v>1604</v>
      </c>
      <c r="C786" s="98" t="s">
        <v>444</v>
      </c>
      <c r="D786" s="98" t="s">
        <v>441</v>
      </c>
      <c r="E786" s="98" t="s">
        <v>1321</v>
      </c>
      <c r="F786" s="98" t="s">
        <v>1317</v>
      </c>
      <c r="G786" s="98" t="s">
        <v>1318</v>
      </c>
    </row>
    <row r="787" spans="1:7" ht="15" thickBot="1" x14ac:dyDescent="0.4">
      <c r="A787" s="98">
        <v>2041226032</v>
      </c>
      <c r="B787" s="101" t="s">
        <v>1604</v>
      </c>
      <c r="C787" s="98" t="s">
        <v>444</v>
      </c>
      <c r="D787" s="98" t="s">
        <v>441</v>
      </c>
      <c r="E787" s="98" t="s">
        <v>911</v>
      </c>
      <c r="F787" s="98" t="s">
        <v>1317</v>
      </c>
      <c r="G787" s="98" t="s">
        <v>1318</v>
      </c>
    </row>
    <row r="788" spans="1:7" ht="15" thickBot="1" x14ac:dyDescent="0.4">
      <c r="A788" s="98">
        <v>2041225668</v>
      </c>
      <c r="B788" s="101" t="s">
        <v>1605</v>
      </c>
      <c r="C788" s="98" t="s">
        <v>148</v>
      </c>
      <c r="D788" s="98" t="s">
        <v>441</v>
      </c>
      <c r="E788" s="98" t="s">
        <v>912</v>
      </c>
      <c r="F788" s="98" t="s">
        <v>1317</v>
      </c>
      <c r="G788" s="98" t="s">
        <v>1318</v>
      </c>
    </row>
    <row r="789" spans="1:7" ht="15" thickBot="1" x14ac:dyDescent="0.4">
      <c r="A789" s="98">
        <v>2041225668</v>
      </c>
      <c r="B789" s="101" t="s">
        <v>1605</v>
      </c>
      <c r="C789" s="98" t="s">
        <v>148</v>
      </c>
      <c r="D789" s="98" t="s">
        <v>441</v>
      </c>
      <c r="E789" s="98" t="s">
        <v>913</v>
      </c>
      <c r="F789" s="98" t="s">
        <v>1317</v>
      </c>
      <c r="G789" s="98" t="s">
        <v>1318</v>
      </c>
    </row>
    <row r="790" spans="1:7" ht="15" thickBot="1" x14ac:dyDescent="0.4">
      <c r="A790" s="98">
        <v>2041225668</v>
      </c>
      <c r="B790" s="101" t="s">
        <v>1605</v>
      </c>
      <c r="C790" s="98" t="s">
        <v>148</v>
      </c>
      <c r="D790" s="98" t="s">
        <v>441</v>
      </c>
      <c r="E790" s="98" t="s">
        <v>1321</v>
      </c>
      <c r="F790" s="98" t="s">
        <v>1317</v>
      </c>
      <c r="G790" s="98" t="s">
        <v>1318</v>
      </c>
    </row>
    <row r="791" spans="1:7" ht="15" thickBot="1" x14ac:dyDescent="0.4">
      <c r="A791" s="98">
        <v>2041222237</v>
      </c>
      <c r="B791" s="101" t="s">
        <v>2045</v>
      </c>
      <c r="C791" s="98" t="s">
        <v>444</v>
      </c>
      <c r="D791" s="98" t="s">
        <v>441</v>
      </c>
      <c r="E791" s="98" t="s">
        <v>1321</v>
      </c>
      <c r="F791" s="98" t="s">
        <v>1317</v>
      </c>
      <c r="G791" s="98" t="s">
        <v>1318</v>
      </c>
    </row>
    <row r="792" spans="1:7" ht="15" thickBot="1" x14ac:dyDescent="0.4">
      <c r="A792" s="98">
        <v>2041222237</v>
      </c>
      <c r="B792" s="101" t="s">
        <v>2045</v>
      </c>
      <c r="C792" s="98" t="s">
        <v>444</v>
      </c>
      <c r="D792" s="98" t="s">
        <v>441</v>
      </c>
      <c r="E792" s="98" t="s">
        <v>911</v>
      </c>
      <c r="F792" s="98" t="s">
        <v>1317</v>
      </c>
      <c r="G792" s="98" t="s">
        <v>1318</v>
      </c>
    </row>
    <row r="793" spans="1:7" ht="15" thickBot="1" x14ac:dyDescent="0.4">
      <c r="A793" s="98">
        <v>2041222237</v>
      </c>
      <c r="B793" s="101" t="s">
        <v>2045</v>
      </c>
      <c r="C793" s="98" t="s">
        <v>444</v>
      </c>
      <c r="D793" s="98" t="s">
        <v>441</v>
      </c>
      <c r="E793" s="98" t="s">
        <v>915</v>
      </c>
      <c r="F793" s="98" t="s">
        <v>1317</v>
      </c>
      <c r="G793" s="98" t="s">
        <v>1319</v>
      </c>
    </row>
    <row r="794" spans="1:7" ht="15" thickBot="1" x14ac:dyDescent="0.4">
      <c r="A794" s="98">
        <v>2041225589</v>
      </c>
      <c r="B794" s="101" t="s">
        <v>1606</v>
      </c>
      <c r="C794" s="98" t="s">
        <v>444</v>
      </c>
      <c r="D794" s="98" t="s">
        <v>441</v>
      </c>
      <c r="E794" s="98" t="s">
        <v>912</v>
      </c>
      <c r="F794" s="98" t="s">
        <v>1317</v>
      </c>
      <c r="G794" s="98" t="s">
        <v>1318</v>
      </c>
    </row>
    <row r="795" spans="1:7" ht="15" thickBot="1" x14ac:dyDescent="0.4">
      <c r="A795" s="98">
        <v>2041225589</v>
      </c>
      <c r="B795" s="101" t="s">
        <v>1606</v>
      </c>
      <c r="C795" s="98" t="s">
        <v>444</v>
      </c>
      <c r="D795" s="98" t="s">
        <v>441</v>
      </c>
      <c r="E795" s="98" t="s">
        <v>913</v>
      </c>
      <c r="F795" s="98" t="s">
        <v>1317</v>
      </c>
      <c r="G795" s="98" t="s">
        <v>1318</v>
      </c>
    </row>
    <row r="796" spans="1:7" ht="15" thickBot="1" x14ac:dyDescent="0.4">
      <c r="A796" s="98">
        <v>2041225589</v>
      </c>
      <c r="B796" s="101" t="s">
        <v>1606</v>
      </c>
      <c r="C796" s="98" t="s">
        <v>444</v>
      </c>
      <c r="D796" s="98" t="s">
        <v>441</v>
      </c>
      <c r="E796" s="98" t="s">
        <v>915</v>
      </c>
      <c r="F796" s="98" t="s">
        <v>1317</v>
      </c>
      <c r="G796" s="98" t="s">
        <v>1319</v>
      </c>
    </row>
    <row r="797" spans="1:7" ht="15" thickBot="1" x14ac:dyDescent="0.4">
      <c r="A797" s="98">
        <v>2041226012</v>
      </c>
      <c r="B797" s="101" t="s">
        <v>1607</v>
      </c>
      <c r="C797" s="98" t="s">
        <v>444</v>
      </c>
      <c r="D797" s="98" t="s">
        <v>441</v>
      </c>
      <c r="E797" s="98" t="s">
        <v>912</v>
      </c>
      <c r="F797" s="98" t="s">
        <v>1317</v>
      </c>
      <c r="G797" s="98" t="s">
        <v>1318</v>
      </c>
    </row>
    <row r="798" spans="1:7" ht="15" thickBot="1" x14ac:dyDescent="0.4">
      <c r="A798" s="98">
        <v>2041226012</v>
      </c>
      <c r="B798" s="101" t="s">
        <v>1607</v>
      </c>
      <c r="C798" s="98" t="s">
        <v>444</v>
      </c>
      <c r="D798" s="98" t="s">
        <v>441</v>
      </c>
      <c r="E798" s="98" t="s">
        <v>913</v>
      </c>
      <c r="F798" s="98" t="s">
        <v>1317</v>
      </c>
      <c r="G798" s="98" t="s">
        <v>1318</v>
      </c>
    </row>
    <row r="799" spans="1:7" ht="15" thickBot="1" x14ac:dyDescent="0.4">
      <c r="A799" s="98">
        <v>2041226012</v>
      </c>
      <c r="B799" s="101" t="s">
        <v>1607</v>
      </c>
      <c r="C799" s="98" t="s">
        <v>444</v>
      </c>
      <c r="D799" s="98" t="s">
        <v>441</v>
      </c>
      <c r="E799" s="98" t="s">
        <v>915</v>
      </c>
      <c r="F799" s="98" t="s">
        <v>1323</v>
      </c>
      <c r="G799" s="98" t="s">
        <v>1319</v>
      </c>
    </row>
    <row r="800" spans="1:7" ht="15" thickBot="1" x14ac:dyDescent="0.4">
      <c r="A800" s="98">
        <v>2041223838</v>
      </c>
      <c r="B800" s="101" t="s">
        <v>1608</v>
      </c>
      <c r="C800" s="98" t="s">
        <v>444</v>
      </c>
      <c r="D800" s="98" t="s">
        <v>441</v>
      </c>
      <c r="E800" s="98" t="s">
        <v>911</v>
      </c>
      <c r="F800" s="98" t="s">
        <v>1317</v>
      </c>
      <c r="G800" s="98" t="s">
        <v>1318</v>
      </c>
    </row>
    <row r="801" spans="1:7" ht="15" thickBot="1" x14ac:dyDescent="0.4">
      <c r="A801" s="98">
        <v>2041223838</v>
      </c>
      <c r="B801" s="101" t="s">
        <v>1608</v>
      </c>
      <c r="C801" s="98" t="s">
        <v>444</v>
      </c>
      <c r="D801" s="98" t="s">
        <v>441</v>
      </c>
      <c r="E801" s="98" t="s">
        <v>915</v>
      </c>
      <c r="F801" s="98" t="s">
        <v>1323</v>
      </c>
      <c r="G801" s="98" t="s">
        <v>1319</v>
      </c>
    </row>
    <row r="802" spans="1:7" ht="15" thickBot="1" x14ac:dyDescent="0.4">
      <c r="A802" s="98">
        <v>2041223838</v>
      </c>
      <c r="B802" s="101" t="s">
        <v>1608</v>
      </c>
      <c r="C802" s="98" t="s">
        <v>444</v>
      </c>
      <c r="D802" s="98" t="s">
        <v>441</v>
      </c>
      <c r="E802" s="98" t="s">
        <v>914</v>
      </c>
      <c r="F802" s="98" t="s">
        <v>1317</v>
      </c>
      <c r="G802" s="98" t="s">
        <v>1318</v>
      </c>
    </row>
    <row r="803" spans="1:7" ht="15" thickBot="1" x14ac:dyDescent="0.4">
      <c r="A803" s="98">
        <v>2041223838</v>
      </c>
      <c r="B803" s="101" t="s">
        <v>1608</v>
      </c>
      <c r="C803" s="98" t="s">
        <v>444</v>
      </c>
      <c r="D803" s="98" t="s">
        <v>441</v>
      </c>
      <c r="E803" s="98" t="s">
        <v>911</v>
      </c>
      <c r="F803" s="98" t="s">
        <v>1317</v>
      </c>
      <c r="G803" s="98" t="s">
        <v>1318</v>
      </c>
    </row>
    <row r="804" spans="1:7" ht="15" thickBot="1" x14ac:dyDescent="0.4">
      <c r="A804" s="98">
        <v>2041223838</v>
      </c>
      <c r="B804" s="101" t="s">
        <v>1608</v>
      </c>
      <c r="C804" s="98" t="s">
        <v>444</v>
      </c>
      <c r="D804" s="98" t="s">
        <v>441</v>
      </c>
      <c r="E804" s="98" t="s">
        <v>915</v>
      </c>
      <c r="F804" s="98" t="s">
        <v>1317</v>
      </c>
      <c r="G804" s="98" t="s">
        <v>1319</v>
      </c>
    </row>
    <row r="805" spans="1:7" ht="15" thickBot="1" x14ac:dyDescent="0.4">
      <c r="A805" s="98">
        <v>2041223838</v>
      </c>
      <c r="B805" s="101" t="s">
        <v>1608</v>
      </c>
      <c r="C805" s="98" t="s">
        <v>444</v>
      </c>
      <c r="D805" s="98" t="s">
        <v>441</v>
      </c>
      <c r="E805" s="98" t="s">
        <v>911</v>
      </c>
      <c r="F805" s="98" t="s">
        <v>1317</v>
      </c>
      <c r="G805" s="98" t="s">
        <v>1318</v>
      </c>
    </row>
    <row r="806" spans="1:7" ht="15" thickBot="1" x14ac:dyDescent="0.4">
      <c r="A806" s="98">
        <v>2031223838</v>
      </c>
      <c r="B806" s="101" t="s">
        <v>1608</v>
      </c>
      <c r="C806" s="98" t="s">
        <v>444</v>
      </c>
      <c r="D806" s="98" t="s">
        <v>441</v>
      </c>
      <c r="E806" s="98" t="s">
        <v>915</v>
      </c>
      <c r="F806" s="98" t="s">
        <v>1317</v>
      </c>
      <c r="G806" s="98" t="s">
        <v>1319</v>
      </c>
    </row>
    <row r="807" spans="1:7" ht="15" thickBot="1" x14ac:dyDescent="0.4">
      <c r="A807" s="98">
        <v>2041225487</v>
      </c>
      <c r="B807" s="101" t="s">
        <v>1609</v>
      </c>
      <c r="C807" s="98" t="s">
        <v>444</v>
      </c>
      <c r="D807" s="98" t="s">
        <v>441</v>
      </c>
      <c r="E807" s="98" t="s">
        <v>911</v>
      </c>
      <c r="F807" s="98" t="s">
        <v>1317</v>
      </c>
      <c r="G807" s="98" t="s">
        <v>1318</v>
      </c>
    </row>
    <row r="808" spans="1:7" ht="15" thickBot="1" x14ac:dyDescent="0.4">
      <c r="A808" s="98">
        <v>2041225487</v>
      </c>
      <c r="B808" s="101" t="s">
        <v>1609</v>
      </c>
      <c r="C808" s="98" t="s">
        <v>444</v>
      </c>
      <c r="D808" s="98" t="s">
        <v>441</v>
      </c>
      <c r="E808" s="98" t="s">
        <v>914</v>
      </c>
      <c r="F808" s="98" t="s">
        <v>1317</v>
      </c>
      <c r="G808" s="98" t="s">
        <v>1318</v>
      </c>
    </row>
    <row r="809" spans="1:7" ht="15" thickBot="1" x14ac:dyDescent="0.4">
      <c r="A809" s="98">
        <v>2041225487</v>
      </c>
      <c r="B809" s="101" t="s">
        <v>1609</v>
      </c>
      <c r="C809" s="98" t="s">
        <v>444</v>
      </c>
      <c r="D809" s="98" t="s">
        <v>441</v>
      </c>
      <c r="E809" s="98" t="s">
        <v>915</v>
      </c>
      <c r="F809" s="98" t="s">
        <v>1317</v>
      </c>
      <c r="G809" s="98" t="s">
        <v>1319</v>
      </c>
    </row>
    <row r="810" spans="1:7" ht="15" thickBot="1" x14ac:dyDescent="0.4">
      <c r="A810" s="98">
        <v>2041220466</v>
      </c>
      <c r="B810" s="101" t="s">
        <v>1610</v>
      </c>
      <c r="C810" s="98" t="s">
        <v>444</v>
      </c>
      <c r="D810" s="98" t="s">
        <v>441</v>
      </c>
      <c r="E810" s="98" t="s">
        <v>1321</v>
      </c>
      <c r="F810" s="98" t="s">
        <v>1317</v>
      </c>
      <c r="G810" s="98" t="s">
        <v>1318</v>
      </c>
    </row>
    <row r="811" spans="1:7" ht="15" thickBot="1" x14ac:dyDescent="0.4">
      <c r="A811" s="98">
        <v>2041220466</v>
      </c>
      <c r="B811" s="101" t="s">
        <v>1610</v>
      </c>
      <c r="C811" s="98" t="s">
        <v>444</v>
      </c>
      <c r="D811" s="98" t="s">
        <v>441</v>
      </c>
      <c r="E811" s="98" t="s">
        <v>911</v>
      </c>
      <c r="F811" s="98" t="s">
        <v>1317</v>
      </c>
      <c r="G811" s="98" t="s">
        <v>1318</v>
      </c>
    </row>
    <row r="812" spans="1:7" ht="15" thickBot="1" x14ac:dyDescent="0.4">
      <c r="A812" s="98">
        <v>2041220466</v>
      </c>
      <c r="B812" s="101" t="s">
        <v>1610</v>
      </c>
      <c r="C812" s="98" t="s">
        <v>444</v>
      </c>
      <c r="D812" s="98" t="s">
        <v>441</v>
      </c>
      <c r="E812" s="98" t="s">
        <v>914</v>
      </c>
      <c r="F812" s="98" t="s">
        <v>1317</v>
      </c>
      <c r="G812" s="98" t="s">
        <v>1318</v>
      </c>
    </row>
    <row r="813" spans="1:7" ht="15" thickBot="1" x14ac:dyDescent="0.4">
      <c r="A813" s="98">
        <v>2041220739</v>
      </c>
      <c r="B813" s="101" t="s">
        <v>1611</v>
      </c>
      <c r="C813" s="98" t="s">
        <v>444</v>
      </c>
      <c r="D813" s="98" t="s">
        <v>441</v>
      </c>
      <c r="E813" s="98" t="s">
        <v>912</v>
      </c>
      <c r="F813" s="98" t="s">
        <v>1317</v>
      </c>
      <c r="G813" s="98" t="s">
        <v>1318</v>
      </c>
    </row>
    <row r="814" spans="1:7" ht="15" thickBot="1" x14ac:dyDescent="0.4">
      <c r="A814" s="98">
        <v>2041220739</v>
      </c>
      <c r="B814" s="101" t="s">
        <v>1611</v>
      </c>
      <c r="C814" s="98" t="s">
        <v>444</v>
      </c>
      <c r="D814" s="98" t="s">
        <v>441</v>
      </c>
      <c r="E814" s="98" t="s">
        <v>913</v>
      </c>
      <c r="F814" s="98" t="s">
        <v>1317</v>
      </c>
      <c r="G814" s="98" t="s">
        <v>1318</v>
      </c>
    </row>
    <row r="815" spans="1:7" ht="15" thickBot="1" x14ac:dyDescent="0.4">
      <c r="A815" s="98">
        <v>2041220739</v>
      </c>
      <c r="B815" s="101" t="s">
        <v>1611</v>
      </c>
      <c r="C815" s="98" t="s">
        <v>444</v>
      </c>
      <c r="D815" s="98" t="s">
        <v>441</v>
      </c>
      <c r="E815" s="98" t="s">
        <v>911</v>
      </c>
      <c r="F815" s="98" t="s">
        <v>1317</v>
      </c>
      <c r="G815" s="98" t="s">
        <v>1318</v>
      </c>
    </row>
    <row r="816" spans="1:7" ht="15" thickBot="1" x14ac:dyDescent="0.4">
      <c r="A816" s="98">
        <v>2041223579</v>
      </c>
      <c r="B816" s="101" t="s">
        <v>1612</v>
      </c>
      <c r="C816" s="98" t="s">
        <v>444</v>
      </c>
      <c r="D816" s="98" t="s">
        <v>441</v>
      </c>
      <c r="E816" s="98" t="s">
        <v>1321</v>
      </c>
      <c r="F816" s="98" t="s">
        <v>1317</v>
      </c>
      <c r="G816" s="98" t="s">
        <v>1318</v>
      </c>
    </row>
    <row r="817" spans="1:7" ht="15" thickBot="1" x14ac:dyDescent="0.4">
      <c r="A817" s="98">
        <v>2041223579</v>
      </c>
      <c r="B817" s="101" t="s">
        <v>1612</v>
      </c>
      <c r="C817" s="98" t="s">
        <v>444</v>
      </c>
      <c r="D817" s="98" t="s">
        <v>441</v>
      </c>
      <c r="E817" s="98" t="s">
        <v>911</v>
      </c>
      <c r="F817" s="98" t="s">
        <v>1317</v>
      </c>
      <c r="G817" s="98" t="s">
        <v>1318</v>
      </c>
    </row>
    <row r="818" spans="1:7" ht="15" thickBot="1" x14ac:dyDescent="0.4">
      <c r="A818" s="98">
        <v>2041223579</v>
      </c>
      <c r="B818" s="101" t="s">
        <v>1612</v>
      </c>
      <c r="C818" s="98" t="s">
        <v>444</v>
      </c>
      <c r="D818" s="98" t="s">
        <v>441</v>
      </c>
      <c r="E818" s="98" t="s">
        <v>916</v>
      </c>
      <c r="F818" s="98" t="s">
        <v>1323</v>
      </c>
      <c r="G818" s="98" t="s">
        <v>1319</v>
      </c>
    </row>
    <row r="819" spans="1:7" ht="15" thickBot="1" x14ac:dyDescent="0.4">
      <c r="A819" s="98">
        <v>2041223306</v>
      </c>
      <c r="B819" s="101" t="s">
        <v>1613</v>
      </c>
      <c r="C819" s="98" t="s">
        <v>444</v>
      </c>
      <c r="D819" s="98" t="s">
        <v>441</v>
      </c>
      <c r="E819" s="98" t="s">
        <v>912</v>
      </c>
      <c r="F819" s="98" t="s">
        <v>1317</v>
      </c>
      <c r="G819" s="98" t="s">
        <v>1318</v>
      </c>
    </row>
    <row r="820" spans="1:7" ht="15" thickBot="1" x14ac:dyDescent="0.4">
      <c r="A820" s="98">
        <v>2041223306</v>
      </c>
      <c r="B820" s="101" t="s">
        <v>1613</v>
      </c>
      <c r="C820" s="98" t="s">
        <v>444</v>
      </c>
      <c r="D820" s="98" t="s">
        <v>441</v>
      </c>
      <c r="E820" s="98" t="s">
        <v>911</v>
      </c>
      <c r="F820" s="98" t="s">
        <v>1317</v>
      </c>
      <c r="G820" s="98" t="s">
        <v>1318</v>
      </c>
    </row>
    <row r="821" spans="1:7" ht="15" thickBot="1" x14ac:dyDescent="0.4">
      <c r="A821" s="98">
        <v>2041225790</v>
      </c>
      <c r="B821" s="101" t="s">
        <v>1614</v>
      </c>
      <c r="C821" s="98" t="s">
        <v>148</v>
      </c>
      <c r="D821" s="98" t="s">
        <v>441</v>
      </c>
      <c r="E821" s="98" t="s">
        <v>1321</v>
      </c>
      <c r="F821" s="98" t="s">
        <v>1317</v>
      </c>
      <c r="G821" s="98" t="s">
        <v>1318</v>
      </c>
    </row>
    <row r="822" spans="1:7" ht="15" thickBot="1" x14ac:dyDescent="0.4">
      <c r="A822" s="98">
        <v>2041225790</v>
      </c>
      <c r="B822" s="101" t="s">
        <v>1614</v>
      </c>
      <c r="C822" s="98" t="s">
        <v>148</v>
      </c>
      <c r="D822" s="98" t="s">
        <v>441</v>
      </c>
      <c r="E822" s="98" t="s">
        <v>911</v>
      </c>
      <c r="F822" s="98" t="s">
        <v>1317</v>
      </c>
      <c r="G822" s="98" t="s">
        <v>1318</v>
      </c>
    </row>
    <row r="823" spans="1:7" ht="15" thickBot="1" x14ac:dyDescent="0.4">
      <c r="A823" s="98">
        <v>2041224481</v>
      </c>
      <c r="B823" s="101" t="s">
        <v>1617</v>
      </c>
      <c r="C823" s="98" t="s">
        <v>444</v>
      </c>
      <c r="D823" s="98" t="s">
        <v>441</v>
      </c>
      <c r="E823" s="98" t="s">
        <v>911</v>
      </c>
      <c r="F823" s="98" t="s">
        <v>1317</v>
      </c>
      <c r="G823" s="98" t="s">
        <v>1318</v>
      </c>
    </row>
    <row r="824" spans="1:7" ht="15" thickBot="1" x14ac:dyDescent="0.4">
      <c r="A824" s="98">
        <v>2041224481</v>
      </c>
      <c r="B824" s="101" t="s">
        <v>1617</v>
      </c>
      <c r="C824" s="98" t="s">
        <v>444</v>
      </c>
      <c r="D824" s="98" t="s">
        <v>441</v>
      </c>
      <c r="E824" s="98" t="s">
        <v>915</v>
      </c>
      <c r="F824" s="98" t="s">
        <v>1317</v>
      </c>
      <c r="G824" s="98" t="s">
        <v>1319</v>
      </c>
    </row>
    <row r="825" spans="1:7" ht="15" thickBot="1" x14ac:dyDescent="0.4">
      <c r="A825" s="98">
        <v>2041224481</v>
      </c>
      <c r="B825" s="101" t="s">
        <v>1617</v>
      </c>
      <c r="C825" s="98" t="s">
        <v>444</v>
      </c>
      <c r="D825" s="98" t="s">
        <v>441</v>
      </c>
      <c r="E825" s="98" t="s">
        <v>914</v>
      </c>
      <c r="F825" s="98" t="s">
        <v>1317</v>
      </c>
      <c r="G825" s="98" t="s">
        <v>1318</v>
      </c>
    </row>
    <row r="826" spans="1:7" ht="15" thickBot="1" x14ac:dyDescent="0.4">
      <c r="A826" s="98">
        <v>2041225392</v>
      </c>
      <c r="B826" s="101" t="s">
        <v>1618</v>
      </c>
      <c r="C826" s="98" t="s">
        <v>444</v>
      </c>
      <c r="D826" s="98" t="s">
        <v>441</v>
      </c>
      <c r="E826" s="98" t="s">
        <v>1321</v>
      </c>
      <c r="F826" s="98" t="s">
        <v>1317</v>
      </c>
      <c r="G826" s="98" t="s">
        <v>1318</v>
      </c>
    </row>
    <row r="827" spans="1:7" ht="15" thickBot="1" x14ac:dyDescent="0.4">
      <c r="A827" s="98">
        <v>2041225392</v>
      </c>
      <c r="B827" s="101" t="s">
        <v>1618</v>
      </c>
      <c r="C827" s="98" t="s">
        <v>444</v>
      </c>
      <c r="D827" s="98" t="s">
        <v>441</v>
      </c>
      <c r="E827" s="98" t="s">
        <v>911</v>
      </c>
      <c r="F827" s="98" t="s">
        <v>1317</v>
      </c>
      <c r="G827" s="98" t="s">
        <v>1318</v>
      </c>
    </row>
    <row r="828" spans="1:7" ht="15" thickBot="1" x14ac:dyDescent="0.4">
      <c r="A828" s="98">
        <v>2041225392</v>
      </c>
      <c r="B828" s="101" t="s">
        <v>1618</v>
      </c>
      <c r="C828" s="98" t="s">
        <v>444</v>
      </c>
      <c r="D828" s="98" t="s">
        <v>441</v>
      </c>
      <c r="E828" s="98" t="s">
        <v>916</v>
      </c>
      <c r="F828" s="98" t="s">
        <v>1317</v>
      </c>
      <c r="G828" s="98" t="s">
        <v>1319</v>
      </c>
    </row>
    <row r="829" spans="1:7" ht="15" thickBot="1" x14ac:dyDescent="0.4">
      <c r="A829" s="98">
        <v>2041223973</v>
      </c>
      <c r="B829" s="101" t="s">
        <v>1619</v>
      </c>
      <c r="C829" s="98" t="s">
        <v>444</v>
      </c>
      <c r="D829" s="98" t="s">
        <v>441</v>
      </c>
      <c r="E829" s="98" t="s">
        <v>1321</v>
      </c>
      <c r="F829" s="98" t="s">
        <v>1317</v>
      </c>
      <c r="G829" s="98" t="s">
        <v>1318</v>
      </c>
    </row>
    <row r="830" spans="1:7" ht="15" thickBot="1" x14ac:dyDescent="0.4">
      <c r="A830" s="98">
        <v>2041223973</v>
      </c>
      <c r="B830" s="101" t="s">
        <v>1619</v>
      </c>
      <c r="C830" s="98" t="s">
        <v>444</v>
      </c>
      <c r="D830" s="98" t="s">
        <v>441</v>
      </c>
      <c r="E830" s="98" t="s">
        <v>911</v>
      </c>
      <c r="F830" s="98" t="s">
        <v>1317</v>
      </c>
      <c r="G830" s="98" t="s">
        <v>1318</v>
      </c>
    </row>
    <row r="831" spans="1:7" ht="15" thickBot="1" x14ac:dyDescent="0.4">
      <c r="A831" s="98">
        <v>2041223973</v>
      </c>
      <c r="B831" s="101" t="s">
        <v>1619</v>
      </c>
      <c r="C831" s="98" t="s">
        <v>444</v>
      </c>
      <c r="D831" s="98" t="s">
        <v>441</v>
      </c>
      <c r="E831" s="98" t="s">
        <v>916</v>
      </c>
      <c r="F831" s="98" t="s">
        <v>1317</v>
      </c>
      <c r="G831" s="98" t="s">
        <v>1319</v>
      </c>
    </row>
    <row r="832" spans="1:7" ht="15" thickBot="1" x14ac:dyDescent="0.4">
      <c r="A832" s="98">
        <v>2041221509</v>
      </c>
      <c r="B832" s="101" t="s">
        <v>1620</v>
      </c>
      <c r="C832" s="98" t="s">
        <v>1621</v>
      </c>
      <c r="D832" s="98" t="s">
        <v>441</v>
      </c>
      <c r="E832" s="98" t="s">
        <v>911</v>
      </c>
      <c r="F832" s="98" t="s">
        <v>1317</v>
      </c>
      <c r="G832" s="98" t="s">
        <v>1318</v>
      </c>
    </row>
    <row r="833" spans="1:7" ht="15" thickBot="1" x14ac:dyDescent="0.4">
      <c r="A833" s="98">
        <v>2041224146</v>
      </c>
      <c r="B833" s="101" t="s">
        <v>1622</v>
      </c>
      <c r="C833" s="98" t="s">
        <v>444</v>
      </c>
      <c r="D833" s="98" t="s">
        <v>441</v>
      </c>
      <c r="E833" s="98" t="s">
        <v>1321</v>
      </c>
      <c r="F833" s="98" t="s">
        <v>1317</v>
      </c>
      <c r="G833" s="98" t="s">
        <v>1318</v>
      </c>
    </row>
    <row r="834" spans="1:7" ht="15" thickBot="1" x14ac:dyDescent="0.4">
      <c r="A834" s="98">
        <v>2041224146</v>
      </c>
      <c r="B834" s="101" t="s">
        <v>1622</v>
      </c>
      <c r="C834" s="98" t="s">
        <v>444</v>
      </c>
      <c r="D834" s="98" t="s">
        <v>441</v>
      </c>
      <c r="E834" s="98" t="s">
        <v>911</v>
      </c>
      <c r="F834" s="98" t="s">
        <v>1317</v>
      </c>
      <c r="G834" s="98" t="s">
        <v>1318</v>
      </c>
    </row>
    <row r="835" spans="1:7" ht="15" thickBot="1" x14ac:dyDescent="0.4">
      <c r="A835" s="98">
        <v>2041224146</v>
      </c>
      <c r="B835" s="101" t="s">
        <v>1622</v>
      </c>
      <c r="C835" s="98" t="s">
        <v>444</v>
      </c>
      <c r="D835" s="98" t="s">
        <v>441</v>
      </c>
      <c r="E835" s="98" t="s">
        <v>911</v>
      </c>
      <c r="F835" s="98" t="s">
        <v>1317</v>
      </c>
      <c r="G835" s="98" t="s">
        <v>1318</v>
      </c>
    </row>
    <row r="836" spans="1:7" ht="15" thickBot="1" x14ac:dyDescent="0.4">
      <c r="A836" s="98">
        <v>2041224146</v>
      </c>
      <c r="B836" s="101" t="s">
        <v>1622</v>
      </c>
      <c r="C836" s="98" t="s">
        <v>444</v>
      </c>
      <c r="D836" s="98" t="s">
        <v>441</v>
      </c>
      <c r="E836" s="98" t="s">
        <v>915</v>
      </c>
      <c r="F836" s="98" t="s">
        <v>1317</v>
      </c>
      <c r="G836" s="98" t="s">
        <v>1319</v>
      </c>
    </row>
    <row r="837" spans="1:7" ht="15" thickBot="1" x14ac:dyDescent="0.4">
      <c r="A837" s="98">
        <v>2041225029</v>
      </c>
      <c r="B837" s="101" t="s">
        <v>1623</v>
      </c>
      <c r="C837" s="98" t="s">
        <v>444</v>
      </c>
      <c r="D837" s="98" t="s">
        <v>441</v>
      </c>
      <c r="E837" s="98" t="s">
        <v>1321</v>
      </c>
      <c r="F837" s="98" t="s">
        <v>1317</v>
      </c>
      <c r="G837" s="98" t="s">
        <v>1318</v>
      </c>
    </row>
    <row r="838" spans="1:7" ht="15" thickBot="1" x14ac:dyDescent="0.4">
      <c r="A838" s="98">
        <v>2041225029</v>
      </c>
      <c r="B838" s="101" t="s">
        <v>1623</v>
      </c>
      <c r="C838" s="98" t="s">
        <v>1624</v>
      </c>
      <c r="D838" s="98" t="s">
        <v>441</v>
      </c>
      <c r="E838" s="98" t="s">
        <v>911</v>
      </c>
      <c r="F838" s="98" t="s">
        <v>1317</v>
      </c>
      <c r="G838" s="98" t="s">
        <v>1318</v>
      </c>
    </row>
    <row r="839" spans="1:7" ht="15" thickBot="1" x14ac:dyDescent="0.4">
      <c r="A839" s="98">
        <v>2041225029</v>
      </c>
      <c r="B839" s="101" t="s">
        <v>1623</v>
      </c>
      <c r="C839" s="98" t="s">
        <v>444</v>
      </c>
      <c r="D839" s="98" t="s">
        <v>441</v>
      </c>
      <c r="E839" s="98" t="s">
        <v>915</v>
      </c>
      <c r="F839" s="98" t="s">
        <v>1317</v>
      </c>
      <c r="G839" s="98" t="s">
        <v>1319</v>
      </c>
    </row>
    <row r="840" spans="1:7" ht="15" thickBot="1" x14ac:dyDescent="0.4">
      <c r="A840" s="98">
        <v>2041225029</v>
      </c>
      <c r="B840" s="101" t="s">
        <v>1623</v>
      </c>
      <c r="C840" s="98" t="s">
        <v>444</v>
      </c>
      <c r="D840" s="98" t="s">
        <v>441</v>
      </c>
      <c r="E840" s="98" t="s">
        <v>915</v>
      </c>
      <c r="F840" s="98" t="s">
        <v>1317</v>
      </c>
      <c r="G840" s="98" t="s">
        <v>1319</v>
      </c>
    </row>
    <row r="841" spans="1:7" ht="15" thickBot="1" x14ac:dyDescent="0.4">
      <c r="A841" s="98">
        <v>2041225117</v>
      </c>
      <c r="B841" s="101" t="s">
        <v>1625</v>
      </c>
      <c r="C841" s="98" t="s">
        <v>444</v>
      </c>
      <c r="D841" s="98" t="s">
        <v>441</v>
      </c>
      <c r="E841" s="98" t="s">
        <v>913</v>
      </c>
      <c r="F841" s="98" t="s">
        <v>1317</v>
      </c>
      <c r="G841" s="98" t="s">
        <v>1318</v>
      </c>
    </row>
    <row r="842" spans="1:7" ht="15" thickBot="1" x14ac:dyDescent="0.4">
      <c r="A842" s="98">
        <v>2041225117</v>
      </c>
      <c r="B842" s="101" t="s">
        <v>1625</v>
      </c>
      <c r="C842" s="98" t="s">
        <v>444</v>
      </c>
      <c r="D842" s="98" t="s">
        <v>441</v>
      </c>
      <c r="E842" s="98" t="s">
        <v>1321</v>
      </c>
      <c r="F842" s="98" t="s">
        <v>1317</v>
      </c>
      <c r="G842" s="98" t="s">
        <v>1318</v>
      </c>
    </row>
    <row r="843" spans="1:7" ht="15" thickBot="1" x14ac:dyDescent="0.4">
      <c r="A843" s="98">
        <v>2041225117</v>
      </c>
      <c r="B843" s="101" t="s">
        <v>1625</v>
      </c>
      <c r="C843" s="98" t="s">
        <v>444</v>
      </c>
      <c r="D843" s="98" t="s">
        <v>441</v>
      </c>
      <c r="E843" s="98" t="s">
        <v>911</v>
      </c>
      <c r="F843" s="98" t="s">
        <v>1317</v>
      </c>
      <c r="G843" s="98" t="s">
        <v>1318</v>
      </c>
    </row>
    <row r="844" spans="1:7" ht="15" thickBot="1" x14ac:dyDescent="0.4">
      <c r="A844" s="98">
        <v>2022222542</v>
      </c>
      <c r="B844" s="101" t="s">
        <v>1626</v>
      </c>
      <c r="C844" s="98" t="s">
        <v>468</v>
      </c>
      <c r="D844" s="98" t="s">
        <v>469</v>
      </c>
      <c r="E844" s="98" t="s">
        <v>912</v>
      </c>
      <c r="F844" s="98" t="s">
        <v>1317</v>
      </c>
      <c r="G844" s="98" t="s">
        <v>1318</v>
      </c>
    </row>
    <row r="845" spans="1:7" ht="15" thickBot="1" x14ac:dyDescent="0.4">
      <c r="A845" s="98">
        <v>2022222542</v>
      </c>
      <c r="B845" s="101" t="s">
        <v>1626</v>
      </c>
      <c r="C845" s="98" t="s">
        <v>468</v>
      </c>
      <c r="D845" s="98" t="s">
        <v>469</v>
      </c>
      <c r="E845" s="98" t="s">
        <v>911</v>
      </c>
      <c r="F845" s="98" t="s">
        <v>1317</v>
      </c>
      <c r="G845" s="98" t="s">
        <v>1318</v>
      </c>
    </row>
    <row r="846" spans="1:7" ht="15" thickBot="1" x14ac:dyDescent="0.4">
      <c r="A846" s="98">
        <v>2022222542</v>
      </c>
      <c r="B846" s="101" t="s">
        <v>1626</v>
      </c>
      <c r="C846" s="98" t="s">
        <v>468</v>
      </c>
      <c r="D846" s="98" t="s">
        <v>469</v>
      </c>
      <c r="E846" s="98" t="s">
        <v>915</v>
      </c>
      <c r="F846" s="98" t="s">
        <v>1317</v>
      </c>
      <c r="G846" s="98" t="s">
        <v>1319</v>
      </c>
    </row>
    <row r="847" spans="1:7" ht="15" thickBot="1" x14ac:dyDescent="0.4">
      <c r="A847" s="98">
        <v>2022223981</v>
      </c>
      <c r="B847" s="101" t="s">
        <v>1627</v>
      </c>
      <c r="C847" s="98" t="s">
        <v>468</v>
      </c>
      <c r="D847" s="98" t="s">
        <v>469</v>
      </c>
      <c r="E847" s="98" t="s">
        <v>911</v>
      </c>
      <c r="F847" s="98" t="s">
        <v>1317</v>
      </c>
      <c r="G847" s="98" t="s">
        <v>1318</v>
      </c>
    </row>
    <row r="848" spans="1:7" ht="15" thickBot="1" x14ac:dyDescent="0.4">
      <c r="A848" s="98">
        <v>2022223981</v>
      </c>
      <c r="B848" s="101" t="s">
        <v>1627</v>
      </c>
      <c r="C848" s="98" t="s">
        <v>468</v>
      </c>
      <c r="D848" s="98" t="s">
        <v>469</v>
      </c>
      <c r="E848" s="98" t="s">
        <v>1342</v>
      </c>
      <c r="F848" s="98" t="s">
        <v>1317</v>
      </c>
      <c r="G848" s="98" t="s">
        <v>1318</v>
      </c>
    </row>
    <row r="849" spans="1:7" ht="15" thickBot="1" x14ac:dyDescent="0.4">
      <c r="A849" s="98">
        <v>2022223981</v>
      </c>
      <c r="B849" s="101" t="s">
        <v>1627</v>
      </c>
      <c r="C849" s="98" t="s">
        <v>468</v>
      </c>
      <c r="D849" s="98" t="s">
        <v>469</v>
      </c>
      <c r="E849" s="98" t="s">
        <v>915</v>
      </c>
      <c r="F849" s="98" t="s">
        <v>1317</v>
      </c>
      <c r="G849" s="98" t="s">
        <v>1319</v>
      </c>
    </row>
    <row r="850" spans="1:7" ht="15" thickBot="1" x14ac:dyDescent="0.4">
      <c r="A850" s="98">
        <v>2022225222</v>
      </c>
      <c r="B850" s="101" t="s">
        <v>1628</v>
      </c>
      <c r="C850" s="98" t="s">
        <v>468</v>
      </c>
      <c r="D850" s="98" t="s">
        <v>469</v>
      </c>
      <c r="E850" s="98" t="s">
        <v>914</v>
      </c>
      <c r="F850" s="98" t="s">
        <v>1317</v>
      </c>
      <c r="G850" s="98" t="s">
        <v>1318</v>
      </c>
    </row>
    <row r="851" spans="1:7" ht="15" thickBot="1" x14ac:dyDescent="0.4">
      <c r="A851" s="98">
        <v>2022225222</v>
      </c>
      <c r="B851" s="101" t="s">
        <v>1628</v>
      </c>
      <c r="C851" s="98" t="s">
        <v>468</v>
      </c>
      <c r="D851" s="98" t="s">
        <v>469</v>
      </c>
      <c r="E851" s="98" t="s">
        <v>912</v>
      </c>
      <c r="F851" s="98" t="s">
        <v>1317</v>
      </c>
      <c r="G851" s="98" t="s">
        <v>1318</v>
      </c>
    </row>
    <row r="852" spans="1:7" ht="15" thickBot="1" x14ac:dyDescent="0.4">
      <c r="A852" s="98">
        <v>2022225222</v>
      </c>
      <c r="B852" s="101" t="s">
        <v>1628</v>
      </c>
      <c r="C852" s="98" t="s">
        <v>468</v>
      </c>
      <c r="D852" s="98" t="s">
        <v>469</v>
      </c>
      <c r="E852" s="98" t="s">
        <v>916</v>
      </c>
      <c r="F852" s="98" t="s">
        <v>1323</v>
      </c>
      <c r="G852" s="98" t="s">
        <v>1319</v>
      </c>
    </row>
    <row r="853" spans="1:7" ht="15" thickBot="1" x14ac:dyDescent="0.4">
      <c r="A853" s="98">
        <v>2041220509</v>
      </c>
      <c r="B853" s="101" t="s">
        <v>1629</v>
      </c>
      <c r="C853" s="98" t="s">
        <v>534</v>
      </c>
      <c r="D853" s="98" t="s">
        <v>469</v>
      </c>
      <c r="E853" s="98" t="s">
        <v>915</v>
      </c>
      <c r="F853" s="98" t="s">
        <v>1323</v>
      </c>
      <c r="G853" s="98" t="s">
        <v>1319</v>
      </c>
    </row>
    <row r="854" spans="1:7" ht="15" thickBot="1" x14ac:dyDescent="0.4">
      <c r="A854" s="98">
        <v>2041220509</v>
      </c>
      <c r="B854" s="101" t="s">
        <v>1629</v>
      </c>
      <c r="C854" s="98" t="s">
        <v>534</v>
      </c>
      <c r="D854" s="98" t="s">
        <v>469</v>
      </c>
      <c r="E854" s="98" t="s">
        <v>912</v>
      </c>
      <c r="F854" s="98" t="s">
        <v>1317</v>
      </c>
      <c r="G854" s="98" t="s">
        <v>1318</v>
      </c>
    </row>
    <row r="855" spans="1:7" ht="15" thickBot="1" x14ac:dyDescent="0.4">
      <c r="A855" s="98">
        <v>2041220509</v>
      </c>
      <c r="B855" s="101" t="s">
        <v>1629</v>
      </c>
      <c r="C855" s="98" t="s">
        <v>534</v>
      </c>
      <c r="D855" s="98" t="s">
        <v>469</v>
      </c>
      <c r="E855" s="98" t="s">
        <v>913</v>
      </c>
      <c r="F855" s="98" t="s">
        <v>1317</v>
      </c>
      <c r="G855" s="98" t="s">
        <v>1318</v>
      </c>
    </row>
    <row r="856" spans="1:7" ht="15" thickBot="1" x14ac:dyDescent="0.4">
      <c r="A856" s="98">
        <v>2022222797</v>
      </c>
      <c r="B856" s="101" t="s">
        <v>1630</v>
      </c>
      <c r="C856" s="98" t="s">
        <v>468</v>
      </c>
      <c r="D856" s="98" t="s">
        <v>469</v>
      </c>
      <c r="E856" s="98" t="s">
        <v>912</v>
      </c>
      <c r="F856" s="98" t="s">
        <v>1317</v>
      </c>
      <c r="G856" s="98" t="s">
        <v>1318</v>
      </c>
    </row>
    <row r="857" spans="1:7" ht="15" thickBot="1" x14ac:dyDescent="0.4">
      <c r="A857" s="98">
        <v>2022222797</v>
      </c>
      <c r="B857" s="101" t="s">
        <v>1631</v>
      </c>
      <c r="C857" s="98" t="s">
        <v>468</v>
      </c>
      <c r="D857" s="98" t="s">
        <v>469</v>
      </c>
      <c r="E857" s="98" t="s">
        <v>1342</v>
      </c>
      <c r="F857" s="98" t="s">
        <v>1317</v>
      </c>
      <c r="G857" s="98" t="s">
        <v>1318</v>
      </c>
    </row>
    <row r="858" spans="1:7" ht="15" thickBot="1" x14ac:dyDescent="0.4">
      <c r="A858" s="98">
        <v>2041220128</v>
      </c>
      <c r="B858" s="101" t="s">
        <v>1632</v>
      </c>
      <c r="C858" s="98" t="s">
        <v>534</v>
      </c>
      <c r="D858" s="98" t="s">
        <v>469</v>
      </c>
      <c r="E858" s="98" t="s">
        <v>911</v>
      </c>
      <c r="F858" s="98" t="s">
        <v>1317</v>
      </c>
      <c r="G858" s="98" t="s">
        <v>1318</v>
      </c>
    </row>
    <row r="859" spans="1:7" ht="15" thickBot="1" x14ac:dyDescent="0.4">
      <c r="A859" s="98">
        <v>2041220128</v>
      </c>
      <c r="B859" s="101" t="s">
        <v>1632</v>
      </c>
      <c r="C859" s="98" t="s">
        <v>534</v>
      </c>
      <c r="D859" s="98" t="s">
        <v>469</v>
      </c>
      <c r="E859" s="98" t="s">
        <v>912</v>
      </c>
      <c r="F859" s="98" t="s">
        <v>1317</v>
      </c>
      <c r="G859" s="98" t="s">
        <v>1318</v>
      </c>
    </row>
    <row r="860" spans="1:7" ht="15" thickBot="1" x14ac:dyDescent="0.4">
      <c r="A860" s="98">
        <v>2005210982</v>
      </c>
      <c r="B860" s="101" t="s">
        <v>1464</v>
      </c>
      <c r="C860" s="98" t="s">
        <v>326</v>
      </c>
      <c r="D860" s="98" t="s">
        <v>469</v>
      </c>
      <c r="E860" s="98" t="s">
        <v>911</v>
      </c>
      <c r="F860" s="98" t="s">
        <v>1317</v>
      </c>
      <c r="G860" s="98" t="s">
        <v>1318</v>
      </c>
    </row>
    <row r="861" spans="1:7" ht="15" thickBot="1" x14ac:dyDescent="0.4">
      <c r="A861" s="98">
        <v>2005210982</v>
      </c>
      <c r="B861" s="101" t="s">
        <v>1464</v>
      </c>
      <c r="C861" s="98" t="s">
        <v>326</v>
      </c>
      <c r="D861" s="98" t="s">
        <v>469</v>
      </c>
      <c r="E861" s="98" t="s">
        <v>914</v>
      </c>
      <c r="F861" s="98" t="s">
        <v>1317</v>
      </c>
      <c r="G861" s="98" t="s">
        <v>1318</v>
      </c>
    </row>
    <row r="862" spans="1:7" ht="15" thickBot="1" x14ac:dyDescent="0.4">
      <c r="A862" s="98">
        <v>2022225514</v>
      </c>
      <c r="B862" s="101" t="s">
        <v>1633</v>
      </c>
      <c r="C862" s="98" t="s">
        <v>468</v>
      </c>
      <c r="D862" s="98" t="s">
        <v>469</v>
      </c>
      <c r="E862" s="98" t="s">
        <v>911</v>
      </c>
      <c r="F862" s="98" t="s">
        <v>1317</v>
      </c>
      <c r="G862" s="98" t="s">
        <v>1318</v>
      </c>
    </row>
    <row r="863" spans="1:7" ht="15" thickBot="1" x14ac:dyDescent="0.4">
      <c r="A863" s="98">
        <v>2022225514</v>
      </c>
      <c r="B863" s="101" t="s">
        <v>1633</v>
      </c>
      <c r="C863" s="98" t="s">
        <v>468</v>
      </c>
      <c r="D863" s="98" t="s">
        <v>469</v>
      </c>
      <c r="E863" s="98" t="s">
        <v>912</v>
      </c>
      <c r="F863" s="98" t="s">
        <v>1317</v>
      </c>
      <c r="G863" s="98" t="s">
        <v>1318</v>
      </c>
    </row>
    <row r="864" spans="1:7" ht="15" thickBot="1" x14ac:dyDescent="0.4">
      <c r="A864" s="98">
        <v>2022225514</v>
      </c>
      <c r="B864" s="101" t="s">
        <v>1633</v>
      </c>
      <c r="C864" s="98" t="s">
        <v>468</v>
      </c>
      <c r="D864" s="98" t="s">
        <v>469</v>
      </c>
      <c r="E864" s="98" t="s">
        <v>915</v>
      </c>
      <c r="F864" s="98" t="s">
        <v>1317</v>
      </c>
      <c r="G864" s="98" t="s">
        <v>1319</v>
      </c>
    </row>
    <row r="865" spans="1:7" ht="15" thickBot="1" x14ac:dyDescent="0.4">
      <c r="A865" s="98">
        <v>2022225514</v>
      </c>
      <c r="B865" s="101" t="s">
        <v>1633</v>
      </c>
      <c r="C865" s="98" t="s">
        <v>468</v>
      </c>
      <c r="D865" s="98" t="s">
        <v>469</v>
      </c>
      <c r="E865" s="98" t="s">
        <v>915</v>
      </c>
      <c r="F865" s="98" t="s">
        <v>1317</v>
      </c>
      <c r="G865" s="98" t="s">
        <v>1319</v>
      </c>
    </row>
    <row r="866" spans="1:7" ht="15" thickBot="1" x14ac:dyDescent="0.4">
      <c r="A866" s="98">
        <v>2022224240</v>
      </c>
      <c r="B866" s="101" t="s">
        <v>1634</v>
      </c>
      <c r="C866" s="98" t="s">
        <v>468</v>
      </c>
      <c r="D866" s="98" t="s">
        <v>469</v>
      </c>
      <c r="E866" s="98" t="s">
        <v>912</v>
      </c>
      <c r="F866" s="98" t="s">
        <v>1317</v>
      </c>
      <c r="G866" s="98" t="s">
        <v>1318</v>
      </c>
    </row>
    <row r="867" spans="1:7" ht="15" thickBot="1" x14ac:dyDescent="0.4">
      <c r="A867" s="98">
        <v>2022224240</v>
      </c>
      <c r="B867" s="101" t="s">
        <v>1634</v>
      </c>
      <c r="C867" s="98" t="s">
        <v>468</v>
      </c>
      <c r="D867" s="98" t="s">
        <v>469</v>
      </c>
      <c r="E867" s="98" t="s">
        <v>915</v>
      </c>
      <c r="F867" s="98" t="s">
        <v>1317</v>
      </c>
      <c r="G867" s="98" t="s">
        <v>1319</v>
      </c>
    </row>
    <row r="868" spans="1:7" ht="15" thickBot="1" x14ac:dyDescent="0.4">
      <c r="A868" s="98">
        <v>2022224240</v>
      </c>
      <c r="B868" s="101" t="s">
        <v>1635</v>
      </c>
      <c r="C868" s="98" t="s">
        <v>468</v>
      </c>
      <c r="D868" s="98" t="s">
        <v>469</v>
      </c>
      <c r="E868" s="98" t="s">
        <v>914</v>
      </c>
      <c r="F868" s="98" t="s">
        <v>1317</v>
      </c>
      <c r="G868" s="98" t="s">
        <v>1318</v>
      </c>
    </row>
    <row r="869" spans="1:7" ht="15" thickBot="1" x14ac:dyDescent="0.4">
      <c r="A869" s="98">
        <v>2022221374</v>
      </c>
      <c r="B869" s="101" t="s">
        <v>1636</v>
      </c>
      <c r="C869" s="98" t="s">
        <v>468</v>
      </c>
      <c r="D869" s="98" t="s">
        <v>469</v>
      </c>
      <c r="E869" s="98" t="s">
        <v>911</v>
      </c>
      <c r="F869" s="98" t="s">
        <v>1317</v>
      </c>
      <c r="G869" s="98" t="s">
        <v>1318</v>
      </c>
    </row>
    <row r="870" spans="1:7" ht="15" thickBot="1" x14ac:dyDescent="0.4">
      <c r="A870" s="98">
        <v>2022221374</v>
      </c>
      <c r="B870" s="101" t="s">
        <v>1636</v>
      </c>
      <c r="C870" s="98" t="s">
        <v>468</v>
      </c>
      <c r="D870" s="98" t="s">
        <v>469</v>
      </c>
      <c r="E870" s="98" t="s">
        <v>913</v>
      </c>
      <c r="F870" s="98" t="s">
        <v>1317</v>
      </c>
      <c r="G870" s="98" t="s">
        <v>1318</v>
      </c>
    </row>
    <row r="871" spans="1:7" ht="15" thickBot="1" x14ac:dyDescent="0.4">
      <c r="A871" s="98">
        <v>2022221374</v>
      </c>
      <c r="B871" s="101" t="s">
        <v>1636</v>
      </c>
      <c r="C871" s="98" t="s">
        <v>468</v>
      </c>
      <c r="D871" s="98" t="s">
        <v>469</v>
      </c>
      <c r="E871" s="98" t="s">
        <v>915</v>
      </c>
      <c r="F871" s="98" t="s">
        <v>1317</v>
      </c>
      <c r="G871" s="98" t="s">
        <v>1319</v>
      </c>
    </row>
    <row r="872" spans="1:7" ht="15" thickBot="1" x14ac:dyDescent="0.4">
      <c r="A872" s="98">
        <v>2022225751</v>
      </c>
      <c r="B872" s="101" t="s">
        <v>2072</v>
      </c>
      <c r="C872" s="98" t="s">
        <v>468</v>
      </c>
      <c r="D872" s="98" t="s">
        <v>469</v>
      </c>
      <c r="E872" s="98" t="s">
        <v>912</v>
      </c>
      <c r="F872" s="98" t="s">
        <v>1317</v>
      </c>
      <c r="G872" s="98" t="s">
        <v>1318</v>
      </c>
    </row>
    <row r="873" spans="1:7" ht="15" thickBot="1" x14ac:dyDescent="0.4">
      <c r="A873" s="98">
        <v>2022225751</v>
      </c>
      <c r="B873" s="101" t="s">
        <v>2072</v>
      </c>
      <c r="C873" s="98" t="s">
        <v>468</v>
      </c>
      <c r="D873" s="98" t="s">
        <v>469</v>
      </c>
      <c r="E873" s="98" t="s">
        <v>911</v>
      </c>
      <c r="F873" s="98" t="s">
        <v>1317</v>
      </c>
      <c r="G873" s="98" t="s">
        <v>1318</v>
      </c>
    </row>
    <row r="874" spans="1:7" ht="15" thickBot="1" x14ac:dyDescent="0.4">
      <c r="A874" s="98">
        <v>2022223860</v>
      </c>
      <c r="B874" s="101" t="s">
        <v>1637</v>
      </c>
      <c r="C874" s="98" t="s">
        <v>468</v>
      </c>
      <c r="D874" s="98" t="s">
        <v>469</v>
      </c>
      <c r="E874" s="98" t="s">
        <v>912</v>
      </c>
      <c r="F874" s="98" t="s">
        <v>1317</v>
      </c>
      <c r="G874" s="98" t="s">
        <v>1318</v>
      </c>
    </row>
    <row r="875" spans="1:7" ht="15" thickBot="1" x14ac:dyDescent="0.4">
      <c r="A875" s="98">
        <v>2022223860</v>
      </c>
      <c r="B875" s="101" t="s">
        <v>1637</v>
      </c>
      <c r="C875" s="98" t="s">
        <v>468</v>
      </c>
      <c r="D875" s="98" t="s">
        <v>469</v>
      </c>
      <c r="E875" s="98" t="s">
        <v>913</v>
      </c>
      <c r="F875" s="98" t="s">
        <v>1317</v>
      </c>
      <c r="G875" s="98" t="s">
        <v>1318</v>
      </c>
    </row>
    <row r="876" spans="1:7" ht="15" thickBot="1" x14ac:dyDescent="0.4">
      <c r="A876" s="98">
        <v>2041221732</v>
      </c>
      <c r="B876" s="101" t="s">
        <v>1638</v>
      </c>
      <c r="C876" s="98" t="s">
        <v>534</v>
      </c>
      <c r="D876" s="98" t="s">
        <v>469</v>
      </c>
      <c r="E876" s="98" t="s">
        <v>912</v>
      </c>
      <c r="F876" s="98" t="s">
        <v>1317</v>
      </c>
      <c r="G876" s="98" t="s">
        <v>1318</v>
      </c>
    </row>
    <row r="877" spans="1:7" ht="15" thickBot="1" x14ac:dyDescent="0.4">
      <c r="A877" s="98">
        <v>2041221732</v>
      </c>
      <c r="B877" s="101" t="s">
        <v>1638</v>
      </c>
      <c r="C877" s="98" t="s">
        <v>534</v>
      </c>
      <c r="D877" s="98" t="s">
        <v>469</v>
      </c>
      <c r="E877" s="98" t="s">
        <v>911</v>
      </c>
      <c r="F877" s="98" t="s">
        <v>1317</v>
      </c>
      <c r="G877" s="98" t="s">
        <v>1318</v>
      </c>
    </row>
    <row r="878" spans="1:7" ht="15" thickBot="1" x14ac:dyDescent="0.4">
      <c r="A878" s="98">
        <v>2041221732</v>
      </c>
      <c r="B878" s="101" t="s">
        <v>1638</v>
      </c>
      <c r="C878" s="98" t="s">
        <v>534</v>
      </c>
      <c r="D878" s="98" t="s">
        <v>469</v>
      </c>
      <c r="E878" s="98" t="s">
        <v>916</v>
      </c>
      <c r="F878" s="98" t="s">
        <v>1323</v>
      </c>
      <c r="G878" s="98" t="s">
        <v>1319</v>
      </c>
    </row>
    <row r="879" spans="1:7" ht="15" thickBot="1" x14ac:dyDescent="0.4">
      <c r="A879" s="98">
        <v>2041220587</v>
      </c>
      <c r="B879" s="101" t="s">
        <v>1639</v>
      </c>
      <c r="C879" s="98" t="s">
        <v>534</v>
      </c>
      <c r="D879" s="98" t="s">
        <v>469</v>
      </c>
      <c r="E879" s="98" t="s">
        <v>911</v>
      </c>
      <c r="F879" s="98" t="s">
        <v>1317</v>
      </c>
      <c r="G879" s="98" t="s">
        <v>1318</v>
      </c>
    </row>
    <row r="880" spans="1:7" ht="15" thickBot="1" x14ac:dyDescent="0.4">
      <c r="A880" s="98">
        <v>2041220587</v>
      </c>
      <c r="B880" s="101" t="s">
        <v>1639</v>
      </c>
      <c r="C880" s="98" t="s">
        <v>534</v>
      </c>
      <c r="D880" s="98" t="s">
        <v>469</v>
      </c>
      <c r="E880" s="98" t="s">
        <v>914</v>
      </c>
      <c r="F880" s="98" t="s">
        <v>1317</v>
      </c>
      <c r="G880" s="98" t="s">
        <v>1318</v>
      </c>
    </row>
    <row r="881" spans="1:7" ht="15" thickBot="1" x14ac:dyDescent="0.4">
      <c r="A881" s="98">
        <v>2041220587</v>
      </c>
      <c r="B881" s="101" t="s">
        <v>1639</v>
      </c>
      <c r="C881" s="98" t="s">
        <v>534</v>
      </c>
      <c r="D881" s="98" t="s">
        <v>469</v>
      </c>
      <c r="E881" s="98" t="s">
        <v>915</v>
      </c>
      <c r="F881" s="98" t="s">
        <v>1317</v>
      </c>
      <c r="G881" s="98" t="s">
        <v>1319</v>
      </c>
    </row>
    <row r="882" spans="1:7" ht="15" thickBot="1" x14ac:dyDescent="0.4">
      <c r="A882" s="98">
        <v>2022221429</v>
      </c>
      <c r="B882" s="101" t="s">
        <v>1640</v>
      </c>
      <c r="C882" s="98" t="s">
        <v>468</v>
      </c>
      <c r="D882" s="98" t="s">
        <v>469</v>
      </c>
      <c r="E882" s="98" t="s">
        <v>912</v>
      </c>
      <c r="F882" s="98" t="s">
        <v>1317</v>
      </c>
      <c r="G882" s="98" t="s">
        <v>1318</v>
      </c>
    </row>
    <row r="883" spans="1:7" ht="15" thickBot="1" x14ac:dyDescent="0.4">
      <c r="A883" s="98">
        <v>2022221429</v>
      </c>
      <c r="B883" s="101" t="s">
        <v>1640</v>
      </c>
      <c r="C883" s="98" t="s">
        <v>468</v>
      </c>
      <c r="D883" s="98" t="s">
        <v>469</v>
      </c>
      <c r="E883" s="98" t="s">
        <v>911</v>
      </c>
      <c r="F883" s="98" t="s">
        <v>1317</v>
      </c>
      <c r="G883" s="98" t="s">
        <v>1318</v>
      </c>
    </row>
    <row r="884" spans="1:7" ht="15" thickBot="1" x14ac:dyDescent="0.4">
      <c r="A884" s="98">
        <v>2022221429</v>
      </c>
      <c r="B884" s="101" t="s">
        <v>1640</v>
      </c>
      <c r="C884" s="98" t="s">
        <v>468</v>
      </c>
      <c r="D884" s="98" t="s">
        <v>469</v>
      </c>
      <c r="E884" s="98" t="s">
        <v>915</v>
      </c>
      <c r="F884" s="98" t="s">
        <v>1317</v>
      </c>
      <c r="G884" s="98" t="s">
        <v>1319</v>
      </c>
    </row>
    <row r="885" spans="1:7" ht="15" thickBot="1" x14ac:dyDescent="0.4">
      <c r="A885" s="98">
        <v>2022225129</v>
      </c>
      <c r="B885" s="101" t="s">
        <v>1641</v>
      </c>
      <c r="C885" s="98" t="s">
        <v>468</v>
      </c>
      <c r="D885" s="98" t="s">
        <v>469</v>
      </c>
      <c r="E885" s="98" t="s">
        <v>914</v>
      </c>
      <c r="F885" s="98" t="s">
        <v>1317</v>
      </c>
      <c r="G885" s="98" t="s">
        <v>1318</v>
      </c>
    </row>
    <row r="886" spans="1:7" ht="15" thickBot="1" x14ac:dyDescent="0.4">
      <c r="A886" s="98">
        <v>2022225129</v>
      </c>
      <c r="B886" s="101" t="s">
        <v>1642</v>
      </c>
      <c r="C886" s="98" t="s">
        <v>468</v>
      </c>
      <c r="D886" s="98" t="s">
        <v>469</v>
      </c>
      <c r="E886" s="98" t="s">
        <v>912</v>
      </c>
      <c r="F886" s="98" t="s">
        <v>1317</v>
      </c>
      <c r="G886" s="98" t="s">
        <v>1318</v>
      </c>
    </row>
    <row r="887" spans="1:7" ht="15" thickBot="1" x14ac:dyDescent="0.4">
      <c r="A887" s="98">
        <v>2022225129</v>
      </c>
      <c r="B887" s="101" t="s">
        <v>1642</v>
      </c>
      <c r="C887" s="98" t="s">
        <v>468</v>
      </c>
      <c r="D887" s="98" t="s">
        <v>469</v>
      </c>
      <c r="E887" s="98" t="s">
        <v>915</v>
      </c>
      <c r="F887" s="98" t="s">
        <v>1317</v>
      </c>
      <c r="G887" s="98" t="s">
        <v>1319</v>
      </c>
    </row>
    <row r="888" spans="1:7" ht="15" thickBot="1" x14ac:dyDescent="0.4">
      <c r="A888" s="98">
        <v>2022225129</v>
      </c>
      <c r="B888" s="101" t="s">
        <v>1642</v>
      </c>
      <c r="C888" s="98" t="s">
        <v>468</v>
      </c>
      <c r="D888" s="98" t="s">
        <v>469</v>
      </c>
      <c r="E888" s="98" t="s">
        <v>915</v>
      </c>
      <c r="F888" s="98" t="s">
        <v>1317</v>
      </c>
      <c r="G888" s="98" t="s">
        <v>1319</v>
      </c>
    </row>
    <row r="889" spans="1:7" ht="15" thickBot="1" x14ac:dyDescent="0.4">
      <c r="A889" s="98">
        <v>2022221305</v>
      </c>
      <c r="B889" s="101" t="s">
        <v>1643</v>
      </c>
      <c r="C889" s="98" t="s">
        <v>468</v>
      </c>
      <c r="D889" s="98" t="s">
        <v>469</v>
      </c>
      <c r="E889" s="98" t="s">
        <v>912</v>
      </c>
      <c r="F889" s="98" t="s">
        <v>1317</v>
      </c>
      <c r="G889" s="98" t="s">
        <v>1318</v>
      </c>
    </row>
    <row r="890" spans="1:7" ht="15" thickBot="1" x14ac:dyDescent="0.4">
      <c r="A890" s="98">
        <v>2022221305</v>
      </c>
      <c r="B890" s="101" t="s">
        <v>2078</v>
      </c>
      <c r="C890" s="98" t="s">
        <v>468</v>
      </c>
      <c r="D890" s="98" t="s">
        <v>469</v>
      </c>
      <c r="E890" s="98" t="s">
        <v>1342</v>
      </c>
      <c r="F890" s="98" t="s">
        <v>1317</v>
      </c>
      <c r="G890" s="98" t="s">
        <v>1318</v>
      </c>
    </row>
    <row r="891" spans="1:7" ht="15" thickBot="1" x14ac:dyDescent="0.4">
      <c r="A891" s="98">
        <v>2022223903</v>
      </c>
      <c r="B891" s="101" t="s">
        <v>1644</v>
      </c>
      <c r="C891" s="98" t="s">
        <v>468</v>
      </c>
      <c r="D891" s="98" t="s">
        <v>469</v>
      </c>
      <c r="E891" s="98" t="s">
        <v>911</v>
      </c>
      <c r="F891" s="98" t="s">
        <v>1317</v>
      </c>
      <c r="G891" s="98" t="s">
        <v>1318</v>
      </c>
    </row>
    <row r="892" spans="1:7" ht="15" thickBot="1" x14ac:dyDescent="0.4">
      <c r="A892" s="98">
        <v>2022223903</v>
      </c>
      <c r="B892" s="101" t="s">
        <v>1644</v>
      </c>
      <c r="C892" s="98" t="s">
        <v>468</v>
      </c>
      <c r="D892" s="98" t="s">
        <v>469</v>
      </c>
      <c r="E892" s="98" t="s">
        <v>912</v>
      </c>
      <c r="F892" s="98" t="s">
        <v>1317</v>
      </c>
      <c r="G892" s="98" t="s">
        <v>1318</v>
      </c>
    </row>
    <row r="893" spans="1:7" ht="15" thickBot="1" x14ac:dyDescent="0.4">
      <c r="A893" s="98">
        <v>2022223903</v>
      </c>
      <c r="B893" s="101" t="s">
        <v>1644</v>
      </c>
      <c r="C893" s="98" t="s">
        <v>468</v>
      </c>
      <c r="D893" s="98" t="s">
        <v>469</v>
      </c>
      <c r="E893" s="98" t="s">
        <v>915</v>
      </c>
      <c r="F893" s="98" t="s">
        <v>1317</v>
      </c>
      <c r="G893" s="98" t="s">
        <v>1319</v>
      </c>
    </row>
    <row r="894" spans="1:7" ht="15" thickBot="1" x14ac:dyDescent="0.4">
      <c r="A894" s="98">
        <v>2022221204</v>
      </c>
      <c r="B894" s="101" t="s">
        <v>1645</v>
      </c>
      <c r="C894" s="98" t="s">
        <v>468</v>
      </c>
      <c r="D894" s="98" t="s">
        <v>469</v>
      </c>
      <c r="E894" s="98" t="s">
        <v>912</v>
      </c>
      <c r="F894" s="98" t="s">
        <v>1317</v>
      </c>
      <c r="G894" s="98" t="s">
        <v>1318</v>
      </c>
    </row>
    <row r="895" spans="1:7" ht="15" thickBot="1" x14ac:dyDescent="0.4">
      <c r="A895" s="98">
        <v>2022221204</v>
      </c>
      <c r="B895" s="101" t="s">
        <v>1645</v>
      </c>
      <c r="C895" s="98" t="s">
        <v>468</v>
      </c>
      <c r="D895" s="98" t="s">
        <v>469</v>
      </c>
      <c r="E895" s="98" t="s">
        <v>914</v>
      </c>
      <c r="F895" s="98" t="s">
        <v>1317</v>
      </c>
      <c r="G895" s="98" t="s">
        <v>1318</v>
      </c>
    </row>
    <row r="896" spans="1:7" ht="15" thickBot="1" x14ac:dyDescent="0.4">
      <c r="A896" s="98">
        <v>2022221204</v>
      </c>
      <c r="B896" s="101" t="s">
        <v>1645</v>
      </c>
      <c r="C896" s="98" t="s">
        <v>468</v>
      </c>
      <c r="D896" s="98" t="s">
        <v>469</v>
      </c>
      <c r="E896" s="98" t="s">
        <v>915</v>
      </c>
      <c r="F896" s="98" t="s">
        <v>1317</v>
      </c>
      <c r="G896" s="98" t="s">
        <v>1319</v>
      </c>
    </row>
    <row r="897" spans="1:7" ht="15" thickBot="1" x14ac:dyDescent="0.4">
      <c r="A897" s="98">
        <v>2022222549</v>
      </c>
      <c r="B897" s="101" t="s">
        <v>1646</v>
      </c>
      <c r="C897" s="98" t="s">
        <v>468</v>
      </c>
      <c r="D897" s="98" t="s">
        <v>469</v>
      </c>
      <c r="E897" s="98" t="s">
        <v>912</v>
      </c>
      <c r="F897" s="98" t="s">
        <v>1317</v>
      </c>
      <c r="G897" s="98" t="s">
        <v>1318</v>
      </c>
    </row>
    <row r="898" spans="1:7" ht="15" thickBot="1" x14ac:dyDescent="0.4">
      <c r="A898" s="98">
        <v>2022222549</v>
      </c>
      <c r="B898" s="101" t="s">
        <v>1647</v>
      </c>
      <c r="C898" s="98" t="s">
        <v>468</v>
      </c>
      <c r="D898" s="98" t="s">
        <v>469</v>
      </c>
      <c r="E898" s="98" t="s">
        <v>913</v>
      </c>
      <c r="F898" s="98" t="s">
        <v>1317</v>
      </c>
      <c r="G898" s="98" t="s">
        <v>1318</v>
      </c>
    </row>
    <row r="899" spans="1:7" ht="15" thickBot="1" x14ac:dyDescent="0.4">
      <c r="A899" s="98">
        <v>2022222549</v>
      </c>
      <c r="B899" s="101" t="s">
        <v>1646</v>
      </c>
      <c r="C899" s="98" t="s">
        <v>468</v>
      </c>
      <c r="D899" s="98" t="s">
        <v>469</v>
      </c>
      <c r="E899" s="98" t="s">
        <v>915</v>
      </c>
      <c r="F899" s="98" t="s">
        <v>1323</v>
      </c>
      <c r="G899" s="98" t="s">
        <v>1319</v>
      </c>
    </row>
    <row r="900" spans="1:7" ht="15" thickBot="1" x14ac:dyDescent="0.4">
      <c r="A900" s="98">
        <v>2041221258</v>
      </c>
      <c r="B900" s="101" t="s">
        <v>1648</v>
      </c>
      <c r="C900" s="98" t="s">
        <v>534</v>
      </c>
      <c r="D900" s="98" t="s">
        <v>469</v>
      </c>
      <c r="E900" s="98" t="s">
        <v>911</v>
      </c>
      <c r="F900" s="98" t="s">
        <v>1317</v>
      </c>
      <c r="G900" s="98" t="s">
        <v>1318</v>
      </c>
    </row>
    <row r="901" spans="1:7" ht="15" thickBot="1" x14ac:dyDescent="0.4">
      <c r="A901" s="98">
        <v>2041221258</v>
      </c>
      <c r="B901" s="101" t="s">
        <v>1648</v>
      </c>
      <c r="C901" s="98" t="s">
        <v>534</v>
      </c>
      <c r="D901" s="98" t="s">
        <v>469</v>
      </c>
      <c r="E901" s="98" t="s">
        <v>914</v>
      </c>
      <c r="F901" s="98" t="s">
        <v>1317</v>
      </c>
      <c r="G901" s="98" t="s">
        <v>1318</v>
      </c>
    </row>
    <row r="902" spans="1:7" ht="15" thickBot="1" x14ac:dyDescent="0.4">
      <c r="A902" s="98">
        <v>2041221258</v>
      </c>
      <c r="B902" s="101" t="s">
        <v>1648</v>
      </c>
      <c r="C902" s="98" t="s">
        <v>534</v>
      </c>
      <c r="D902" s="98" t="s">
        <v>469</v>
      </c>
      <c r="E902" s="98" t="s">
        <v>914</v>
      </c>
      <c r="F902" s="98" t="s">
        <v>1317</v>
      </c>
      <c r="G902" s="98" t="s">
        <v>1318</v>
      </c>
    </row>
    <row r="903" spans="1:7" ht="15" thickBot="1" x14ac:dyDescent="0.4">
      <c r="A903" s="98">
        <v>2041221258</v>
      </c>
      <c r="B903" s="101" t="s">
        <v>1648</v>
      </c>
      <c r="C903" s="98" t="s">
        <v>534</v>
      </c>
      <c r="D903" s="98" t="s">
        <v>469</v>
      </c>
      <c r="E903" s="98" t="s">
        <v>912</v>
      </c>
      <c r="F903" s="98" t="s">
        <v>1317</v>
      </c>
      <c r="G903" s="98" t="s">
        <v>1318</v>
      </c>
    </row>
    <row r="904" spans="1:7" ht="15" thickBot="1" x14ac:dyDescent="0.4">
      <c r="A904" s="98">
        <v>2022221306</v>
      </c>
      <c r="B904" s="101" t="s">
        <v>1649</v>
      </c>
      <c r="C904" s="98" t="s">
        <v>468</v>
      </c>
      <c r="D904" s="98" t="s">
        <v>469</v>
      </c>
      <c r="E904" s="98" t="s">
        <v>912</v>
      </c>
      <c r="F904" s="98" t="s">
        <v>1317</v>
      </c>
      <c r="G904" s="98" t="s">
        <v>1318</v>
      </c>
    </row>
    <row r="905" spans="1:7" ht="15" thickBot="1" x14ac:dyDescent="0.4">
      <c r="A905" s="98">
        <v>2022223878</v>
      </c>
      <c r="B905" s="101" t="s">
        <v>1650</v>
      </c>
      <c r="C905" s="98" t="s">
        <v>468</v>
      </c>
      <c r="D905" s="98" t="s">
        <v>469</v>
      </c>
      <c r="E905" s="98" t="s">
        <v>912</v>
      </c>
      <c r="F905" s="98" t="s">
        <v>1317</v>
      </c>
      <c r="G905" s="98" t="s">
        <v>1318</v>
      </c>
    </row>
    <row r="906" spans="1:7" ht="15" thickBot="1" x14ac:dyDescent="0.4">
      <c r="A906" s="98">
        <v>2022223878</v>
      </c>
      <c r="B906" s="101" t="s">
        <v>1650</v>
      </c>
      <c r="C906" s="98" t="s">
        <v>468</v>
      </c>
      <c r="D906" s="98" t="s">
        <v>469</v>
      </c>
      <c r="E906" s="98" t="s">
        <v>911</v>
      </c>
      <c r="F906" s="98" t="s">
        <v>1317</v>
      </c>
      <c r="G906" s="98" t="s">
        <v>1318</v>
      </c>
    </row>
    <row r="907" spans="1:7" ht="15" thickBot="1" x14ac:dyDescent="0.4">
      <c r="A907" s="98">
        <v>2022223878</v>
      </c>
      <c r="B907" s="101" t="s">
        <v>1650</v>
      </c>
      <c r="C907" s="98" t="s">
        <v>468</v>
      </c>
      <c r="D907" s="98" t="s">
        <v>469</v>
      </c>
      <c r="E907" s="98" t="s">
        <v>911</v>
      </c>
      <c r="F907" s="98" t="s">
        <v>1317</v>
      </c>
      <c r="G907" s="98" t="s">
        <v>1318</v>
      </c>
    </row>
    <row r="908" spans="1:7" ht="15" thickBot="1" x14ac:dyDescent="0.4">
      <c r="A908" s="98">
        <v>2022223878</v>
      </c>
      <c r="B908" s="101" t="s">
        <v>1650</v>
      </c>
      <c r="C908" s="98" t="s">
        <v>468</v>
      </c>
      <c r="D908" s="98" t="s">
        <v>469</v>
      </c>
      <c r="E908" s="98" t="s">
        <v>915</v>
      </c>
      <c r="F908" s="98" t="s">
        <v>1317</v>
      </c>
      <c r="G908" s="98" t="s">
        <v>1319</v>
      </c>
    </row>
    <row r="909" spans="1:7" ht="15" thickBot="1" x14ac:dyDescent="0.4">
      <c r="A909" s="98">
        <v>2041220532</v>
      </c>
      <c r="B909" s="101" t="s">
        <v>1651</v>
      </c>
      <c r="C909" s="98" t="s">
        <v>534</v>
      </c>
      <c r="D909" s="98" t="s">
        <v>469</v>
      </c>
      <c r="E909" s="98" t="s">
        <v>913</v>
      </c>
      <c r="F909" s="98" t="s">
        <v>1317</v>
      </c>
      <c r="G909" s="98" t="s">
        <v>1318</v>
      </c>
    </row>
    <row r="910" spans="1:7" ht="15" thickBot="1" x14ac:dyDescent="0.4">
      <c r="A910" s="98">
        <v>2041220532</v>
      </c>
      <c r="B910" s="101" t="s">
        <v>1651</v>
      </c>
      <c r="C910" s="98" t="s">
        <v>534</v>
      </c>
      <c r="D910" s="98" t="s">
        <v>469</v>
      </c>
      <c r="E910" s="98" t="s">
        <v>911</v>
      </c>
      <c r="F910" s="98" t="s">
        <v>1317</v>
      </c>
      <c r="G910" s="98" t="s">
        <v>1318</v>
      </c>
    </row>
    <row r="911" spans="1:7" ht="15" thickBot="1" x14ac:dyDescent="0.4">
      <c r="A911" s="98">
        <v>2041220532</v>
      </c>
      <c r="B911" s="101" t="s">
        <v>1651</v>
      </c>
      <c r="C911" s="98" t="s">
        <v>534</v>
      </c>
      <c r="D911" s="98" t="s">
        <v>469</v>
      </c>
      <c r="E911" s="98" t="s">
        <v>915</v>
      </c>
      <c r="F911" s="98" t="s">
        <v>1317</v>
      </c>
      <c r="G911" s="98" t="s">
        <v>1319</v>
      </c>
    </row>
    <row r="912" spans="1:7" ht="15" thickBot="1" x14ac:dyDescent="0.4">
      <c r="A912" s="98">
        <v>2022221805</v>
      </c>
      <c r="B912" s="101" t="s">
        <v>1652</v>
      </c>
      <c r="C912" s="98" t="s">
        <v>468</v>
      </c>
      <c r="D912" s="98" t="s">
        <v>469</v>
      </c>
      <c r="E912" s="98" t="s">
        <v>914</v>
      </c>
      <c r="F912" s="98" t="s">
        <v>1317</v>
      </c>
      <c r="G912" s="98" t="s">
        <v>1318</v>
      </c>
    </row>
    <row r="913" spans="1:7" ht="15" thickBot="1" x14ac:dyDescent="0.4">
      <c r="A913" s="98">
        <v>2022221805</v>
      </c>
      <c r="B913" s="101" t="s">
        <v>1652</v>
      </c>
      <c r="C913" s="98" t="s">
        <v>468</v>
      </c>
      <c r="D913" s="98" t="s">
        <v>469</v>
      </c>
      <c r="E913" s="98" t="s">
        <v>914</v>
      </c>
      <c r="F913" s="98" t="s">
        <v>1317</v>
      </c>
      <c r="G913" s="98" t="s">
        <v>1318</v>
      </c>
    </row>
    <row r="914" spans="1:7" ht="15" thickBot="1" x14ac:dyDescent="0.4">
      <c r="A914" s="98">
        <v>2022221805</v>
      </c>
      <c r="B914" s="101" t="s">
        <v>1652</v>
      </c>
      <c r="C914" s="98" t="s">
        <v>468</v>
      </c>
      <c r="D914" s="98" t="s">
        <v>469</v>
      </c>
      <c r="E914" s="98" t="s">
        <v>914</v>
      </c>
      <c r="F914" s="98" t="s">
        <v>1317</v>
      </c>
      <c r="G914" s="98" t="s">
        <v>1318</v>
      </c>
    </row>
    <row r="915" spans="1:7" ht="15" thickBot="1" x14ac:dyDescent="0.4">
      <c r="A915" s="98">
        <v>2022221805</v>
      </c>
      <c r="B915" s="101" t="s">
        <v>1652</v>
      </c>
      <c r="C915" s="98" t="s">
        <v>468</v>
      </c>
      <c r="D915" s="98" t="s">
        <v>469</v>
      </c>
      <c r="E915" s="98" t="s">
        <v>914</v>
      </c>
      <c r="F915" s="98" t="s">
        <v>1317</v>
      </c>
      <c r="G915" s="98" t="s">
        <v>1318</v>
      </c>
    </row>
    <row r="916" spans="1:7" ht="15" thickBot="1" x14ac:dyDescent="0.4">
      <c r="A916" s="98">
        <v>2022221805</v>
      </c>
      <c r="B916" s="101" t="s">
        <v>1652</v>
      </c>
      <c r="C916" s="98" t="s">
        <v>468</v>
      </c>
      <c r="D916" s="98" t="s">
        <v>469</v>
      </c>
      <c r="E916" s="98" t="s">
        <v>914</v>
      </c>
      <c r="F916" s="98" t="s">
        <v>1317</v>
      </c>
      <c r="G916" s="98" t="s">
        <v>1318</v>
      </c>
    </row>
    <row r="917" spans="1:7" ht="15" thickBot="1" x14ac:dyDescent="0.4">
      <c r="A917" s="98">
        <v>2022221805</v>
      </c>
      <c r="B917" s="101" t="s">
        <v>1652</v>
      </c>
      <c r="C917" s="98" t="s">
        <v>468</v>
      </c>
      <c r="D917" s="98" t="s">
        <v>469</v>
      </c>
      <c r="E917" s="98" t="s">
        <v>911</v>
      </c>
      <c r="F917" s="98" t="s">
        <v>1317</v>
      </c>
      <c r="G917" s="98" t="s">
        <v>1318</v>
      </c>
    </row>
    <row r="918" spans="1:7" ht="15" thickBot="1" x14ac:dyDescent="0.4">
      <c r="A918" s="98">
        <v>2022221805</v>
      </c>
      <c r="B918" s="101" t="s">
        <v>1652</v>
      </c>
      <c r="C918" s="98" t="s">
        <v>468</v>
      </c>
      <c r="D918" s="98" t="s">
        <v>469</v>
      </c>
      <c r="E918" s="98" t="s">
        <v>1342</v>
      </c>
      <c r="F918" s="98" t="s">
        <v>1317</v>
      </c>
      <c r="G918" s="98" t="s">
        <v>1318</v>
      </c>
    </row>
    <row r="919" spans="1:7" ht="15" thickBot="1" x14ac:dyDescent="0.4">
      <c r="A919" s="98">
        <v>2022223160</v>
      </c>
      <c r="B919" s="101" t="s">
        <v>1653</v>
      </c>
      <c r="C919" s="98" t="s">
        <v>468</v>
      </c>
      <c r="D919" s="98" t="s">
        <v>469</v>
      </c>
      <c r="E919" s="98" t="s">
        <v>912</v>
      </c>
      <c r="F919" s="98" t="s">
        <v>1317</v>
      </c>
      <c r="G919" s="98" t="s">
        <v>1318</v>
      </c>
    </row>
    <row r="920" spans="1:7" ht="15" thickBot="1" x14ac:dyDescent="0.4">
      <c r="A920" s="98">
        <v>2022223160</v>
      </c>
      <c r="B920" s="101" t="s">
        <v>1653</v>
      </c>
      <c r="C920" s="98" t="s">
        <v>468</v>
      </c>
      <c r="D920" s="98" t="s">
        <v>469</v>
      </c>
      <c r="E920" s="98" t="s">
        <v>911</v>
      </c>
      <c r="F920" s="98" t="s">
        <v>1317</v>
      </c>
      <c r="G920" s="98" t="s">
        <v>1318</v>
      </c>
    </row>
    <row r="921" spans="1:7" ht="15" thickBot="1" x14ac:dyDescent="0.4">
      <c r="A921" s="98">
        <v>2022223160</v>
      </c>
      <c r="B921" s="101" t="s">
        <v>1653</v>
      </c>
      <c r="C921" s="98" t="s">
        <v>468</v>
      </c>
      <c r="D921" s="98" t="s">
        <v>469</v>
      </c>
      <c r="E921" s="98" t="s">
        <v>915</v>
      </c>
      <c r="F921" s="98" t="s">
        <v>1317</v>
      </c>
      <c r="G921" s="98" t="s">
        <v>1319</v>
      </c>
    </row>
    <row r="922" spans="1:7" ht="15" thickBot="1" x14ac:dyDescent="0.4">
      <c r="A922" s="98">
        <v>2041220257</v>
      </c>
      <c r="B922" s="101" t="s">
        <v>1654</v>
      </c>
      <c r="C922" s="98" t="s">
        <v>534</v>
      </c>
      <c r="D922" s="98" t="s">
        <v>469</v>
      </c>
      <c r="E922" s="98" t="s">
        <v>912</v>
      </c>
      <c r="F922" s="98" t="s">
        <v>1317</v>
      </c>
      <c r="G922" s="98" t="s">
        <v>1318</v>
      </c>
    </row>
    <row r="923" spans="1:7" ht="15" thickBot="1" x14ac:dyDescent="0.4">
      <c r="A923" s="98">
        <v>2041220257</v>
      </c>
      <c r="B923" s="101" t="s">
        <v>1654</v>
      </c>
      <c r="C923" s="98" t="s">
        <v>534</v>
      </c>
      <c r="D923" s="98" t="s">
        <v>469</v>
      </c>
      <c r="E923" s="98" t="s">
        <v>911</v>
      </c>
      <c r="F923" s="98" t="s">
        <v>1317</v>
      </c>
      <c r="G923" s="98" t="s">
        <v>1318</v>
      </c>
    </row>
    <row r="924" spans="1:7" ht="15" thickBot="1" x14ac:dyDescent="0.4">
      <c r="A924" s="98">
        <v>2041220257</v>
      </c>
      <c r="B924" s="101" t="s">
        <v>1654</v>
      </c>
      <c r="C924" s="98" t="s">
        <v>534</v>
      </c>
      <c r="D924" s="98" t="s">
        <v>469</v>
      </c>
      <c r="E924" s="98" t="s">
        <v>915</v>
      </c>
      <c r="F924" s="98" t="s">
        <v>1323</v>
      </c>
      <c r="G924" s="98" t="s">
        <v>1319</v>
      </c>
    </row>
    <row r="925" spans="1:7" ht="15" thickBot="1" x14ac:dyDescent="0.4">
      <c r="A925" s="98">
        <v>2022225258</v>
      </c>
      <c r="B925" s="101" t="s">
        <v>1655</v>
      </c>
      <c r="C925" s="98" t="s">
        <v>468</v>
      </c>
      <c r="D925" s="98" t="s">
        <v>469</v>
      </c>
      <c r="E925" s="98" t="s">
        <v>911</v>
      </c>
      <c r="F925" s="98" t="s">
        <v>1317</v>
      </c>
      <c r="G925" s="98" t="s">
        <v>1318</v>
      </c>
    </row>
    <row r="926" spans="1:7" ht="15" thickBot="1" x14ac:dyDescent="0.4">
      <c r="A926" s="98">
        <v>2022225258</v>
      </c>
      <c r="B926" s="101" t="s">
        <v>1655</v>
      </c>
      <c r="C926" s="98" t="s">
        <v>468</v>
      </c>
      <c r="D926" s="98" t="s">
        <v>469</v>
      </c>
      <c r="E926" s="98" t="s">
        <v>913</v>
      </c>
      <c r="F926" s="98" t="s">
        <v>1317</v>
      </c>
      <c r="G926" s="98" t="s">
        <v>1318</v>
      </c>
    </row>
    <row r="927" spans="1:7" ht="15" thickBot="1" x14ac:dyDescent="0.4">
      <c r="A927" s="98">
        <v>2022225258</v>
      </c>
      <c r="B927" s="101" t="s">
        <v>1655</v>
      </c>
      <c r="C927" s="98" t="s">
        <v>468</v>
      </c>
      <c r="D927" s="98" t="s">
        <v>469</v>
      </c>
      <c r="E927" s="98" t="s">
        <v>915</v>
      </c>
      <c r="F927" s="98" t="s">
        <v>1317</v>
      </c>
      <c r="G927" s="98" t="s">
        <v>1319</v>
      </c>
    </row>
    <row r="928" spans="1:7" ht="15" thickBot="1" x14ac:dyDescent="0.4">
      <c r="A928" s="98">
        <v>2022222714</v>
      </c>
      <c r="B928" s="101" t="s">
        <v>1656</v>
      </c>
      <c r="C928" s="98" t="s">
        <v>468</v>
      </c>
      <c r="D928" s="98" t="s">
        <v>469</v>
      </c>
      <c r="E928" s="98" t="s">
        <v>912</v>
      </c>
      <c r="F928" s="98" t="s">
        <v>1317</v>
      </c>
      <c r="G928" s="98" t="s">
        <v>1318</v>
      </c>
    </row>
    <row r="929" spans="1:7" ht="15" thickBot="1" x14ac:dyDescent="0.4">
      <c r="A929" s="98">
        <v>2022222714</v>
      </c>
      <c r="B929" s="101" t="s">
        <v>1656</v>
      </c>
      <c r="C929" s="98" t="s">
        <v>468</v>
      </c>
      <c r="D929" s="98" t="s">
        <v>469</v>
      </c>
      <c r="E929" s="98" t="s">
        <v>913</v>
      </c>
      <c r="F929" s="98" t="s">
        <v>1317</v>
      </c>
      <c r="G929" s="98" t="s">
        <v>1318</v>
      </c>
    </row>
    <row r="930" spans="1:7" ht="15" thickBot="1" x14ac:dyDescent="0.4">
      <c r="A930" s="98">
        <v>2022225303</v>
      </c>
      <c r="B930" s="101" t="s">
        <v>1657</v>
      </c>
      <c r="C930" s="98" t="s">
        <v>468</v>
      </c>
      <c r="D930" s="98" t="s">
        <v>469</v>
      </c>
      <c r="E930" s="98" t="s">
        <v>912</v>
      </c>
      <c r="F930" s="98" t="s">
        <v>1317</v>
      </c>
      <c r="G930" s="98" t="s">
        <v>1318</v>
      </c>
    </row>
    <row r="931" spans="1:7" ht="15" thickBot="1" x14ac:dyDescent="0.4">
      <c r="A931" s="98">
        <v>2022225303</v>
      </c>
      <c r="B931" s="101" t="s">
        <v>1657</v>
      </c>
      <c r="C931" s="98" t="s">
        <v>468</v>
      </c>
      <c r="D931" s="98" t="s">
        <v>469</v>
      </c>
      <c r="E931" s="98" t="s">
        <v>913</v>
      </c>
      <c r="F931" s="98" t="s">
        <v>1317</v>
      </c>
      <c r="G931" s="98" t="s">
        <v>1318</v>
      </c>
    </row>
    <row r="932" spans="1:7" ht="15" thickBot="1" x14ac:dyDescent="0.4">
      <c r="A932" s="98">
        <v>2041221530</v>
      </c>
      <c r="B932" s="101" t="s">
        <v>223</v>
      </c>
      <c r="C932" s="98" t="s">
        <v>534</v>
      </c>
      <c r="D932" s="98" t="s">
        <v>469</v>
      </c>
      <c r="E932" s="98" t="s">
        <v>916</v>
      </c>
      <c r="F932" s="98" t="s">
        <v>1323</v>
      </c>
      <c r="G932" s="98" t="s">
        <v>1319</v>
      </c>
    </row>
    <row r="933" spans="1:7" ht="15" thickBot="1" x14ac:dyDescent="0.4">
      <c r="A933" s="98">
        <v>2041221530</v>
      </c>
      <c r="B933" s="101" t="s">
        <v>223</v>
      </c>
      <c r="C933" s="98" t="s">
        <v>1658</v>
      </c>
      <c r="D933" s="98" t="s">
        <v>469</v>
      </c>
      <c r="E933" s="98" t="s">
        <v>911</v>
      </c>
      <c r="F933" s="98" t="s">
        <v>1317</v>
      </c>
      <c r="G933" s="98" t="s">
        <v>1318</v>
      </c>
    </row>
    <row r="934" spans="1:7" ht="15" thickBot="1" x14ac:dyDescent="0.4">
      <c r="A934" s="98">
        <v>2041221530</v>
      </c>
      <c r="B934" s="101" t="s">
        <v>223</v>
      </c>
      <c r="C934" s="98" t="s">
        <v>534</v>
      </c>
      <c r="D934" s="98" t="s">
        <v>469</v>
      </c>
      <c r="E934" s="98" t="s">
        <v>916</v>
      </c>
      <c r="F934" s="98" t="s">
        <v>1323</v>
      </c>
      <c r="G934" s="98" t="s">
        <v>1319</v>
      </c>
    </row>
    <row r="935" spans="1:7" ht="15" thickBot="1" x14ac:dyDescent="0.4">
      <c r="A935" s="98">
        <v>2041221530</v>
      </c>
      <c r="B935" s="101" t="s">
        <v>223</v>
      </c>
      <c r="C935" s="98" t="s">
        <v>534</v>
      </c>
      <c r="D935" s="98" t="s">
        <v>469</v>
      </c>
      <c r="E935" s="98" t="s">
        <v>912</v>
      </c>
      <c r="F935" s="98" t="s">
        <v>1317</v>
      </c>
      <c r="G935" s="98" t="s">
        <v>1318</v>
      </c>
    </row>
    <row r="936" spans="1:7" ht="15" thickBot="1" x14ac:dyDescent="0.4">
      <c r="A936" s="98">
        <v>2022221072</v>
      </c>
      <c r="B936" s="101" t="s">
        <v>2065</v>
      </c>
      <c r="C936" s="98" t="s">
        <v>758</v>
      </c>
      <c r="D936" s="98" t="s">
        <v>469</v>
      </c>
      <c r="E936" s="98" t="s">
        <v>912</v>
      </c>
      <c r="F936" s="98" t="s">
        <v>1317</v>
      </c>
      <c r="G936" s="98" t="s">
        <v>1318</v>
      </c>
    </row>
    <row r="937" spans="1:7" ht="15" thickBot="1" x14ac:dyDescent="0.4">
      <c r="A937" s="98">
        <v>2022221072</v>
      </c>
      <c r="B937" s="101" t="s">
        <v>2065</v>
      </c>
      <c r="C937" s="98" t="s">
        <v>758</v>
      </c>
      <c r="D937" s="98" t="s">
        <v>469</v>
      </c>
      <c r="E937" s="98" t="s">
        <v>912</v>
      </c>
      <c r="F937" s="98" t="s">
        <v>1317</v>
      </c>
      <c r="G937" s="98" t="s">
        <v>1318</v>
      </c>
    </row>
    <row r="938" spans="1:7" ht="15" thickBot="1" x14ac:dyDescent="0.4">
      <c r="A938" s="98">
        <v>2041221282</v>
      </c>
      <c r="B938" s="101" t="s">
        <v>1659</v>
      </c>
      <c r="C938" s="98" t="s">
        <v>534</v>
      </c>
      <c r="D938" s="98" t="s">
        <v>469</v>
      </c>
      <c r="E938" s="98" t="s">
        <v>911</v>
      </c>
      <c r="F938" s="98" t="s">
        <v>1317</v>
      </c>
      <c r="G938" s="98" t="s">
        <v>1318</v>
      </c>
    </row>
    <row r="939" spans="1:7" ht="15" thickBot="1" x14ac:dyDescent="0.4">
      <c r="A939" s="98">
        <v>2041221282</v>
      </c>
      <c r="B939" s="101" t="s">
        <v>1659</v>
      </c>
      <c r="C939" s="98" t="s">
        <v>534</v>
      </c>
      <c r="D939" s="98" t="s">
        <v>469</v>
      </c>
      <c r="E939" s="98" t="s">
        <v>914</v>
      </c>
      <c r="F939" s="98" t="s">
        <v>1317</v>
      </c>
      <c r="G939" s="98" t="s">
        <v>1318</v>
      </c>
    </row>
    <row r="940" spans="1:7" ht="15" thickBot="1" x14ac:dyDescent="0.4">
      <c r="A940" s="98">
        <v>2041221282</v>
      </c>
      <c r="B940" s="101" t="s">
        <v>1659</v>
      </c>
      <c r="C940" s="98" t="s">
        <v>534</v>
      </c>
      <c r="D940" s="98" t="s">
        <v>469</v>
      </c>
      <c r="E940" s="98" t="s">
        <v>913</v>
      </c>
      <c r="F940" s="98" t="s">
        <v>1317</v>
      </c>
      <c r="G940" s="98" t="s">
        <v>1318</v>
      </c>
    </row>
    <row r="941" spans="1:7" ht="15" thickBot="1" x14ac:dyDescent="0.4">
      <c r="A941" s="98">
        <v>2041221162</v>
      </c>
      <c r="B941" s="101" t="s">
        <v>1660</v>
      </c>
      <c r="C941" s="98" t="s">
        <v>534</v>
      </c>
      <c r="D941" s="98" t="s">
        <v>469</v>
      </c>
      <c r="E941" s="98" t="s">
        <v>912</v>
      </c>
      <c r="F941" s="98" t="s">
        <v>1317</v>
      </c>
      <c r="G941" s="98" t="s">
        <v>1318</v>
      </c>
    </row>
    <row r="942" spans="1:7" ht="15" thickBot="1" x14ac:dyDescent="0.4">
      <c r="A942" s="98">
        <v>2041221162</v>
      </c>
      <c r="B942" s="101" t="s">
        <v>1660</v>
      </c>
      <c r="C942" s="98" t="s">
        <v>534</v>
      </c>
      <c r="D942" s="98" t="s">
        <v>469</v>
      </c>
      <c r="E942" s="98" t="s">
        <v>914</v>
      </c>
      <c r="F942" s="98" t="s">
        <v>1317</v>
      </c>
      <c r="G942" s="98" t="s">
        <v>1318</v>
      </c>
    </row>
    <row r="943" spans="1:7" ht="15" thickBot="1" x14ac:dyDescent="0.4">
      <c r="A943" s="98">
        <v>2041221162</v>
      </c>
      <c r="B943" s="101" t="s">
        <v>1660</v>
      </c>
      <c r="C943" s="98" t="s">
        <v>534</v>
      </c>
      <c r="D943" s="98" t="s">
        <v>469</v>
      </c>
      <c r="E943" s="98" t="s">
        <v>915</v>
      </c>
      <c r="F943" s="98" t="s">
        <v>1323</v>
      </c>
      <c r="G943" s="98" t="s">
        <v>1319</v>
      </c>
    </row>
    <row r="944" spans="1:7" ht="15" thickBot="1" x14ac:dyDescent="0.4">
      <c r="A944" s="98">
        <v>2041220044</v>
      </c>
      <c r="B944" s="101" t="s">
        <v>1661</v>
      </c>
      <c r="C944" s="98" t="s">
        <v>534</v>
      </c>
      <c r="D944" s="98" t="s">
        <v>469</v>
      </c>
      <c r="E944" s="98" t="s">
        <v>912</v>
      </c>
      <c r="F944" s="98" t="s">
        <v>1317</v>
      </c>
      <c r="G944" s="98" t="s">
        <v>1318</v>
      </c>
    </row>
    <row r="945" spans="1:7" ht="15" thickBot="1" x14ac:dyDescent="0.4">
      <c r="A945" s="98">
        <v>2041220044</v>
      </c>
      <c r="B945" s="101" t="s">
        <v>1661</v>
      </c>
      <c r="C945" s="98" t="s">
        <v>534</v>
      </c>
      <c r="D945" s="98" t="s">
        <v>469</v>
      </c>
      <c r="E945" s="98" t="s">
        <v>915</v>
      </c>
      <c r="F945" s="98" t="s">
        <v>1317</v>
      </c>
      <c r="G945" s="98" t="s">
        <v>1319</v>
      </c>
    </row>
    <row r="946" spans="1:7" ht="15" thickBot="1" x14ac:dyDescent="0.4">
      <c r="A946" s="98">
        <v>2041220584</v>
      </c>
      <c r="B946" s="101" t="s">
        <v>1662</v>
      </c>
      <c r="C946" s="98" t="s">
        <v>534</v>
      </c>
      <c r="D946" s="98" t="s">
        <v>469</v>
      </c>
      <c r="E946" s="98" t="s">
        <v>1321</v>
      </c>
      <c r="F946" s="98" t="s">
        <v>1317</v>
      </c>
      <c r="G946" s="98" t="s">
        <v>1318</v>
      </c>
    </row>
    <row r="947" spans="1:7" ht="15" thickBot="1" x14ac:dyDescent="0.4">
      <c r="A947" s="98">
        <v>2041220584</v>
      </c>
      <c r="B947" s="101" t="s">
        <v>1662</v>
      </c>
      <c r="C947" s="98" t="s">
        <v>534</v>
      </c>
      <c r="D947" s="98" t="s">
        <v>469</v>
      </c>
      <c r="E947" s="98" t="s">
        <v>914</v>
      </c>
      <c r="F947" s="98" t="s">
        <v>1317</v>
      </c>
      <c r="G947" s="98" t="s">
        <v>1318</v>
      </c>
    </row>
    <row r="948" spans="1:7" ht="15" thickBot="1" x14ac:dyDescent="0.4">
      <c r="A948" s="98">
        <v>2022224623</v>
      </c>
      <c r="B948" s="101" t="s">
        <v>1663</v>
      </c>
      <c r="C948" s="98" t="s">
        <v>468</v>
      </c>
      <c r="D948" s="98" t="s">
        <v>469</v>
      </c>
      <c r="E948" s="98" t="s">
        <v>912</v>
      </c>
      <c r="F948" s="98" t="s">
        <v>1317</v>
      </c>
      <c r="G948" s="98" t="s">
        <v>1318</v>
      </c>
    </row>
    <row r="949" spans="1:7" ht="15" thickBot="1" x14ac:dyDescent="0.4">
      <c r="A949" s="98">
        <v>2022224623</v>
      </c>
      <c r="B949" s="101" t="s">
        <v>1663</v>
      </c>
      <c r="C949" s="98" t="s">
        <v>468</v>
      </c>
      <c r="D949" s="98" t="s">
        <v>469</v>
      </c>
      <c r="E949" s="98" t="s">
        <v>911</v>
      </c>
      <c r="F949" s="98" t="s">
        <v>1317</v>
      </c>
      <c r="G949" s="98" t="s">
        <v>1318</v>
      </c>
    </row>
    <row r="950" spans="1:7" ht="15" thickBot="1" x14ac:dyDescent="0.4">
      <c r="A950" s="98">
        <v>2022225090</v>
      </c>
      <c r="B950" s="101" t="s">
        <v>614</v>
      </c>
      <c r="C950" s="98" t="s">
        <v>468</v>
      </c>
      <c r="D950" s="98" t="s">
        <v>469</v>
      </c>
      <c r="E950" s="98" t="s">
        <v>914</v>
      </c>
      <c r="F950" s="98" t="s">
        <v>1317</v>
      </c>
      <c r="G950" s="98" t="s">
        <v>1318</v>
      </c>
    </row>
    <row r="951" spans="1:7" ht="15" thickBot="1" x14ac:dyDescent="0.4">
      <c r="A951" s="98">
        <v>2022225090</v>
      </c>
      <c r="B951" s="101" t="s">
        <v>614</v>
      </c>
      <c r="C951" s="98" t="s">
        <v>468</v>
      </c>
      <c r="D951" s="98" t="s">
        <v>469</v>
      </c>
      <c r="E951" s="98" t="s">
        <v>912</v>
      </c>
      <c r="F951" s="98" t="s">
        <v>1317</v>
      </c>
      <c r="G951" s="98" t="s">
        <v>1318</v>
      </c>
    </row>
    <row r="952" spans="1:7" ht="15" thickBot="1" x14ac:dyDescent="0.4">
      <c r="A952" s="98">
        <v>2022225090</v>
      </c>
      <c r="B952" s="101" t="s">
        <v>614</v>
      </c>
      <c r="C952" s="98" t="s">
        <v>468</v>
      </c>
      <c r="D952" s="98" t="s">
        <v>469</v>
      </c>
      <c r="E952" s="98" t="s">
        <v>913</v>
      </c>
      <c r="F952" s="98" t="s">
        <v>1317</v>
      </c>
      <c r="G952" s="98" t="s">
        <v>1318</v>
      </c>
    </row>
    <row r="953" spans="1:7" ht="15" thickBot="1" x14ac:dyDescent="0.4">
      <c r="A953" s="98">
        <v>2022224592</v>
      </c>
      <c r="B953" s="101" t="s">
        <v>1664</v>
      </c>
      <c r="C953" s="98" t="s">
        <v>468</v>
      </c>
      <c r="D953" s="98" t="s">
        <v>469</v>
      </c>
      <c r="E953" s="98" t="s">
        <v>912</v>
      </c>
      <c r="F953" s="98" t="s">
        <v>1317</v>
      </c>
      <c r="G953" s="98" t="s">
        <v>1318</v>
      </c>
    </row>
    <row r="954" spans="1:7" ht="15" thickBot="1" x14ac:dyDescent="0.4">
      <c r="A954" s="98">
        <v>2022224592</v>
      </c>
      <c r="B954" s="101" t="s">
        <v>1664</v>
      </c>
      <c r="C954" s="98" t="s">
        <v>468</v>
      </c>
      <c r="D954" s="98" t="s">
        <v>469</v>
      </c>
      <c r="E954" s="98" t="s">
        <v>913</v>
      </c>
      <c r="F954" s="98" t="s">
        <v>1317</v>
      </c>
      <c r="G954" s="98" t="s">
        <v>1318</v>
      </c>
    </row>
    <row r="955" spans="1:7" ht="15" thickBot="1" x14ac:dyDescent="0.4">
      <c r="A955" s="98">
        <v>2022224592</v>
      </c>
      <c r="B955" s="101" t="s">
        <v>1664</v>
      </c>
      <c r="C955" s="98" t="s">
        <v>468</v>
      </c>
      <c r="D955" s="98" t="s">
        <v>469</v>
      </c>
      <c r="E955" s="98" t="s">
        <v>911</v>
      </c>
      <c r="F955" s="98" t="s">
        <v>1317</v>
      </c>
      <c r="G955" s="98" t="s">
        <v>1318</v>
      </c>
    </row>
    <row r="956" spans="1:7" ht="15" thickBot="1" x14ac:dyDescent="0.4">
      <c r="A956" s="98">
        <v>2022222953</v>
      </c>
      <c r="B956" s="101" t="s">
        <v>1665</v>
      </c>
      <c r="C956" s="98" t="s">
        <v>468</v>
      </c>
      <c r="D956" s="98" t="s">
        <v>469</v>
      </c>
      <c r="E956" s="98" t="s">
        <v>912</v>
      </c>
      <c r="F956" s="98" t="s">
        <v>1317</v>
      </c>
      <c r="G956" s="98" t="s">
        <v>1318</v>
      </c>
    </row>
    <row r="957" spans="1:7" ht="15" thickBot="1" x14ac:dyDescent="0.4">
      <c r="A957" s="98">
        <v>2022222953</v>
      </c>
      <c r="B957" s="101" t="s">
        <v>1665</v>
      </c>
      <c r="C957" s="98" t="s">
        <v>468</v>
      </c>
      <c r="D957" s="98" t="s">
        <v>469</v>
      </c>
      <c r="E957" s="98" t="s">
        <v>911</v>
      </c>
      <c r="F957" s="98" t="s">
        <v>1317</v>
      </c>
      <c r="G957" s="98" t="s">
        <v>1318</v>
      </c>
    </row>
    <row r="958" spans="1:7" ht="15" thickBot="1" x14ac:dyDescent="0.4">
      <c r="A958" s="98">
        <v>2022222953</v>
      </c>
      <c r="B958" s="101" t="s">
        <v>1665</v>
      </c>
      <c r="C958" s="98" t="s">
        <v>468</v>
      </c>
      <c r="D958" s="98" t="s">
        <v>469</v>
      </c>
      <c r="E958" s="98" t="s">
        <v>915</v>
      </c>
      <c r="F958" s="98" t="s">
        <v>1317</v>
      </c>
      <c r="G958" s="98" t="s">
        <v>1319</v>
      </c>
    </row>
    <row r="959" spans="1:7" ht="15" thickBot="1" x14ac:dyDescent="0.4">
      <c r="A959" s="98">
        <v>2022223699</v>
      </c>
      <c r="B959" s="101" t="s">
        <v>1666</v>
      </c>
      <c r="C959" s="98" t="s">
        <v>468</v>
      </c>
      <c r="D959" s="98" t="s">
        <v>469</v>
      </c>
      <c r="E959" s="98" t="s">
        <v>911</v>
      </c>
      <c r="F959" s="98" t="s">
        <v>1317</v>
      </c>
      <c r="G959" s="98" t="s">
        <v>1318</v>
      </c>
    </row>
    <row r="960" spans="1:7" ht="15" thickBot="1" x14ac:dyDescent="0.4">
      <c r="A960" s="98">
        <v>2022223699</v>
      </c>
      <c r="B960" s="101" t="s">
        <v>1666</v>
      </c>
      <c r="C960" s="98" t="s">
        <v>468</v>
      </c>
      <c r="D960" s="98" t="s">
        <v>469</v>
      </c>
      <c r="E960" s="98" t="s">
        <v>912</v>
      </c>
      <c r="F960" s="98" t="s">
        <v>1317</v>
      </c>
      <c r="G960" s="98" t="s">
        <v>1318</v>
      </c>
    </row>
    <row r="961" spans="1:7" ht="15" thickBot="1" x14ac:dyDescent="0.4">
      <c r="A961" s="98">
        <v>2022223699</v>
      </c>
      <c r="B961" s="101" t="s">
        <v>1666</v>
      </c>
      <c r="C961" s="98" t="s">
        <v>468</v>
      </c>
      <c r="D961" s="98" t="s">
        <v>469</v>
      </c>
      <c r="E961" s="98" t="s">
        <v>915</v>
      </c>
      <c r="F961" s="98" t="s">
        <v>1323</v>
      </c>
      <c r="G961" s="98" t="s">
        <v>1319</v>
      </c>
    </row>
    <row r="962" spans="1:7" ht="15" thickBot="1" x14ac:dyDescent="0.4">
      <c r="A962" s="98">
        <v>2022223005</v>
      </c>
      <c r="B962" s="101" t="s">
        <v>1667</v>
      </c>
      <c r="C962" s="98" t="s">
        <v>468</v>
      </c>
      <c r="D962" s="98" t="s">
        <v>469</v>
      </c>
      <c r="E962" s="98" t="s">
        <v>912</v>
      </c>
      <c r="F962" s="98" t="s">
        <v>1317</v>
      </c>
      <c r="G962" s="98" t="s">
        <v>1318</v>
      </c>
    </row>
    <row r="963" spans="1:7" ht="15" thickBot="1" x14ac:dyDescent="0.4">
      <c r="A963" s="98">
        <v>2022223005</v>
      </c>
      <c r="B963" s="101" t="s">
        <v>1667</v>
      </c>
      <c r="C963" s="98" t="s">
        <v>468</v>
      </c>
      <c r="D963" s="98" t="s">
        <v>469</v>
      </c>
      <c r="E963" s="98" t="s">
        <v>914</v>
      </c>
      <c r="F963" s="98" t="s">
        <v>1317</v>
      </c>
      <c r="G963" s="98" t="s">
        <v>1318</v>
      </c>
    </row>
    <row r="964" spans="1:7" ht="15" thickBot="1" x14ac:dyDescent="0.4">
      <c r="A964" s="98">
        <v>2022223005</v>
      </c>
      <c r="B964" s="101" t="s">
        <v>1667</v>
      </c>
      <c r="C964" s="98" t="s">
        <v>468</v>
      </c>
      <c r="D964" s="98" t="s">
        <v>469</v>
      </c>
      <c r="E964" s="98" t="s">
        <v>915</v>
      </c>
      <c r="F964" s="98" t="s">
        <v>1317</v>
      </c>
      <c r="G964" s="98" t="s">
        <v>1319</v>
      </c>
    </row>
    <row r="965" spans="1:7" ht="15" thickBot="1" x14ac:dyDescent="0.4">
      <c r="A965" s="98">
        <v>2022222954</v>
      </c>
      <c r="B965" s="101" t="s">
        <v>1668</v>
      </c>
      <c r="C965" s="98" t="s">
        <v>758</v>
      </c>
      <c r="D965" s="98" t="s">
        <v>469</v>
      </c>
      <c r="E965" s="98" t="s">
        <v>912</v>
      </c>
      <c r="F965" s="98" t="s">
        <v>1317</v>
      </c>
      <c r="G965" s="98" t="s">
        <v>1318</v>
      </c>
    </row>
    <row r="966" spans="1:7" ht="15" thickBot="1" x14ac:dyDescent="0.4">
      <c r="A966" s="98">
        <v>2022222946</v>
      </c>
      <c r="B966" s="101" t="s">
        <v>1669</v>
      </c>
      <c r="C966" s="98" t="s">
        <v>468</v>
      </c>
      <c r="D966" s="98" t="s">
        <v>469</v>
      </c>
      <c r="E966" s="98" t="s">
        <v>911</v>
      </c>
      <c r="F966" s="98" t="s">
        <v>1317</v>
      </c>
      <c r="G966" s="98" t="s">
        <v>1318</v>
      </c>
    </row>
    <row r="967" spans="1:7" ht="15" thickBot="1" x14ac:dyDescent="0.4">
      <c r="A967" s="98">
        <v>2022222946</v>
      </c>
      <c r="B967" s="101" t="s">
        <v>1669</v>
      </c>
      <c r="C967" s="98" t="s">
        <v>468</v>
      </c>
      <c r="D967" s="98" t="s">
        <v>469</v>
      </c>
      <c r="E967" s="98" t="s">
        <v>912</v>
      </c>
      <c r="F967" s="98" t="s">
        <v>1317</v>
      </c>
      <c r="G967" s="98" t="s">
        <v>1318</v>
      </c>
    </row>
    <row r="968" spans="1:7" ht="15" thickBot="1" x14ac:dyDescent="0.4">
      <c r="A968" s="98">
        <v>2022222946</v>
      </c>
      <c r="B968" s="101" t="s">
        <v>1669</v>
      </c>
      <c r="C968" s="98" t="s">
        <v>468</v>
      </c>
      <c r="D968" s="98" t="s">
        <v>469</v>
      </c>
      <c r="E968" s="98" t="s">
        <v>915</v>
      </c>
      <c r="F968" s="98" t="s">
        <v>1317</v>
      </c>
      <c r="G968" s="98" t="s">
        <v>1319</v>
      </c>
    </row>
    <row r="969" spans="1:7" ht="15" thickBot="1" x14ac:dyDescent="0.4">
      <c r="A969" s="98">
        <v>2022222653</v>
      </c>
      <c r="B969" s="101" t="s">
        <v>1670</v>
      </c>
      <c r="C969" s="98" t="s">
        <v>468</v>
      </c>
      <c r="D969" s="98" t="s">
        <v>469</v>
      </c>
      <c r="E969" s="98" t="s">
        <v>911</v>
      </c>
      <c r="F969" s="98" t="s">
        <v>1317</v>
      </c>
      <c r="G969" s="98" t="s">
        <v>1318</v>
      </c>
    </row>
    <row r="970" spans="1:7" ht="15" thickBot="1" x14ac:dyDescent="0.4">
      <c r="A970" s="98">
        <v>2022222653</v>
      </c>
      <c r="B970" s="101" t="s">
        <v>1670</v>
      </c>
      <c r="C970" s="98" t="s">
        <v>1671</v>
      </c>
      <c r="D970" s="98" t="s">
        <v>469</v>
      </c>
      <c r="E970" s="98" t="s">
        <v>915</v>
      </c>
      <c r="F970" s="98" t="s">
        <v>1317</v>
      </c>
      <c r="G970" s="98" t="s">
        <v>1319</v>
      </c>
    </row>
    <row r="971" spans="1:7" ht="15" thickBot="1" x14ac:dyDescent="0.4">
      <c r="A971" s="98">
        <v>2022222653</v>
      </c>
      <c r="B971" s="101" t="s">
        <v>1670</v>
      </c>
      <c r="C971" s="98" t="s">
        <v>468</v>
      </c>
      <c r="D971" s="98" t="s">
        <v>469</v>
      </c>
      <c r="E971" s="98" t="s">
        <v>912</v>
      </c>
      <c r="F971" s="98" t="s">
        <v>1317</v>
      </c>
      <c r="G971" s="98" t="s">
        <v>1318</v>
      </c>
    </row>
    <row r="972" spans="1:7" ht="15" thickBot="1" x14ac:dyDescent="0.4">
      <c r="A972" s="98">
        <v>2041221401</v>
      </c>
      <c r="B972" s="101" t="s">
        <v>1366</v>
      </c>
      <c r="C972" s="98" t="s">
        <v>148</v>
      </c>
      <c r="D972" s="98" t="s">
        <v>469</v>
      </c>
      <c r="E972" s="98" t="s">
        <v>915</v>
      </c>
      <c r="F972" s="98" t="s">
        <v>1317</v>
      </c>
      <c r="G972" s="98" t="s">
        <v>1319</v>
      </c>
    </row>
    <row r="973" spans="1:7" ht="15" thickBot="1" x14ac:dyDescent="0.4">
      <c r="A973" s="98">
        <v>2022226142</v>
      </c>
      <c r="B973" s="101" t="s">
        <v>1672</v>
      </c>
      <c r="C973" s="98" t="s">
        <v>468</v>
      </c>
      <c r="D973" s="98" t="s">
        <v>469</v>
      </c>
      <c r="E973" s="98" t="s">
        <v>912</v>
      </c>
      <c r="F973" s="98" t="s">
        <v>1317</v>
      </c>
      <c r="G973" s="98" t="s">
        <v>1318</v>
      </c>
    </row>
    <row r="974" spans="1:7" ht="15" thickBot="1" x14ac:dyDescent="0.4">
      <c r="A974" s="98">
        <v>2022226142</v>
      </c>
      <c r="B974" s="101" t="s">
        <v>1672</v>
      </c>
      <c r="C974" s="98" t="s">
        <v>468</v>
      </c>
      <c r="D974" s="98" t="s">
        <v>469</v>
      </c>
      <c r="E974" s="98" t="s">
        <v>913</v>
      </c>
      <c r="F974" s="98" t="s">
        <v>1317</v>
      </c>
      <c r="G974" s="98" t="s">
        <v>1318</v>
      </c>
    </row>
    <row r="975" spans="1:7" ht="15" thickBot="1" x14ac:dyDescent="0.4">
      <c r="A975" s="98">
        <v>2022226142</v>
      </c>
      <c r="B975" s="101" t="s">
        <v>1672</v>
      </c>
      <c r="C975" s="98" t="s">
        <v>468</v>
      </c>
      <c r="D975" s="98" t="s">
        <v>469</v>
      </c>
      <c r="E975" s="98" t="s">
        <v>911</v>
      </c>
      <c r="F975" s="98" t="s">
        <v>1317</v>
      </c>
      <c r="G975" s="98" t="s">
        <v>1318</v>
      </c>
    </row>
    <row r="976" spans="1:7" ht="15" thickBot="1" x14ac:dyDescent="0.4">
      <c r="A976" s="98">
        <v>2022226142</v>
      </c>
      <c r="B976" s="101" t="s">
        <v>1672</v>
      </c>
      <c r="C976" s="98" t="s">
        <v>468</v>
      </c>
      <c r="D976" s="98" t="s">
        <v>469</v>
      </c>
      <c r="E976" s="98" t="s">
        <v>911</v>
      </c>
      <c r="F976" s="98" t="s">
        <v>1317</v>
      </c>
      <c r="G976" s="98" t="s">
        <v>1318</v>
      </c>
    </row>
    <row r="977" spans="1:7" ht="15" thickBot="1" x14ac:dyDescent="0.4">
      <c r="A977" s="98">
        <v>2022222380</v>
      </c>
      <c r="B977" s="101" t="s">
        <v>1673</v>
      </c>
      <c r="C977" s="98" t="s">
        <v>468</v>
      </c>
      <c r="D977" s="98" t="s">
        <v>469</v>
      </c>
      <c r="E977" s="98" t="s">
        <v>912</v>
      </c>
      <c r="F977" s="98" t="s">
        <v>1317</v>
      </c>
      <c r="G977" s="98" t="s">
        <v>1318</v>
      </c>
    </row>
    <row r="978" spans="1:7" ht="15" thickBot="1" x14ac:dyDescent="0.4">
      <c r="A978" s="98">
        <v>2022222380</v>
      </c>
      <c r="B978" s="101" t="s">
        <v>1673</v>
      </c>
      <c r="C978" s="98" t="s">
        <v>468</v>
      </c>
      <c r="D978" s="98" t="s">
        <v>469</v>
      </c>
      <c r="E978" s="98" t="s">
        <v>914</v>
      </c>
      <c r="F978" s="98" t="s">
        <v>1317</v>
      </c>
      <c r="G978" s="98" t="s">
        <v>1318</v>
      </c>
    </row>
    <row r="979" spans="1:7" ht="15" thickBot="1" x14ac:dyDescent="0.4">
      <c r="A979" s="98">
        <v>2022222380</v>
      </c>
      <c r="B979" s="101" t="s">
        <v>1673</v>
      </c>
      <c r="C979" s="98" t="s">
        <v>468</v>
      </c>
      <c r="D979" s="98" t="s">
        <v>469</v>
      </c>
      <c r="E979" s="98" t="s">
        <v>911</v>
      </c>
      <c r="F979" s="98" t="s">
        <v>1317</v>
      </c>
      <c r="G979" s="98" t="s">
        <v>1318</v>
      </c>
    </row>
    <row r="980" spans="1:7" ht="15" thickBot="1" x14ac:dyDescent="0.4">
      <c r="A980" s="98">
        <v>2022225771</v>
      </c>
      <c r="B980" s="101" t="s">
        <v>1674</v>
      </c>
      <c r="C980" s="98" t="s">
        <v>468</v>
      </c>
      <c r="D980" s="98" t="s">
        <v>469</v>
      </c>
      <c r="E980" s="98" t="s">
        <v>912</v>
      </c>
      <c r="F980" s="98" t="s">
        <v>1317</v>
      </c>
      <c r="G980" s="98" t="s">
        <v>1318</v>
      </c>
    </row>
    <row r="981" spans="1:7" ht="15" thickBot="1" x14ac:dyDescent="0.4">
      <c r="A981" s="98">
        <v>2022225771</v>
      </c>
      <c r="B981" s="101" t="s">
        <v>1674</v>
      </c>
      <c r="C981" s="98" t="s">
        <v>468</v>
      </c>
      <c r="D981" s="98" t="s">
        <v>469</v>
      </c>
      <c r="E981" s="98" t="s">
        <v>911</v>
      </c>
      <c r="F981" s="98" t="s">
        <v>1317</v>
      </c>
      <c r="G981" s="98" t="s">
        <v>1318</v>
      </c>
    </row>
    <row r="982" spans="1:7" ht="15" thickBot="1" x14ac:dyDescent="0.4">
      <c r="A982" s="98">
        <v>2022225996</v>
      </c>
      <c r="B982" s="101" t="s">
        <v>1675</v>
      </c>
      <c r="C982" s="98" t="s">
        <v>468</v>
      </c>
      <c r="D982" s="98" t="s">
        <v>469</v>
      </c>
      <c r="E982" s="98" t="s">
        <v>911</v>
      </c>
      <c r="F982" s="98" t="s">
        <v>1317</v>
      </c>
      <c r="G982" s="98" t="s">
        <v>1318</v>
      </c>
    </row>
    <row r="983" spans="1:7" ht="15" thickBot="1" x14ac:dyDescent="0.4">
      <c r="A983" s="98">
        <v>2022225996</v>
      </c>
      <c r="B983" s="101" t="s">
        <v>1675</v>
      </c>
      <c r="C983" s="98" t="s">
        <v>1676</v>
      </c>
      <c r="D983" s="98" t="s">
        <v>469</v>
      </c>
      <c r="E983" s="98" t="s">
        <v>912</v>
      </c>
      <c r="F983" s="98" t="s">
        <v>1317</v>
      </c>
      <c r="G983" s="98" t="s">
        <v>1318</v>
      </c>
    </row>
    <row r="984" spans="1:7" ht="15" thickBot="1" x14ac:dyDescent="0.4">
      <c r="A984" s="98">
        <v>2022225996</v>
      </c>
      <c r="B984" s="101" t="s">
        <v>1675</v>
      </c>
      <c r="C984" s="98" t="s">
        <v>468</v>
      </c>
      <c r="D984" s="98" t="s">
        <v>469</v>
      </c>
      <c r="E984" s="98" t="s">
        <v>915</v>
      </c>
      <c r="F984" s="98" t="s">
        <v>1317</v>
      </c>
      <c r="G984" s="98" t="s">
        <v>1319</v>
      </c>
    </row>
    <row r="985" spans="1:7" ht="15" thickBot="1" x14ac:dyDescent="0.4">
      <c r="A985" s="98">
        <v>2022225393</v>
      </c>
      <c r="B985" s="101" t="s">
        <v>1677</v>
      </c>
      <c r="C985" s="98" t="s">
        <v>468</v>
      </c>
      <c r="D985" s="98" t="s">
        <v>469</v>
      </c>
      <c r="E985" s="98" t="s">
        <v>911</v>
      </c>
      <c r="F985" s="98" t="s">
        <v>1317</v>
      </c>
      <c r="G985" s="98" t="s">
        <v>1318</v>
      </c>
    </row>
    <row r="986" spans="1:7" ht="15" thickBot="1" x14ac:dyDescent="0.4">
      <c r="A986" s="98">
        <v>2022225393</v>
      </c>
      <c r="B986" s="101" t="s">
        <v>1677</v>
      </c>
      <c r="C986" s="98" t="s">
        <v>468</v>
      </c>
      <c r="D986" s="98" t="s">
        <v>469</v>
      </c>
      <c r="E986" s="98" t="s">
        <v>912</v>
      </c>
      <c r="F986" s="98" t="s">
        <v>1317</v>
      </c>
      <c r="G986" s="98" t="s">
        <v>1318</v>
      </c>
    </row>
    <row r="987" spans="1:7" ht="15" thickBot="1" x14ac:dyDescent="0.4">
      <c r="A987" s="98">
        <v>2022225393</v>
      </c>
      <c r="B987" s="101" t="s">
        <v>1677</v>
      </c>
      <c r="C987" s="98" t="s">
        <v>468</v>
      </c>
      <c r="D987" s="98" t="s">
        <v>469</v>
      </c>
      <c r="E987" s="98" t="s">
        <v>915</v>
      </c>
      <c r="F987" s="98" t="s">
        <v>1317</v>
      </c>
      <c r="G987" s="98" t="s">
        <v>1319</v>
      </c>
    </row>
    <row r="988" spans="1:7" ht="15" thickBot="1" x14ac:dyDescent="0.4">
      <c r="A988" s="98">
        <v>2041221930</v>
      </c>
      <c r="B988" s="101" t="s">
        <v>1678</v>
      </c>
      <c r="C988" s="98" t="s">
        <v>534</v>
      </c>
      <c r="D988" s="98" t="s">
        <v>469</v>
      </c>
      <c r="E988" s="98" t="s">
        <v>911</v>
      </c>
      <c r="F988" s="98" t="s">
        <v>1317</v>
      </c>
      <c r="G988" s="98" t="s">
        <v>1318</v>
      </c>
    </row>
    <row r="989" spans="1:7" ht="15" thickBot="1" x14ac:dyDescent="0.4">
      <c r="A989" s="98">
        <v>2041221930</v>
      </c>
      <c r="B989" s="101" t="s">
        <v>1679</v>
      </c>
      <c r="C989" s="98" t="s">
        <v>534</v>
      </c>
      <c r="D989" s="98" t="s">
        <v>469</v>
      </c>
      <c r="E989" s="98" t="s">
        <v>914</v>
      </c>
      <c r="F989" s="98" t="s">
        <v>1317</v>
      </c>
      <c r="G989" s="98" t="s">
        <v>1318</v>
      </c>
    </row>
    <row r="990" spans="1:7" ht="15" thickBot="1" x14ac:dyDescent="0.4">
      <c r="A990" s="98">
        <v>2041221930</v>
      </c>
      <c r="B990" s="101" t="s">
        <v>1678</v>
      </c>
      <c r="C990" s="98" t="s">
        <v>534</v>
      </c>
      <c r="D990" s="98" t="s">
        <v>469</v>
      </c>
      <c r="E990" s="98" t="s">
        <v>912</v>
      </c>
      <c r="F990" s="98" t="s">
        <v>1317</v>
      </c>
      <c r="G990" s="98" t="s">
        <v>1318</v>
      </c>
    </row>
    <row r="991" spans="1:7" ht="15" thickBot="1" x14ac:dyDescent="0.4">
      <c r="A991" s="98">
        <v>2022224813</v>
      </c>
      <c r="B991" s="101" t="s">
        <v>1680</v>
      </c>
      <c r="C991" s="98" t="s">
        <v>468</v>
      </c>
      <c r="D991" s="98" t="s">
        <v>469</v>
      </c>
      <c r="E991" s="98" t="s">
        <v>911</v>
      </c>
      <c r="F991" s="98" t="s">
        <v>1317</v>
      </c>
      <c r="G991" s="98" t="s">
        <v>1318</v>
      </c>
    </row>
    <row r="992" spans="1:7" ht="15" thickBot="1" x14ac:dyDescent="0.4">
      <c r="A992" s="98">
        <v>2022224813</v>
      </c>
      <c r="B992" s="101" t="s">
        <v>1680</v>
      </c>
      <c r="C992" s="98" t="s">
        <v>468</v>
      </c>
      <c r="D992" s="98" t="s">
        <v>469</v>
      </c>
      <c r="E992" s="98" t="s">
        <v>912</v>
      </c>
      <c r="F992" s="98" t="s">
        <v>1317</v>
      </c>
      <c r="G992" s="98" t="s">
        <v>1318</v>
      </c>
    </row>
    <row r="993" spans="1:7" ht="15" thickBot="1" x14ac:dyDescent="0.4">
      <c r="A993" s="98">
        <v>2022225753</v>
      </c>
      <c r="B993" s="101" t="s">
        <v>2073</v>
      </c>
      <c r="C993" s="98" t="s">
        <v>468</v>
      </c>
      <c r="D993" s="98" t="s">
        <v>469</v>
      </c>
      <c r="E993" s="98" t="s">
        <v>912</v>
      </c>
      <c r="F993" s="98" t="s">
        <v>1317</v>
      </c>
      <c r="G993" s="98" t="s">
        <v>1318</v>
      </c>
    </row>
    <row r="994" spans="1:7" ht="15" thickBot="1" x14ac:dyDescent="0.4">
      <c r="A994" s="98">
        <v>2022225753</v>
      </c>
      <c r="B994" s="101" t="s">
        <v>2073</v>
      </c>
      <c r="C994" s="98" t="s">
        <v>468</v>
      </c>
      <c r="D994" s="98" t="s">
        <v>469</v>
      </c>
      <c r="E994" s="98" t="s">
        <v>911</v>
      </c>
      <c r="F994" s="98" t="s">
        <v>1317</v>
      </c>
      <c r="G994" s="98" t="s">
        <v>1318</v>
      </c>
    </row>
    <row r="995" spans="1:7" ht="15" thickBot="1" x14ac:dyDescent="0.4">
      <c r="A995" s="98">
        <v>2022222939</v>
      </c>
      <c r="B995" s="101" t="s">
        <v>1681</v>
      </c>
      <c r="C995" s="98" t="s">
        <v>468</v>
      </c>
      <c r="D995" s="98" t="s">
        <v>469</v>
      </c>
      <c r="E995" s="98" t="s">
        <v>912</v>
      </c>
      <c r="F995" s="98" t="s">
        <v>1317</v>
      </c>
      <c r="G995" s="98" t="s">
        <v>1318</v>
      </c>
    </row>
    <row r="996" spans="1:7" ht="15" thickBot="1" x14ac:dyDescent="0.4">
      <c r="A996" s="98">
        <v>2022222939</v>
      </c>
      <c r="B996" s="101" t="s">
        <v>1681</v>
      </c>
      <c r="C996" s="98" t="s">
        <v>468</v>
      </c>
      <c r="D996" s="98" t="s">
        <v>469</v>
      </c>
      <c r="E996" s="98" t="s">
        <v>911</v>
      </c>
      <c r="F996" s="98" t="s">
        <v>1317</v>
      </c>
      <c r="G996" s="98" t="s">
        <v>1318</v>
      </c>
    </row>
    <row r="997" spans="1:7" ht="15" thickBot="1" x14ac:dyDescent="0.4">
      <c r="A997" s="98">
        <v>2022221296</v>
      </c>
      <c r="B997" s="101" t="s">
        <v>1682</v>
      </c>
      <c r="C997" s="98" t="s">
        <v>468</v>
      </c>
      <c r="D997" s="98" t="s">
        <v>469</v>
      </c>
      <c r="E997" s="98" t="s">
        <v>914</v>
      </c>
      <c r="F997" s="98" t="s">
        <v>1317</v>
      </c>
      <c r="G997" s="98" t="s">
        <v>1318</v>
      </c>
    </row>
    <row r="998" spans="1:7" ht="15" thickBot="1" x14ac:dyDescent="0.4">
      <c r="A998" s="98">
        <v>2022221296</v>
      </c>
      <c r="B998" s="101" t="s">
        <v>1682</v>
      </c>
      <c r="C998" s="98" t="s">
        <v>468</v>
      </c>
      <c r="D998" s="98" t="s">
        <v>469</v>
      </c>
      <c r="E998" s="98" t="s">
        <v>911</v>
      </c>
      <c r="F998" s="98" t="s">
        <v>1317</v>
      </c>
      <c r="G998" s="98" t="s">
        <v>1318</v>
      </c>
    </row>
    <row r="999" spans="1:7" ht="15" thickBot="1" x14ac:dyDescent="0.4">
      <c r="A999" s="98">
        <v>2022221296</v>
      </c>
      <c r="B999" s="101" t="s">
        <v>1682</v>
      </c>
      <c r="C999" s="98" t="s">
        <v>468</v>
      </c>
      <c r="D999" s="98" t="s">
        <v>469</v>
      </c>
      <c r="E999" s="98" t="s">
        <v>915</v>
      </c>
      <c r="F999" s="98" t="s">
        <v>1317</v>
      </c>
      <c r="G999" s="98" t="s">
        <v>1319</v>
      </c>
    </row>
    <row r="1000" spans="1:7" ht="15" thickBot="1" x14ac:dyDescent="0.4">
      <c r="A1000" s="98">
        <v>2041221252</v>
      </c>
      <c r="B1000" s="101" t="s">
        <v>1683</v>
      </c>
      <c r="C1000" s="98" t="s">
        <v>534</v>
      </c>
      <c r="D1000" s="98" t="s">
        <v>469</v>
      </c>
      <c r="E1000" s="98" t="s">
        <v>1321</v>
      </c>
      <c r="F1000" s="98" t="s">
        <v>1317</v>
      </c>
      <c r="G1000" s="98" t="s">
        <v>1318</v>
      </c>
    </row>
    <row r="1001" spans="1:7" ht="15" thickBot="1" x14ac:dyDescent="0.4">
      <c r="A1001" s="98">
        <v>2041221252</v>
      </c>
      <c r="B1001" s="101" t="s">
        <v>1683</v>
      </c>
      <c r="C1001" s="98" t="s">
        <v>534</v>
      </c>
      <c r="D1001" s="98" t="s">
        <v>469</v>
      </c>
      <c r="E1001" s="98" t="s">
        <v>911</v>
      </c>
      <c r="F1001" s="98" t="s">
        <v>1317</v>
      </c>
      <c r="G1001" s="98" t="s">
        <v>1318</v>
      </c>
    </row>
    <row r="1002" spans="1:7" ht="15" thickBot="1" x14ac:dyDescent="0.4">
      <c r="A1002" s="98">
        <v>2022210264</v>
      </c>
      <c r="B1002" s="101" t="s">
        <v>1560</v>
      </c>
      <c r="C1002" s="98" t="s">
        <v>1505</v>
      </c>
      <c r="D1002" s="98" t="s">
        <v>469</v>
      </c>
      <c r="E1002" s="98" t="s">
        <v>911</v>
      </c>
      <c r="F1002" s="98" t="s">
        <v>1317</v>
      </c>
      <c r="G1002" s="98" t="s">
        <v>1318</v>
      </c>
    </row>
    <row r="1003" spans="1:7" ht="15" thickBot="1" x14ac:dyDescent="0.4">
      <c r="A1003" s="98">
        <v>2022222938</v>
      </c>
      <c r="B1003" s="101" t="s">
        <v>1684</v>
      </c>
      <c r="C1003" s="98" t="s">
        <v>468</v>
      </c>
      <c r="D1003" s="98" t="s">
        <v>469</v>
      </c>
      <c r="E1003" s="98" t="s">
        <v>912</v>
      </c>
      <c r="F1003" s="98" t="s">
        <v>1317</v>
      </c>
      <c r="G1003" s="98" t="s">
        <v>1318</v>
      </c>
    </row>
    <row r="1004" spans="1:7" ht="15" thickBot="1" x14ac:dyDescent="0.4">
      <c r="A1004" s="98">
        <v>2022222938</v>
      </c>
      <c r="B1004" s="101" t="s">
        <v>1684</v>
      </c>
      <c r="C1004" s="98" t="s">
        <v>468</v>
      </c>
      <c r="D1004" s="98" t="s">
        <v>469</v>
      </c>
      <c r="E1004" s="98" t="s">
        <v>911</v>
      </c>
      <c r="F1004" s="98" t="s">
        <v>1317</v>
      </c>
      <c r="G1004" s="98" t="s">
        <v>1318</v>
      </c>
    </row>
    <row r="1005" spans="1:7" ht="15" thickBot="1" x14ac:dyDescent="0.4">
      <c r="A1005" s="98">
        <v>2022222938</v>
      </c>
      <c r="B1005" s="101" t="s">
        <v>1684</v>
      </c>
      <c r="C1005" s="98" t="s">
        <v>468</v>
      </c>
      <c r="D1005" s="98" t="s">
        <v>469</v>
      </c>
      <c r="E1005" s="98" t="s">
        <v>915</v>
      </c>
      <c r="F1005" s="98" t="s">
        <v>1317</v>
      </c>
      <c r="G1005" s="98" t="s">
        <v>1319</v>
      </c>
    </row>
    <row r="1006" spans="1:7" ht="15" thickBot="1" x14ac:dyDescent="0.4">
      <c r="A1006" s="98">
        <v>2022221770</v>
      </c>
      <c r="B1006" s="101" t="s">
        <v>1685</v>
      </c>
      <c r="C1006" s="98" t="s">
        <v>468</v>
      </c>
      <c r="D1006" s="98" t="s">
        <v>469</v>
      </c>
      <c r="E1006" s="98" t="s">
        <v>912</v>
      </c>
      <c r="F1006" s="98" t="s">
        <v>1317</v>
      </c>
      <c r="G1006" s="98" t="s">
        <v>1318</v>
      </c>
    </row>
    <row r="1007" spans="1:7" ht="15" thickBot="1" x14ac:dyDescent="0.4">
      <c r="A1007" s="98">
        <v>2022221770</v>
      </c>
      <c r="B1007" s="101" t="s">
        <v>1685</v>
      </c>
      <c r="C1007" s="98" t="s">
        <v>468</v>
      </c>
      <c r="D1007" s="98" t="s">
        <v>469</v>
      </c>
      <c r="E1007" s="98" t="s">
        <v>913</v>
      </c>
      <c r="F1007" s="98" t="s">
        <v>1317</v>
      </c>
      <c r="G1007" s="98" t="s">
        <v>1318</v>
      </c>
    </row>
    <row r="1008" spans="1:7" ht="15" thickBot="1" x14ac:dyDescent="0.4">
      <c r="A1008" s="98">
        <v>2022222805</v>
      </c>
      <c r="B1008" s="101" t="s">
        <v>1686</v>
      </c>
      <c r="C1008" s="98" t="s">
        <v>468</v>
      </c>
      <c r="D1008" s="98" t="s">
        <v>469</v>
      </c>
      <c r="E1008" s="98" t="s">
        <v>914</v>
      </c>
      <c r="F1008" s="98" t="s">
        <v>1317</v>
      </c>
      <c r="G1008" s="98" t="s">
        <v>1318</v>
      </c>
    </row>
    <row r="1009" spans="1:7" ht="15" thickBot="1" x14ac:dyDescent="0.4">
      <c r="A1009" s="98">
        <v>2022222805</v>
      </c>
      <c r="B1009" s="101" t="s">
        <v>1686</v>
      </c>
      <c r="C1009" s="98" t="s">
        <v>468</v>
      </c>
      <c r="D1009" s="98" t="s">
        <v>469</v>
      </c>
      <c r="E1009" s="98" t="s">
        <v>911</v>
      </c>
      <c r="F1009" s="98" t="s">
        <v>1317</v>
      </c>
      <c r="G1009" s="98" t="s">
        <v>1318</v>
      </c>
    </row>
    <row r="1010" spans="1:7" ht="15" thickBot="1" x14ac:dyDescent="0.4">
      <c r="A1010" s="98">
        <v>2022222805</v>
      </c>
      <c r="B1010" s="101" t="s">
        <v>1686</v>
      </c>
      <c r="C1010" s="98" t="s">
        <v>468</v>
      </c>
      <c r="D1010" s="98" t="s">
        <v>469</v>
      </c>
      <c r="E1010" s="98" t="s">
        <v>915</v>
      </c>
      <c r="F1010" s="98" t="s">
        <v>1317</v>
      </c>
      <c r="G1010" s="98" t="s">
        <v>1319</v>
      </c>
    </row>
    <row r="1011" spans="1:7" ht="15" thickBot="1" x14ac:dyDescent="0.4">
      <c r="A1011" s="98">
        <v>2022223112</v>
      </c>
      <c r="B1011" s="101" t="s">
        <v>1687</v>
      </c>
      <c r="C1011" s="98" t="s">
        <v>468</v>
      </c>
      <c r="D1011" s="98" t="s">
        <v>469</v>
      </c>
      <c r="E1011" s="98" t="s">
        <v>912</v>
      </c>
      <c r="F1011" s="98" t="s">
        <v>1317</v>
      </c>
      <c r="G1011" s="98" t="s">
        <v>1318</v>
      </c>
    </row>
    <row r="1012" spans="1:7" ht="15" thickBot="1" x14ac:dyDescent="0.4">
      <c r="A1012" s="98">
        <v>2022223112</v>
      </c>
      <c r="B1012" s="101" t="s">
        <v>1687</v>
      </c>
      <c r="C1012" s="98" t="s">
        <v>468</v>
      </c>
      <c r="D1012" s="98" t="s">
        <v>469</v>
      </c>
      <c r="E1012" s="98" t="s">
        <v>914</v>
      </c>
      <c r="F1012" s="98" t="s">
        <v>1317</v>
      </c>
      <c r="G1012" s="98" t="s">
        <v>1318</v>
      </c>
    </row>
    <row r="1013" spans="1:7" ht="15" thickBot="1" x14ac:dyDescent="0.4">
      <c r="A1013" s="98">
        <v>2022223112</v>
      </c>
      <c r="B1013" s="101" t="s">
        <v>1687</v>
      </c>
      <c r="C1013" s="98" t="s">
        <v>468</v>
      </c>
      <c r="D1013" s="98" t="s">
        <v>469</v>
      </c>
      <c r="E1013" s="98" t="s">
        <v>911</v>
      </c>
      <c r="F1013" s="98" t="s">
        <v>1317</v>
      </c>
      <c r="G1013" s="98" t="s">
        <v>1318</v>
      </c>
    </row>
    <row r="1014" spans="1:7" ht="15" thickBot="1" x14ac:dyDescent="0.4">
      <c r="A1014" s="98">
        <v>2022224803</v>
      </c>
      <c r="B1014" s="101" t="s">
        <v>1688</v>
      </c>
      <c r="C1014" s="98" t="s">
        <v>468</v>
      </c>
      <c r="D1014" s="98" t="s">
        <v>469</v>
      </c>
      <c r="E1014" s="98" t="s">
        <v>914</v>
      </c>
      <c r="F1014" s="98" t="s">
        <v>1317</v>
      </c>
      <c r="G1014" s="98" t="s">
        <v>1318</v>
      </c>
    </row>
    <row r="1015" spans="1:7" ht="15" thickBot="1" x14ac:dyDescent="0.4">
      <c r="A1015" s="98">
        <v>2022224803</v>
      </c>
      <c r="B1015" s="101" t="s">
        <v>1688</v>
      </c>
      <c r="C1015" s="98" t="s">
        <v>468</v>
      </c>
      <c r="D1015" s="98" t="s">
        <v>469</v>
      </c>
      <c r="E1015" s="98" t="s">
        <v>911</v>
      </c>
      <c r="F1015" s="98" t="s">
        <v>1317</v>
      </c>
      <c r="G1015" s="98" t="s">
        <v>1318</v>
      </c>
    </row>
    <row r="1016" spans="1:7" ht="15" thickBot="1" x14ac:dyDescent="0.4">
      <c r="A1016" s="98">
        <v>2005222916</v>
      </c>
      <c r="B1016" s="101" t="s">
        <v>1689</v>
      </c>
      <c r="C1016" s="98" t="s">
        <v>567</v>
      </c>
      <c r="D1016" s="98" t="s">
        <v>547</v>
      </c>
      <c r="E1016" s="98" t="s">
        <v>911</v>
      </c>
      <c r="F1016" s="98" t="s">
        <v>1317</v>
      </c>
      <c r="G1016" s="98" t="s">
        <v>1318</v>
      </c>
    </row>
    <row r="1017" spans="1:7" ht="15" thickBot="1" x14ac:dyDescent="0.4">
      <c r="A1017" s="98">
        <v>2005222916</v>
      </c>
      <c r="B1017" s="101" t="s">
        <v>1689</v>
      </c>
      <c r="C1017" s="98" t="s">
        <v>567</v>
      </c>
      <c r="D1017" s="98" t="s">
        <v>547</v>
      </c>
      <c r="E1017" s="98" t="s">
        <v>912</v>
      </c>
      <c r="F1017" s="98" t="s">
        <v>1317</v>
      </c>
      <c r="G1017" s="98" t="s">
        <v>1318</v>
      </c>
    </row>
    <row r="1018" spans="1:7" ht="15" thickBot="1" x14ac:dyDescent="0.4">
      <c r="A1018" s="98">
        <v>2005222916</v>
      </c>
      <c r="B1018" s="101" t="s">
        <v>1689</v>
      </c>
      <c r="C1018" s="98" t="s">
        <v>567</v>
      </c>
      <c r="D1018" s="98" t="s">
        <v>547</v>
      </c>
      <c r="E1018" s="98" t="s">
        <v>915</v>
      </c>
      <c r="F1018" s="98" t="s">
        <v>1323</v>
      </c>
      <c r="G1018" s="98" t="s">
        <v>1319</v>
      </c>
    </row>
    <row r="1019" spans="1:7" ht="15" thickBot="1" x14ac:dyDescent="0.4">
      <c r="A1019" s="98">
        <v>2005224486</v>
      </c>
      <c r="B1019" s="101" t="s">
        <v>1690</v>
      </c>
      <c r="C1019" s="98" t="s">
        <v>567</v>
      </c>
      <c r="D1019" s="98" t="s">
        <v>547</v>
      </c>
      <c r="E1019" s="98" t="s">
        <v>1395</v>
      </c>
      <c r="F1019" s="98" t="s">
        <v>1317</v>
      </c>
      <c r="G1019" s="98" t="s">
        <v>1318</v>
      </c>
    </row>
    <row r="1020" spans="1:7" ht="15" thickBot="1" x14ac:dyDescent="0.4">
      <c r="A1020" s="98">
        <v>2005224486</v>
      </c>
      <c r="B1020" s="101" t="s">
        <v>1690</v>
      </c>
      <c r="C1020" s="98" t="s">
        <v>567</v>
      </c>
      <c r="D1020" s="98" t="s">
        <v>547</v>
      </c>
      <c r="E1020" s="98" t="s">
        <v>914</v>
      </c>
      <c r="F1020" s="98" t="s">
        <v>1317</v>
      </c>
      <c r="G1020" s="98" t="s">
        <v>1318</v>
      </c>
    </row>
    <row r="1021" spans="1:7" ht="15" thickBot="1" x14ac:dyDescent="0.4">
      <c r="A1021" s="98">
        <v>2005224486</v>
      </c>
      <c r="B1021" s="101" t="s">
        <v>1690</v>
      </c>
      <c r="C1021" s="98" t="s">
        <v>567</v>
      </c>
      <c r="D1021" s="98" t="s">
        <v>547</v>
      </c>
      <c r="E1021" s="98" t="s">
        <v>915</v>
      </c>
      <c r="F1021" s="98" t="s">
        <v>1323</v>
      </c>
      <c r="G1021" s="98" t="s">
        <v>1319</v>
      </c>
    </row>
    <row r="1022" spans="1:7" ht="15" thickBot="1" x14ac:dyDescent="0.4">
      <c r="A1022" s="98">
        <v>2005225357</v>
      </c>
      <c r="B1022" s="101" t="s">
        <v>1691</v>
      </c>
      <c r="C1022" s="98" t="s">
        <v>567</v>
      </c>
      <c r="D1022" s="98" t="s">
        <v>547</v>
      </c>
      <c r="E1022" s="98" t="s">
        <v>911</v>
      </c>
      <c r="F1022" s="98" t="s">
        <v>1317</v>
      </c>
      <c r="G1022" s="98" t="s">
        <v>1318</v>
      </c>
    </row>
    <row r="1023" spans="1:7" ht="15" thickBot="1" x14ac:dyDescent="0.4">
      <c r="A1023" s="98">
        <v>2005225357</v>
      </c>
      <c r="B1023" s="101" t="s">
        <v>1691</v>
      </c>
      <c r="C1023" s="98" t="s">
        <v>567</v>
      </c>
      <c r="D1023" s="98" t="s">
        <v>547</v>
      </c>
      <c r="E1023" s="98" t="s">
        <v>1342</v>
      </c>
      <c r="F1023" s="98" t="s">
        <v>1317</v>
      </c>
      <c r="G1023" s="98" t="s">
        <v>1318</v>
      </c>
    </row>
    <row r="1024" spans="1:7" ht="15" thickBot="1" x14ac:dyDescent="0.4">
      <c r="A1024" s="98">
        <v>2005225357</v>
      </c>
      <c r="B1024" s="101" t="s">
        <v>1691</v>
      </c>
      <c r="C1024" s="98" t="s">
        <v>567</v>
      </c>
      <c r="D1024" s="98" t="s">
        <v>547</v>
      </c>
      <c r="E1024" s="98" t="s">
        <v>916</v>
      </c>
      <c r="F1024" s="98" t="s">
        <v>1323</v>
      </c>
      <c r="G1024" s="98" t="s">
        <v>1319</v>
      </c>
    </row>
    <row r="1025" spans="1:7" ht="15" thickBot="1" x14ac:dyDescent="0.4">
      <c r="A1025" s="98">
        <v>2005226060</v>
      </c>
      <c r="B1025" s="101" t="s">
        <v>1692</v>
      </c>
      <c r="C1025" s="98" t="s">
        <v>546</v>
      </c>
      <c r="D1025" s="98" t="s">
        <v>547</v>
      </c>
      <c r="E1025" s="98" t="s">
        <v>912</v>
      </c>
      <c r="F1025" s="98" t="s">
        <v>1317</v>
      </c>
      <c r="G1025" s="98" t="s">
        <v>1318</v>
      </c>
    </row>
    <row r="1026" spans="1:7" ht="15" thickBot="1" x14ac:dyDescent="0.4">
      <c r="A1026" s="98">
        <v>2005226060</v>
      </c>
      <c r="B1026" s="101" t="s">
        <v>1692</v>
      </c>
      <c r="C1026" s="98" t="s">
        <v>546</v>
      </c>
      <c r="D1026" s="98" t="s">
        <v>547</v>
      </c>
      <c r="E1026" s="98" t="s">
        <v>911</v>
      </c>
      <c r="F1026" s="98" t="s">
        <v>1317</v>
      </c>
      <c r="G1026" s="98" t="s">
        <v>1318</v>
      </c>
    </row>
    <row r="1027" spans="1:7" ht="15" thickBot="1" x14ac:dyDescent="0.4">
      <c r="A1027" s="98">
        <v>2005223597</v>
      </c>
      <c r="B1027" s="101" t="s">
        <v>1693</v>
      </c>
      <c r="C1027" s="98" t="s">
        <v>567</v>
      </c>
      <c r="D1027" s="98" t="s">
        <v>547</v>
      </c>
      <c r="E1027" s="98" t="s">
        <v>1395</v>
      </c>
      <c r="F1027" s="98" t="s">
        <v>1317</v>
      </c>
      <c r="G1027" s="98" t="s">
        <v>1318</v>
      </c>
    </row>
    <row r="1028" spans="1:7" ht="15" thickBot="1" x14ac:dyDescent="0.4">
      <c r="A1028" s="98">
        <v>2005223597</v>
      </c>
      <c r="B1028" s="101" t="s">
        <v>1693</v>
      </c>
      <c r="C1028" s="98" t="s">
        <v>567</v>
      </c>
      <c r="D1028" s="98" t="s">
        <v>547</v>
      </c>
      <c r="E1028" s="98" t="s">
        <v>914</v>
      </c>
      <c r="F1028" s="98" t="s">
        <v>1317</v>
      </c>
      <c r="G1028" s="98" t="s">
        <v>1318</v>
      </c>
    </row>
    <row r="1029" spans="1:7" ht="15" thickBot="1" x14ac:dyDescent="0.4">
      <c r="A1029" s="98">
        <v>2005220648</v>
      </c>
      <c r="B1029" s="101" t="s">
        <v>1694</v>
      </c>
      <c r="C1029" s="98" t="s">
        <v>567</v>
      </c>
      <c r="D1029" s="98" t="s">
        <v>547</v>
      </c>
      <c r="E1029" s="98" t="s">
        <v>911</v>
      </c>
      <c r="F1029" s="98" t="s">
        <v>1317</v>
      </c>
      <c r="G1029" s="98" t="s">
        <v>1318</v>
      </c>
    </row>
    <row r="1030" spans="1:7" ht="15" thickBot="1" x14ac:dyDescent="0.4">
      <c r="A1030" s="98">
        <v>2005220648</v>
      </c>
      <c r="B1030" s="101" t="s">
        <v>1694</v>
      </c>
      <c r="C1030" s="98" t="s">
        <v>567</v>
      </c>
      <c r="D1030" s="98" t="s">
        <v>547</v>
      </c>
      <c r="E1030" s="98" t="s">
        <v>912</v>
      </c>
      <c r="F1030" s="98" t="s">
        <v>1317</v>
      </c>
      <c r="G1030" s="98" t="s">
        <v>1318</v>
      </c>
    </row>
    <row r="1031" spans="1:7" ht="15" thickBot="1" x14ac:dyDescent="0.4">
      <c r="A1031" s="98">
        <v>2005220648</v>
      </c>
      <c r="B1031" s="101" t="s">
        <v>1694</v>
      </c>
      <c r="C1031" s="98" t="s">
        <v>567</v>
      </c>
      <c r="D1031" s="98" t="s">
        <v>547</v>
      </c>
      <c r="E1031" s="98" t="s">
        <v>915</v>
      </c>
      <c r="F1031" s="98" t="s">
        <v>1323</v>
      </c>
      <c r="G1031" s="98" t="s">
        <v>1319</v>
      </c>
    </row>
    <row r="1032" spans="1:7" ht="15" thickBot="1" x14ac:dyDescent="0.4">
      <c r="A1032" s="98">
        <v>2005222042</v>
      </c>
      <c r="B1032" s="101" t="s">
        <v>1695</v>
      </c>
      <c r="C1032" s="98" t="s">
        <v>567</v>
      </c>
      <c r="D1032" s="98" t="s">
        <v>547</v>
      </c>
      <c r="E1032" s="98" t="s">
        <v>914</v>
      </c>
      <c r="F1032" s="98" t="s">
        <v>1317</v>
      </c>
      <c r="G1032" s="98" t="s">
        <v>1318</v>
      </c>
    </row>
    <row r="1033" spans="1:7" ht="15" thickBot="1" x14ac:dyDescent="0.4">
      <c r="A1033" s="98">
        <v>2005222042</v>
      </c>
      <c r="B1033" s="101" t="s">
        <v>1695</v>
      </c>
      <c r="C1033" s="98" t="s">
        <v>567</v>
      </c>
      <c r="D1033" s="98" t="s">
        <v>547</v>
      </c>
      <c r="E1033" s="98" t="s">
        <v>912</v>
      </c>
      <c r="F1033" s="98" t="s">
        <v>1317</v>
      </c>
      <c r="G1033" s="98" t="s">
        <v>1318</v>
      </c>
    </row>
    <row r="1034" spans="1:7" ht="15" thickBot="1" x14ac:dyDescent="0.4">
      <c r="A1034" s="98">
        <v>2005222042</v>
      </c>
      <c r="B1034" s="101" t="s">
        <v>1695</v>
      </c>
      <c r="C1034" s="98" t="s">
        <v>567</v>
      </c>
      <c r="D1034" s="98" t="s">
        <v>547</v>
      </c>
      <c r="E1034" s="98" t="s">
        <v>915</v>
      </c>
      <c r="F1034" s="98" t="s">
        <v>1323</v>
      </c>
      <c r="G1034" s="98" t="s">
        <v>1319</v>
      </c>
    </row>
    <row r="1035" spans="1:7" ht="15" thickBot="1" x14ac:dyDescent="0.4">
      <c r="A1035" s="98">
        <v>2041222734</v>
      </c>
      <c r="B1035" s="101" t="s">
        <v>1316</v>
      </c>
      <c r="C1035" s="98" t="s">
        <v>148</v>
      </c>
      <c r="D1035" s="98" t="s">
        <v>547</v>
      </c>
      <c r="E1035" s="98" t="s">
        <v>1321</v>
      </c>
      <c r="F1035" s="98" t="s">
        <v>1317</v>
      </c>
      <c r="G1035" s="98" t="s">
        <v>1318</v>
      </c>
    </row>
    <row r="1036" spans="1:7" ht="15" thickBot="1" x14ac:dyDescent="0.4">
      <c r="A1036" s="98">
        <v>2005225458</v>
      </c>
      <c r="B1036" s="101" t="s">
        <v>1696</v>
      </c>
      <c r="C1036" s="98" t="s">
        <v>567</v>
      </c>
      <c r="D1036" s="98" t="s">
        <v>547</v>
      </c>
      <c r="E1036" s="98" t="s">
        <v>1395</v>
      </c>
      <c r="F1036" s="98" t="s">
        <v>1317</v>
      </c>
      <c r="G1036" s="98" t="s">
        <v>1318</v>
      </c>
    </row>
    <row r="1037" spans="1:7" ht="15" thickBot="1" x14ac:dyDescent="0.4">
      <c r="A1037" s="98">
        <v>2005225458</v>
      </c>
      <c r="B1037" s="101" t="s">
        <v>1696</v>
      </c>
      <c r="C1037" s="98" t="s">
        <v>567</v>
      </c>
      <c r="D1037" s="98" t="s">
        <v>547</v>
      </c>
      <c r="E1037" s="98" t="s">
        <v>912</v>
      </c>
      <c r="F1037" s="98" t="s">
        <v>1317</v>
      </c>
      <c r="G1037" s="98" t="s">
        <v>1318</v>
      </c>
    </row>
    <row r="1038" spans="1:7" ht="15" thickBot="1" x14ac:dyDescent="0.4">
      <c r="A1038" s="98">
        <v>2005225458</v>
      </c>
      <c r="B1038" s="101" t="s">
        <v>1696</v>
      </c>
      <c r="C1038" s="98" t="s">
        <v>567</v>
      </c>
      <c r="D1038" s="98" t="s">
        <v>547</v>
      </c>
      <c r="E1038" s="98" t="s">
        <v>911</v>
      </c>
      <c r="F1038" s="98" t="s">
        <v>1317</v>
      </c>
      <c r="G1038" s="98" t="s">
        <v>1318</v>
      </c>
    </row>
    <row r="1039" spans="1:7" ht="15" thickBot="1" x14ac:dyDescent="0.4">
      <c r="A1039" s="98">
        <v>2005224932</v>
      </c>
      <c r="B1039" s="101" t="s">
        <v>1394</v>
      </c>
      <c r="C1039" s="98" t="s">
        <v>196</v>
      </c>
      <c r="D1039" s="98" t="s">
        <v>547</v>
      </c>
      <c r="E1039" s="98" t="s">
        <v>1395</v>
      </c>
      <c r="F1039" s="98" t="s">
        <v>1317</v>
      </c>
      <c r="G1039" s="98" t="s">
        <v>1318</v>
      </c>
    </row>
    <row r="1040" spans="1:7" ht="15" thickBot="1" x14ac:dyDescent="0.4">
      <c r="A1040" s="98">
        <v>2005224854</v>
      </c>
      <c r="B1040" s="101" t="s">
        <v>1697</v>
      </c>
      <c r="C1040" s="98" t="s">
        <v>546</v>
      </c>
      <c r="D1040" s="98" t="s">
        <v>547</v>
      </c>
      <c r="E1040" s="98" t="s">
        <v>911</v>
      </c>
      <c r="F1040" s="98" t="s">
        <v>1317</v>
      </c>
      <c r="G1040" s="98" t="s">
        <v>1318</v>
      </c>
    </row>
    <row r="1041" spans="1:7" ht="15" thickBot="1" x14ac:dyDescent="0.4">
      <c r="A1041" s="98">
        <v>2005224854</v>
      </c>
      <c r="B1041" s="101" t="s">
        <v>1697</v>
      </c>
      <c r="C1041" s="98" t="s">
        <v>546</v>
      </c>
      <c r="D1041" s="98" t="s">
        <v>547</v>
      </c>
      <c r="E1041" s="98" t="s">
        <v>912</v>
      </c>
      <c r="F1041" s="98" t="s">
        <v>1317</v>
      </c>
      <c r="G1041" s="98" t="s">
        <v>1318</v>
      </c>
    </row>
    <row r="1042" spans="1:7" ht="15" thickBot="1" x14ac:dyDescent="0.4">
      <c r="A1042" s="98">
        <v>2008224854</v>
      </c>
      <c r="B1042" s="101" t="s">
        <v>1697</v>
      </c>
      <c r="C1042" s="98" t="s">
        <v>546</v>
      </c>
      <c r="D1042" s="98" t="s">
        <v>547</v>
      </c>
      <c r="E1042" s="98" t="s">
        <v>915</v>
      </c>
      <c r="F1042" s="98" t="s">
        <v>1323</v>
      </c>
      <c r="G1042" s="98" t="s">
        <v>1319</v>
      </c>
    </row>
    <row r="1043" spans="1:7" ht="15" thickBot="1" x14ac:dyDescent="0.4">
      <c r="A1043" s="98">
        <v>2005220325</v>
      </c>
      <c r="B1043" s="101" t="s">
        <v>1698</v>
      </c>
      <c r="C1043" s="98" t="s">
        <v>567</v>
      </c>
      <c r="D1043" s="98" t="s">
        <v>547</v>
      </c>
      <c r="E1043" s="98" t="s">
        <v>1395</v>
      </c>
      <c r="F1043" s="98" t="s">
        <v>1317</v>
      </c>
      <c r="G1043" s="98" t="s">
        <v>1318</v>
      </c>
    </row>
    <row r="1044" spans="1:7" ht="15" thickBot="1" x14ac:dyDescent="0.4">
      <c r="A1044" s="98">
        <v>2005221179</v>
      </c>
      <c r="B1044" s="101" t="s">
        <v>1699</v>
      </c>
      <c r="C1044" s="98" t="s">
        <v>567</v>
      </c>
      <c r="D1044" s="98" t="s">
        <v>547</v>
      </c>
      <c r="E1044" s="98" t="s">
        <v>912</v>
      </c>
      <c r="F1044" s="98" t="s">
        <v>1317</v>
      </c>
      <c r="G1044" s="98" t="s">
        <v>1318</v>
      </c>
    </row>
    <row r="1045" spans="1:7" ht="15" thickBot="1" x14ac:dyDescent="0.4">
      <c r="A1045" s="98">
        <v>2005221179</v>
      </c>
      <c r="B1045" s="101" t="s">
        <v>1699</v>
      </c>
      <c r="C1045" s="98" t="s">
        <v>567</v>
      </c>
      <c r="D1045" s="98" t="s">
        <v>547</v>
      </c>
      <c r="E1045" s="98" t="s">
        <v>913</v>
      </c>
      <c r="F1045" s="98" t="s">
        <v>1317</v>
      </c>
      <c r="G1045" s="98" t="s">
        <v>1318</v>
      </c>
    </row>
    <row r="1046" spans="1:7" ht="15" thickBot="1" x14ac:dyDescent="0.4">
      <c r="A1046" s="98">
        <v>2005224504</v>
      </c>
      <c r="B1046" s="101" t="s">
        <v>1700</v>
      </c>
      <c r="C1046" s="98" t="s">
        <v>567</v>
      </c>
      <c r="D1046" s="98" t="s">
        <v>547</v>
      </c>
      <c r="E1046" s="98" t="s">
        <v>914</v>
      </c>
      <c r="F1046" s="98" t="s">
        <v>1317</v>
      </c>
      <c r="G1046" s="98" t="s">
        <v>1318</v>
      </c>
    </row>
    <row r="1047" spans="1:7" ht="15" thickBot="1" x14ac:dyDescent="0.4">
      <c r="A1047" s="98">
        <v>2005224504</v>
      </c>
      <c r="B1047" s="101" t="s">
        <v>1700</v>
      </c>
      <c r="C1047" s="98" t="s">
        <v>567</v>
      </c>
      <c r="D1047" s="98" t="s">
        <v>547</v>
      </c>
      <c r="E1047" s="98" t="s">
        <v>912</v>
      </c>
      <c r="F1047" s="98" t="s">
        <v>1317</v>
      </c>
      <c r="G1047" s="98" t="s">
        <v>1318</v>
      </c>
    </row>
    <row r="1048" spans="1:7" ht="15" thickBot="1" x14ac:dyDescent="0.4">
      <c r="A1048" s="98">
        <v>2005224504</v>
      </c>
      <c r="B1048" s="101" t="s">
        <v>1700</v>
      </c>
      <c r="C1048" s="98" t="s">
        <v>567</v>
      </c>
      <c r="D1048" s="98" t="s">
        <v>547</v>
      </c>
      <c r="E1048" s="98" t="s">
        <v>915</v>
      </c>
      <c r="F1048" s="98" t="s">
        <v>1323</v>
      </c>
      <c r="G1048" s="98" t="s">
        <v>1319</v>
      </c>
    </row>
    <row r="1049" spans="1:7" ht="15" thickBot="1" x14ac:dyDescent="0.4">
      <c r="A1049" s="98">
        <v>2005223728</v>
      </c>
      <c r="B1049" s="101" t="s">
        <v>1701</v>
      </c>
      <c r="C1049" s="98" t="s">
        <v>567</v>
      </c>
      <c r="D1049" s="98" t="s">
        <v>547</v>
      </c>
      <c r="E1049" s="98" t="s">
        <v>1395</v>
      </c>
      <c r="F1049" s="98" t="s">
        <v>1317</v>
      </c>
      <c r="G1049" s="98" t="s">
        <v>1318</v>
      </c>
    </row>
    <row r="1050" spans="1:7" ht="15" thickBot="1" x14ac:dyDescent="0.4">
      <c r="A1050" s="98">
        <v>2005223728</v>
      </c>
      <c r="B1050" s="101" t="s">
        <v>1701</v>
      </c>
      <c r="C1050" s="98" t="s">
        <v>567</v>
      </c>
      <c r="D1050" s="98" t="s">
        <v>547</v>
      </c>
      <c r="E1050" s="98" t="s">
        <v>912</v>
      </c>
      <c r="F1050" s="98" t="s">
        <v>1317</v>
      </c>
      <c r="G1050" s="98" t="s">
        <v>1318</v>
      </c>
    </row>
    <row r="1051" spans="1:7" ht="15" thickBot="1" x14ac:dyDescent="0.4">
      <c r="A1051" s="98">
        <v>2005223728</v>
      </c>
      <c r="B1051" s="101" t="s">
        <v>1701</v>
      </c>
      <c r="C1051" s="98" t="s">
        <v>567</v>
      </c>
      <c r="D1051" s="98" t="s">
        <v>547</v>
      </c>
      <c r="E1051" s="98" t="s">
        <v>911</v>
      </c>
      <c r="F1051" s="98" t="s">
        <v>1317</v>
      </c>
      <c r="G1051" s="98" t="s">
        <v>1318</v>
      </c>
    </row>
    <row r="1052" spans="1:7" ht="15" thickBot="1" x14ac:dyDescent="0.4">
      <c r="A1052" s="98">
        <v>2005221124</v>
      </c>
      <c r="B1052" s="101" t="s">
        <v>2060</v>
      </c>
      <c r="C1052" s="98" t="s">
        <v>567</v>
      </c>
      <c r="D1052" s="98" t="s">
        <v>547</v>
      </c>
      <c r="E1052" s="98" t="s">
        <v>911</v>
      </c>
      <c r="F1052" s="98" t="s">
        <v>1317</v>
      </c>
      <c r="G1052" s="98" t="s">
        <v>1318</v>
      </c>
    </row>
    <row r="1053" spans="1:7" ht="15" thickBot="1" x14ac:dyDescent="0.4">
      <c r="A1053" s="98">
        <v>2005221124</v>
      </c>
      <c r="B1053" s="101" t="s">
        <v>2060</v>
      </c>
      <c r="C1053" s="98" t="s">
        <v>567</v>
      </c>
      <c r="D1053" s="98" t="s">
        <v>547</v>
      </c>
      <c r="E1053" s="98" t="s">
        <v>911</v>
      </c>
      <c r="F1053" s="98" t="s">
        <v>1317</v>
      </c>
      <c r="G1053" s="98" t="s">
        <v>1318</v>
      </c>
    </row>
    <row r="1054" spans="1:7" ht="15" thickBot="1" x14ac:dyDescent="0.4">
      <c r="A1054" s="98">
        <v>2005221124</v>
      </c>
      <c r="B1054" s="101" t="s">
        <v>2060</v>
      </c>
      <c r="C1054" s="98" t="s">
        <v>567</v>
      </c>
      <c r="D1054" s="98" t="s">
        <v>547</v>
      </c>
      <c r="E1054" s="98" t="s">
        <v>912</v>
      </c>
      <c r="F1054" s="98" t="s">
        <v>1317</v>
      </c>
      <c r="G1054" s="98" t="s">
        <v>1318</v>
      </c>
    </row>
    <row r="1055" spans="1:7" ht="15" thickBot="1" x14ac:dyDescent="0.4">
      <c r="A1055" s="98">
        <v>2005224400</v>
      </c>
      <c r="B1055" s="101" t="s">
        <v>1702</v>
      </c>
      <c r="C1055" s="98" t="s">
        <v>546</v>
      </c>
      <c r="D1055" s="98" t="s">
        <v>547</v>
      </c>
      <c r="E1055" s="98" t="s">
        <v>911</v>
      </c>
      <c r="F1055" s="98" t="s">
        <v>1317</v>
      </c>
      <c r="G1055" s="98" t="s">
        <v>1318</v>
      </c>
    </row>
    <row r="1056" spans="1:7" ht="15" thickBot="1" x14ac:dyDescent="0.4">
      <c r="A1056" s="98">
        <v>2005224400</v>
      </c>
      <c r="B1056" s="101" t="s">
        <v>1703</v>
      </c>
      <c r="C1056" s="98" t="s">
        <v>546</v>
      </c>
      <c r="D1056" s="98" t="s">
        <v>547</v>
      </c>
      <c r="E1056" s="98" t="s">
        <v>912</v>
      </c>
      <c r="F1056" s="98" t="s">
        <v>1317</v>
      </c>
      <c r="G1056" s="98" t="s">
        <v>1318</v>
      </c>
    </row>
    <row r="1057" spans="1:7" ht="15" thickBot="1" x14ac:dyDescent="0.4">
      <c r="A1057" s="98">
        <v>2005224400</v>
      </c>
      <c r="B1057" s="101" t="s">
        <v>1702</v>
      </c>
      <c r="C1057" s="98" t="s">
        <v>546</v>
      </c>
      <c r="D1057" s="98" t="s">
        <v>547</v>
      </c>
      <c r="E1057" s="98" t="s">
        <v>912</v>
      </c>
      <c r="F1057" s="98" t="s">
        <v>1317</v>
      </c>
      <c r="G1057" s="98" t="s">
        <v>1318</v>
      </c>
    </row>
    <row r="1058" spans="1:7" ht="15" thickBot="1" x14ac:dyDescent="0.4">
      <c r="A1058" s="98">
        <v>2005224400</v>
      </c>
      <c r="B1058" s="101" t="s">
        <v>1702</v>
      </c>
      <c r="C1058" s="98" t="s">
        <v>546</v>
      </c>
      <c r="D1058" s="98" t="s">
        <v>547</v>
      </c>
      <c r="E1058" s="98" t="s">
        <v>1342</v>
      </c>
      <c r="F1058" s="98" t="s">
        <v>1317</v>
      </c>
      <c r="G1058" s="98" t="s">
        <v>1318</v>
      </c>
    </row>
    <row r="1059" spans="1:7" ht="15" thickBot="1" x14ac:dyDescent="0.4">
      <c r="A1059" s="98">
        <v>2041225179</v>
      </c>
      <c r="B1059" s="101" t="s">
        <v>2047</v>
      </c>
      <c r="C1059" s="98" t="s">
        <v>148</v>
      </c>
      <c r="D1059" s="98" t="s">
        <v>547</v>
      </c>
      <c r="E1059" s="98" t="s">
        <v>1321</v>
      </c>
      <c r="F1059" s="98" t="s">
        <v>1317</v>
      </c>
      <c r="G1059" s="98" t="s">
        <v>1318</v>
      </c>
    </row>
    <row r="1060" spans="1:7" ht="15" thickBot="1" x14ac:dyDescent="0.4">
      <c r="A1060" s="98">
        <v>2005220782</v>
      </c>
      <c r="B1060" s="101" t="s">
        <v>1704</v>
      </c>
      <c r="C1060" s="98" t="s">
        <v>567</v>
      </c>
      <c r="D1060" s="98" t="s">
        <v>547</v>
      </c>
      <c r="E1060" s="98" t="s">
        <v>911</v>
      </c>
      <c r="F1060" s="98" t="s">
        <v>1323</v>
      </c>
      <c r="G1060" s="98" t="s">
        <v>1318</v>
      </c>
    </row>
    <row r="1061" spans="1:7" ht="15" thickBot="1" x14ac:dyDescent="0.4">
      <c r="A1061" s="98">
        <v>2005220782</v>
      </c>
      <c r="B1061" s="101" t="s">
        <v>1704</v>
      </c>
      <c r="C1061" s="98" t="s">
        <v>567</v>
      </c>
      <c r="D1061" s="98" t="s">
        <v>547</v>
      </c>
      <c r="E1061" s="98" t="s">
        <v>912</v>
      </c>
      <c r="F1061" s="98" t="s">
        <v>1317</v>
      </c>
      <c r="G1061" s="98" t="s">
        <v>1318</v>
      </c>
    </row>
    <row r="1062" spans="1:7" ht="15" thickBot="1" x14ac:dyDescent="0.4">
      <c r="A1062" s="98">
        <v>2005220782</v>
      </c>
      <c r="B1062" s="101" t="s">
        <v>1704</v>
      </c>
      <c r="C1062" s="98" t="s">
        <v>567</v>
      </c>
      <c r="D1062" s="98" t="s">
        <v>547</v>
      </c>
      <c r="E1062" s="98" t="s">
        <v>1342</v>
      </c>
      <c r="F1062" s="98" t="s">
        <v>1317</v>
      </c>
      <c r="G1062" s="98" t="s">
        <v>1318</v>
      </c>
    </row>
    <row r="1063" spans="1:7" ht="15" thickBot="1" x14ac:dyDescent="0.4">
      <c r="A1063" s="98">
        <v>2005222211</v>
      </c>
      <c r="B1063" s="101" t="s">
        <v>1768</v>
      </c>
      <c r="C1063" s="98" t="s">
        <v>337</v>
      </c>
      <c r="D1063" s="98" t="s">
        <v>547</v>
      </c>
      <c r="E1063" s="98" t="s">
        <v>911</v>
      </c>
      <c r="F1063" s="98" t="s">
        <v>1317</v>
      </c>
      <c r="G1063" s="98" t="s">
        <v>1318</v>
      </c>
    </row>
    <row r="1064" spans="1:7" ht="15" thickBot="1" x14ac:dyDescent="0.4">
      <c r="A1064" s="98">
        <v>2005222908</v>
      </c>
      <c r="B1064" s="101" t="s">
        <v>2043</v>
      </c>
      <c r="C1064" s="98" t="s">
        <v>567</v>
      </c>
      <c r="D1064" s="98" t="s">
        <v>547</v>
      </c>
      <c r="E1064" s="98" t="s">
        <v>913</v>
      </c>
      <c r="F1064" s="98" t="s">
        <v>1317</v>
      </c>
      <c r="G1064" s="98" t="s">
        <v>1318</v>
      </c>
    </row>
    <row r="1065" spans="1:7" ht="15" thickBot="1" x14ac:dyDescent="0.4">
      <c r="A1065" s="98">
        <v>2005222908</v>
      </c>
      <c r="B1065" s="101" t="s">
        <v>2043</v>
      </c>
      <c r="C1065" s="98" t="s">
        <v>567</v>
      </c>
      <c r="D1065" s="98" t="s">
        <v>547</v>
      </c>
      <c r="E1065" s="98" t="s">
        <v>913</v>
      </c>
      <c r="F1065" s="98" t="s">
        <v>1317</v>
      </c>
      <c r="G1065" s="98" t="s">
        <v>1318</v>
      </c>
    </row>
    <row r="1066" spans="1:7" ht="15" thickBot="1" x14ac:dyDescent="0.4">
      <c r="A1066" s="98">
        <v>2005222908</v>
      </c>
      <c r="B1066" s="101" t="s">
        <v>2043</v>
      </c>
      <c r="C1066" s="98" t="s">
        <v>567</v>
      </c>
      <c r="D1066" s="98" t="s">
        <v>547</v>
      </c>
      <c r="E1066" s="98" t="s">
        <v>912</v>
      </c>
      <c r="F1066" s="98" t="s">
        <v>1317</v>
      </c>
      <c r="G1066" s="98" t="s">
        <v>1318</v>
      </c>
    </row>
    <row r="1067" spans="1:7" ht="15" thickBot="1" x14ac:dyDescent="0.4">
      <c r="A1067" s="98">
        <v>2005222908</v>
      </c>
      <c r="B1067" s="101" t="s">
        <v>2043</v>
      </c>
      <c r="C1067" s="98" t="s">
        <v>567</v>
      </c>
      <c r="D1067" s="98" t="s">
        <v>547</v>
      </c>
      <c r="E1067" s="98" t="s">
        <v>911</v>
      </c>
      <c r="F1067" s="98" t="s">
        <v>1317</v>
      </c>
      <c r="G1067" s="98" t="s">
        <v>1318</v>
      </c>
    </row>
    <row r="1068" spans="1:7" ht="15" thickBot="1" x14ac:dyDescent="0.4">
      <c r="A1068" s="98">
        <v>2005220379</v>
      </c>
      <c r="B1068" s="101" t="s">
        <v>1705</v>
      </c>
      <c r="C1068" s="98" t="s">
        <v>567</v>
      </c>
      <c r="D1068" s="98" t="s">
        <v>547</v>
      </c>
      <c r="E1068" s="98" t="s">
        <v>911</v>
      </c>
      <c r="F1068" s="98" t="s">
        <v>1317</v>
      </c>
      <c r="G1068" s="98" t="s">
        <v>1318</v>
      </c>
    </row>
    <row r="1069" spans="1:7" ht="15" thickBot="1" x14ac:dyDescent="0.4">
      <c r="A1069" s="98">
        <v>2005220379</v>
      </c>
      <c r="B1069" s="101" t="s">
        <v>1705</v>
      </c>
      <c r="C1069" s="98" t="s">
        <v>567</v>
      </c>
      <c r="D1069" s="98" t="s">
        <v>547</v>
      </c>
      <c r="E1069" s="98" t="s">
        <v>912</v>
      </c>
      <c r="F1069" s="98" t="s">
        <v>1317</v>
      </c>
      <c r="G1069" s="98" t="s">
        <v>1318</v>
      </c>
    </row>
    <row r="1070" spans="1:7" ht="15" thickBot="1" x14ac:dyDescent="0.4">
      <c r="A1070" s="98">
        <v>2005220379</v>
      </c>
      <c r="B1070" s="101" t="s">
        <v>1705</v>
      </c>
      <c r="C1070" s="98" t="s">
        <v>567</v>
      </c>
      <c r="D1070" s="98" t="s">
        <v>547</v>
      </c>
      <c r="E1070" s="98" t="s">
        <v>915</v>
      </c>
      <c r="F1070" s="98" t="s">
        <v>1317</v>
      </c>
      <c r="G1070" s="98" t="s">
        <v>1319</v>
      </c>
    </row>
    <row r="1071" spans="1:7" ht="15" thickBot="1" x14ac:dyDescent="0.4">
      <c r="A1071" s="98">
        <v>2005226098</v>
      </c>
      <c r="B1071" s="101" t="s">
        <v>1706</v>
      </c>
      <c r="C1071" s="98" t="s">
        <v>546</v>
      </c>
      <c r="D1071" s="98" t="s">
        <v>547</v>
      </c>
      <c r="E1071" s="98" t="s">
        <v>912</v>
      </c>
      <c r="F1071" s="98" t="s">
        <v>1317</v>
      </c>
      <c r="G1071" s="98" t="s">
        <v>1318</v>
      </c>
    </row>
    <row r="1072" spans="1:7" ht="15" thickBot="1" x14ac:dyDescent="0.4">
      <c r="A1072" s="98">
        <v>2005226098</v>
      </c>
      <c r="B1072" s="101" t="s">
        <v>1706</v>
      </c>
      <c r="C1072" s="98" t="s">
        <v>546</v>
      </c>
      <c r="D1072" s="98" t="s">
        <v>547</v>
      </c>
      <c r="E1072" s="98" t="s">
        <v>914</v>
      </c>
      <c r="F1072" s="98" t="s">
        <v>1317</v>
      </c>
      <c r="G1072" s="98" t="s">
        <v>1318</v>
      </c>
    </row>
    <row r="1073" spans="1:7" ht="15" thickBot="1" x14ac:dyDescent="0.4">
      <c r="A1073" s="98">
        <v>2005226098</v>
      </c>
      <c r="B1073" s="101" t="s">
        <v>1706</v>
      </c>
      <c r="C1073" s="98" t="s">
        <v>546</v>
      </c>
      <c r="D1073" s="98" t="s">
        <v>547</v>
      </c>
      <c r="E1073" s="98" t="s">
        <v>915</v>
      </c>
      <c r="F1073" s="98" t="s">
        <v>1317</v>
      </c>
      <c r="G1073" s="98" t="s">
        <v>1319</v>
      </c>
    </row>
    <row r="1074" spans="1:7" ht="15" thickBot="1" x14ac:dyDescent="0.4">
      <c r="A1074" s="98">
        <v>2005224276</v>
      </c>
      <c r="B1074" s="101" t="s">
        <v>1707</v>
      </c>
      <c r="C1074" s="98" t="s">
        <v>567</v>
      </c>
      <c r="D1074" s="98" t="s">
        <v>547</v>
      </c>
      <c r="E1074" s="98" t="s">
        <v>911</v>
      </c>
      <c r="F1074" s="98" t="s">
        <v>1317</v>
      </c>
      <c r="G1074" s="98" t="s">
        <v>1318</v>
      </c>
    </row>
    <row r="1075" spans="1:7" ht="15" thickBot="1" x14ac:dyDescent="0.4">
      <c r="A1075" s="98">
        <v>2005223329</v>
      </c>
      <c r="B1075" s="101" t="s">
        <v>1708</v>
      </c>
      <c r="C1075" s="98" t="s">
        <v>567</v>
      </c>
      <c r="D1075" s="98" t="s">
        <v>547</v>
      </c>
      <c r="E1075" s="98" t="s">
        <v>912</v>
      </c>
      <c r="F1075" s="98" t="s">
        <v>1317</v>
      </c>
      <c r="G1075" s="98" t="s">
        <v>1318</v>
      </c>
    </row>
    <row r="1076" spans="1:7" ht="15" thickBot="1" x14ac:dyDescent="0.4">
      <c r="A1076" s="98">
        <v>2005225584</v>
      </c>
      <c r="B1076" s="101" t="s">
        <v>1709</v>
      </c>
      <c r="C1076" s="98" t="s">
        <v>567</v>
      </c>
      <c r="D1076" s="98" t="s">
        <v>547</v>
      </c>
      <c r="E1076" s="98" t="s">
        <v>911</v>
      </c>
      <c r="F1076" s="98" t="s">
        <v>1323</v>
      </c>
      <c r="G1076" s="98" t="s">
        <v>1318</v>
      </c>
    </row>
    <row r="1077" spans="1:7" ht="15" thickBot="1" x14ac:dyDescent="0.4">
      <c r="A1077" s="98">
        <v>2005225584</v>
      </c>
      <c r="B1077" s="101" t="s">
        <v>1709</v>
      </c>
      <c r="C1077" s="98" t="s">
        <v>567</v>
      </c>
      <c r="D1077" s="98" t="s">
        <v>547</v>
      </c>
      <c r="E1077" s="98" t="s">
        <v>914</v>
      </c>
      <c r="F1077" s="98" t="s">
        <v>1317</v>
      </c>
      <c r="G1077" s="98" t="s">
        <v>1318</v>
      </c>
    </row>
    <row r="1078" spans="1:7" ht="15" thickBot="1" x14ac:dyDescent="0.4">
      <c r="A1078" s="98">
        <v>2005225584</v>
      </c>
      <c r="B1078" s="101" t="s">
        <v>1709</v>
      </c>
      <c r="C1078" s="98" t="s">
        <v>567</v>
      </c>
      <c r="D1078" s="98" t="s">
        <v>547</v>
      </c>
      <c r="E1078" s="98" t="s">
        <v>1342</v>
      </c>
      <c r="F1078" s="98" t="s">
        <v>1317</v>
      </c>
      <c r="G1078" s="98" t="s">
        <v>1318</v>
      </c>
    </row>
    <row r="1079" spans="1:7" ht="15" thickBot="1" x14ac:dyDescent="0.4">
      <c r="A1079" s="98">
        <v>2005220142</v>
      </c>
      <c r="B1079" s="101" t="s">
        <v>1710</v>
      </c>
      <c r="C1079" s="98" t="s">
        <v>567</v>
      </c>
      <c r="D1079" s="98" t="s">
        <v>547</v>
      </c>
      <c r="E1079" s="98" t="s">
        <v>913</v>
      </c>
      <c r="F1079" s="98" t="s">
        <v>1317</v>
      </c>
      <c r="G1079" s="98" t="s">
        <v>1318</v>
      </c>
    </row>
    <row r="1080" spans="1:7" ht="15" thickBot="1" x14ac:dyDescent="0.4">
      <c r="A1080" s="98">
        <v>2005220142</v>
      </c>
      <c r="B1080" s="101" t="s">
        <v>1710</v>
      </c>
      <c r="C1080" s="98" t="s">
        <v>567</v>
      </c>
      <c r="D1080" s="98" t="s">
        <v>547</v>
      </c>
      <c r="E1080" s="98" t="s">
        <v>914</v>
      </c>
      <c r="F1080" s="98" t="s">
        <v>1317</v>
      </c>
      <c r="G1080" s="98" t="s">
        <v>1318</v>
      </c>
    </row>
    <row r="1081" spans="1:7" ht="15" thickBot="1" x14ac:dyDescent="0.4">
      <c r="A1081" s="98">
        <v>2005220142</v>
      </c>
      <c r="B1081" s="101" t="s">
        <v>1710</v>
      </c>
      <c r="C1081" s="98" t="s">
        <v>567</v>
      </c>
      <c r="D1081" s="98" t="s">
        <v>547</v>
      </c>
      <c r="E1081" s="98" t="s">
        <v>1342</v>
      </c>
      <c r="F1081" s="98" t="s">
        <v>1317</v>
      </c>
      <c r="G1081" s="98" t="s">
        <v>1318</v>
      </c>
    </row>
    <row r="1082" spans="1:7" ht="15" thickBot="1" x14ac:dyDescent="0.4">
      <c r="A1082" s="98">
        <v>2005221865</v>
      </c>
      <c r="B1082" s="101" t="s">
        <v>1711</v>
      </c>
      <c r="C1082" s="98" t="s">
        <v>567</v>
      </c>
      <c r="D1082" s="98" t="s">
        <v>547</v>
      </c>
      <c r="E1082" s="98" t="s">
        <v>914</v>
      </c>
      <c r="F1082" s="98" t="s">
        <v>1317</v>
      </c>
      <c r="G1082" s="98" t="s">
        <v>1318</v>
      </c>
    </row>
    <row r="1083" spans="1:7" ht="15" thickBot="1" x14ac:dyDescent="0.4">
      <c r="A1083" s="98">
        <v>2005221865</v>
      </c>
      <c r="B1083" s="101" t="s">
        <v>1711</v>
      </c>
      <c r="C1083" s="98" t="s">
        <v>567</v>
      </c>
      <c r="D1083" s="98" t="s">
        <v>547</v>
      </c>
      <c r="E1083" s="98" t="s">
        <v>912</v>
      </c>
      <c r="F1083" s="98" t="s">
        <v>1317</v>
      </c>
      <c r="G1083" s="98" t="s">
        <v>1318</v>
      </c>
    </row>
    <row r="1084" spans="1:7" ht="15" thickBot="1" x14ac:dyDescent="0.4">
      <c r="A1084" s="98">
        <v>2005221865</v>
      </c>
      <c r="B1084" s="101" t="s">
        <v>1711</v>
      </c>
      <c r="C1084" s="98" t="s">
        <v>567</v>
      </c>
      <c r="D1084" s="98" t="s">
        <v>547</v>
      </c>
      <c r="E1084" s="98" t="s">
        <v>915</v>
      </c>
      <c r="F1084" s="98" t="s">
        <v>1323</v>
      </c>
      <c r="G1084" s="98" t="s">
        <v>1319</v>
      </c>
    </row>
    <row r="1085" spans="1:7" ht="15" thickBot="1" x14ac:dyDescent="0.4">
      <c r="A1085" s="98">
        <v>2005225564</v>
      </c>
      <c r="B1085" s="101" t="s">
        <v>1712</v>
      </c>
      <c r="C1085" s="98" t="s">
        <v>546</v>
      </c>
      <c r="D1085" s="98" t="s">
        <v>547</v>
      </c>
      <c r="E1085" s="98" t="s">
        <v>915</v>
      </c>
      <c r="F1085" s="98" t="s">
        <v>1317</v>
      </c>
      <c r="G1085" s="98" t="s">
        <v>1319</v>
      </c>
    </row>
    <row r="1086" spans="1:7" ht="15" thickBot="1" x14ac:dyDescent="0.4">
      <c r="A1086" s="98">
        <v>2005225564</v>
      </c>
      <c r="B1086" s="101" t="s">
        <v>1712</v>
      </c>
      <c r="C1086" s="98" t="s">
        <v>546</v>
      </c>
      <c r="D1086" s="98" t="s">
        <v>547</v>
      </c>
      <c r="E1086" s="98" t="s">
        <v>911</v>
      </c>
      <c r="F1086" s="98" t="s">
        <v>1317</v>
      </c>
      <c r="G1086" s="98" t="s">
        <v>1318</v>
      </c>
    </row>
    <row r="1087" spans="1:7" ht="15" thickBot="1" x14ac:dyDescent="0.4">
      <c r="A1087" s="98">
        <v>2005225564</v>
      </c>
      <c r="B1087" s="101" t="s">
        <v>1712</v>
      </c>
      <c r="C1087" s="98" t="s">
        <v>546</v>
      </c>
      <c r="D1087" s="98" t="s">
        <v>547</v>
      </c>
      <c r="E1087" s="98" t="s">
        <v>912</v>
      </c>
      <c r="F1087" s="98" t="s">
        <v>1317</v>
      </c>
      <c r="G1087" s="98" t="s">
        <v>1318</v>
      </c>
    </row>
    <row r="1088" spans="1:7" ht="15" thickBot="1" x14ac:dyDescent="0.4">
      <c r="A1088" s="98">
        <v>2005224761</v>
      </c>
      <c r="B1088" s="101" t="s">
        <v>1713</v>
      </c>
      <c r="C1088" s="98" t="s">
        <v>546</v>
      </c>
      <c r="D1088" s="98" t="s">
        <v>547</v>
      </c>
      <c r="E1088" s="98" t="s">
        <v>911</v>
      </c>
      <c r="F1088" s="98" t="s">
        <v>1317</v>
      </c>
      <c r="G1088" s="98" t="s">
        <v>1318</v>
      </c>
    </row>
    <row r="1089" spans="1:7" ht="15" thickBot="1" x14ac:dyDescent="0.4">
      <c r="A1089" s="98">
        <v>2005224761</v>
      </c>
      <c r="B1089" s="101" t="s">
        <v>1713</v>
      </c>
      <c r="C1089" s="98" t="s">
        <v>546</v>
      </c>
      <c r="D1089" s="98" t="s">
        <v>547</v>
      </c>
      <c r="E1089" s="98" t="s">
        <v>1342</v>
      </c>
      <c r="F1089" s="98" t="s">
        <v>1317</v>
      </c>
      <c r="G1089" s="98" t="s">
        <v>1318</v>
      </c>
    </row>
    <row r="1090" spans="1:7" ht="15" thickBot="1" x14ac:dyDescent="0.4">
      <c r="A1090" s="98">
        <v>2005224761</v>
      </c>
      <c r="B1090" s="101" t="s">
        <v>1713</v>
      </c>
      <c r="C1090" s="98" t="s">
        <v>546</v>
      </c>
      <c r="D1090" s="98" t="s">
        <v>547</v>
      </c>
      <c r="E1090" s="98" t="s">
        <v>915</v>
      </c>
      <c r="F1090" s="98" t="s">
        <v>1317</v>
      </c>
      <c r="G1090" s="98" t="s">
        <v>1319</v>
      </c>
    </row>
    <row r="1091" spans="1:7" ht="15" thickBot="1" x14ac:dyDescent="0.4">
      <c r="A1091" s="98">
        <v>2005225823</v>
      </c>
      <c r="B1091" s="101" t="s">
        <v>1714</v>
      </c>
      <c r="C1091" s="98" t="s">
        <v>546</v>
      </c>
      <c r="D1091" s="98" t="s">
        <v>547</v>
      </c>
      <c r="E1091" s="98" t="s">
        <v>1406</v>
      </c>
      <c r="F1091" s="98" t="s">
        <v>1317</v>
      </c>
      <c r="G1091" s="98" t="s">
        <v>1318</v>
      </c>
    </row>
    <row r="1092" spans="1:7" ht="15" thickBot="1" x14ac:dyDescent="0.4">
      <c r="A1092" s="98">
        <v>2005225823</v>
      </c>
      <c r="B1092" s="101" t="s">
        <v>1714</v>
      </c>
      <c r="C1092" s="98" t="s">
        <v>546</v>
      </c>
      <c r="D1092" s="98" t="s">
        <v>547</v>
      </c>
      <c r="E1092" s="98" t="s">
        <v>1395</v>
      </c>
      <c r="F1092" s="98" t="s">
        <v>1317</v>
      </c>
      <c r="G1092" s="98" t="s">
        <v>1318</v>
      </c>
    </row>
    <row r="1093" spans="1:7" ht="15" thickBot="1" x14ac:dyDescent="0.4">
      <c r="A1093" s="98">
        <v>2005225854</v>
      </c>
      <c r="B1093" s="101" t="s">
        <v>1715</v>
      </c>
      <c r="C1093" s="98" t="s">
        <v>567</v>
      </c>
      <c r="D1093" s="98" t="s">
        <v>547</v>
      </c>
      <c r="E1093" s="98" t="s">
        <v>912</v>
      </c>
      <c r="F1093" s="98" t="s">
        <v>1317</v>
      </c>
      <c r="G1093" s="98" t="s">
        <v>1318</v>
      </c>
    </row>
    <row r="1094" spans="1:7" ht="15" thickBot="1" x14ac:dyDescent="0.4">
      <c r="A1094" s="98">
        <v>2005225854</v>
      </c>
      <c r="B1094" s="101" t="s">
        <v>1715</v>
      </c>
      <c r="C1094" s="98" t="s">
        <v>567</v>
      </c>
      <c r="D1094" s="98" t="s">
        <v>547</v>
      </c>
      <c r="E1094" s="98" t="s">
        <v>914</v>
      </c>
      <c r="F1094" s="98" t="s">
        <v>1317</v>
      </c>
      <c r="G1094" s="98" t="s">
        <v>1318</v>
      </c>
    </row>
    <row r="1095" spans="1:7" ht="15" thickBot="1" x14ac:dyDescent="0.4">
      <c r="A1095" s="98">
        <v>2005225854</v>
      </c>
      <c r="B1095" s="101" t="s">
        <v>1715</v>
      </c>
      <c r="C1095" s="98" t="s">
        <v>567</v>
      </c>
      <c r="D1095" s="98" t="s">
        <v>547</v>
      </c>
      <c r="E1095" s="98" t="s">
        <v>915</v>
      </c>
      <c r="F1095" s="98" t="s">
        <v>1323</v>
      </c>
      <c r="G1095" s="98" t="s">
        <v>1319</v>
      </c>
    </row>
    <row r="1096" spans="1:7" ht="15" thickBot="1" x14ac:dyDescent="0.4">
      <c r="A1096" s="98">
        <v>2041225754</v>
      </c>
      <c r="B1096" s="101" t="s">
        <v>1584</v>
      </c>
      <c r="C1096" s="98" t="s">
        <v>148</v>
      </c>
      <c r="D1096" s="98" t="s">
        <v>547</v>
      </c>
      <c r="E1096" s="98" t="s">
        <v>1321</v>
      </c>
      <c r="F1096" s="98" t="s">
        <v>1317</v>
      </c>
      <c r="G1096" s="98" t="s">
        <v>1318</v>
      </c>
    </row>
    <row r="1097" spans="1:7" ht="15" thickBot="1" x14ac:dyDescent="0.4">
      <c r="A1097" s="98">
        <v>2005225509</v>
      </c>
      <c r="B1097" s="101" t="s">
        <v>1587</v>
      </c>
      <c r="C1097" s="98" t="s">
        <v>567</v>
      </c>
      <c r="D1097" s="98" t="s">
        <v>547</v>
      </c>
      <c r="E1097" s="98" t="s">
        <v>912</v>
      </c>
      <c r="F1097" s="98" t="s">
        <v>1317</v>
      </c>
      <c r="G1097" s="98" t="s">
        <v>1318</v>
      </c>
    </row>
    <row r="1098" spans="1:7" ht="15" thickBot="1" x14ac:dyDescent="0.4">
      <c r="A1098" s="98">
        <v>2005225509</v>
      </c>
      <c r="B1098" s="101" t="s">
        <v>1587</v>
      </c>
      <c r="C1098" s="98" t="s">
        <v>567</v>
      </c>
      <c r="D1098" s="98" t="s">
        <v>547</v>
      </c>
      <c r="E1098" s="98" t="s">
        <v>911</v>
      </c>
      <c r="F1098" s="98" t="s">
        <v>1317</v>
      </c>
      <c r="G1098" s="98" t="s">
        <v>1318</v>
      </c>
    </row>
    <row r="1099" spans="1:7" ht="15" thickBot="1" x14ac:dyDescent="0.4">
      <c r="A1099" s="98">
        <v>2005225509</v>
      </c>
      <c r="B1099" s="101" t="s">
        <v>1587</v>
      </c>
      <c r="C1099" s="98" t="s">
        <v>567</v>
      </c>
      <c r="D1099" s="98" t="s">
        <v>547</v>
      </c>
      <c r="E1099" s="98" t="s">
        <v>915</v>
      </c>
      <c r="F1099" s="98" t="s">
        <v>1323</v>
      </c>
      <c r="G1099" s="98" t="s">
        <v>1319</v>
      </c>
    </row>
    <row r="1100" spans="1:7" ht="15" thickBot="1" x14ac:dyDescent="0.4">
      <c r="A1100" s="98">
        <v>2005225961</v>
      </c>
      <c r="B1100" s="101" t="s">
        <v>1716</v>
      </c>
      <c r="C1100" s="98" t="s">
        <v>546</v>
      </c>
      <c r="D1100" s="98" t="s">
        <v>547</v>
      </c>
      <c r="E1100" s="98" t="s">
        <v>912</v>
      </c>
      <c r="F1100" s="98" t="s">
        <v>1317</v>
      </c>
      <c r="G1100" s="98" t="s">
        <v>1318</v>
      </c>
    </row>
    <row r="1101" spans="1:7" ht="15" thickBot="1" x14ac:dyDescent="0.4">
      <c r="A1101" s="98">
        <v>2005225961</v>
      </c>
      <c r="B1101" s="101" t="s">
        <v>1716</v>
      </c>
      <c r="C1101" s="98" t="s">
        <v>546</v>
      </c>
      <c r="D1101" s="98" t="s">
        <v>547</v>
      </c>
      <c r="E1101" s="98" t="s">
        <v>911</v>
      </c>
      <c r="F1101" s="98" t="s">
        <v>1317</v>
      </c>
      <c r="G1101" s="98" t="s">
        <v>1318</v>
      </c>
    </row>
    <row r="1102" spans="1:7" ht="15" thickBot="1" x14ac:dyDescent="0.4">
      <c r="A1102" s="98">
        <v>2005225961</v>
      </c>
      <c r="B1102" s="101" t="s">
        <v>1716</v>
      </c>
      <c r="C1102" s="98" t="s">
        <v>546</v>
      </c>
      <c r="D1102" s="98" t="s">
        <v>547</v>
      </c>
      <c r="E1102" s="98" t="s">
        <v>915</v>
      </c>
      <c r="F1102" s="98" t="s">
        <v>1317</v>
      </c>
      <c r="G1102" s="98" t="s">
        <v>1319</v>
      </c>
    </row>
    <row r="1103" spans="1:7" ht="15" thickBot="1" x14ac:dyDescent="0.4">
      <c r="A1103" s="98">
        <v>2005220986</v>
      </c>
      <c r="B1103" s="101" t="s">
        <v>1717</v>
      </c>
      <c r="C1103" s="98" t="s">
        <v>567</v>
      </c>
      <c r="D1103" s="98" t="s">
        <v>547</v>
      </c>
      <c r="E1103" s="98" t="s">
        <v>911</v>
      </c>
      <c r="F1103" s="98" t="s">
        <v>1323</v>
      </c>
      <c r="G1103" s="98" t="s">
        <v>1318</v>
      </c>
    </row>
    <row r="1104" spans="1:7" ht="15" thickBot="1" x14ac:dyDescent="0.4">
      <c r="A1104" s="98">
        <v>2005220986</v>
      </c>
      <c r="B1104" s="101" t="s">
        <v>1717</v>
      </c>
      <c r="C1104" s="98" t="s">
        <v>567</v>
      </c>
      <c r="D1104" s="98" t="s">
        <v>547</v>
      </c>
      <c r="E1104" s="98" t="s">
        <v>1342</v>
      </c>
      <c r="F1104" s="98" t="s">
        <v>1317</v>
      </c>
      <c r="G1104" s="98" t="s">
        <v>1318</v>
      </c>
    </row>
    <row r="1105" spans="1:7" ht="15" thickBot="1" x14ac:dyDescent="0.4">
      <c r="A1105" s="98">
        <v>2005220986</v>
      </c>
      <c r="B1105" s="101" t="s">
        <v>1717</v>
      </c>
      <c r="C1105" s="98" t="s">
        <v>567</v>
      </c>
      <c r="D1105" s="98" t="s">
        <v>547</v>
      </c>
      <c r="E1105" s="98" t="s">
        <v>1342</v>
      </c>
      <c r="F1105" s="98" t="s">
        <v>1317</v>
      </c>
      <c r="G1105" s="98" t="s">
        <v>1318</v>
      </c>
    </row>
    <row r="1106" spans="1:7" ht="15" thickBot="1" x14ac:dyDescent="0.4">
      <c r="A1106" s="98">
        <v>2005220986</v>
      </c>
      <c r="B1106" s="101" t="s">
        <v>1717</v>
      </c>
      <c r="C1106" s="98" t="s">
        <v>567</v>
      </c>
      <c r="D1106" s="98" t="s">
        <v>547</v>
      </c>
      <c r="E1106" s="98" t="s">
        <v>913</v>
      </c>
      <c r="F1106" s="98" t="s">
        <v>1317</v>
      </c>
      <c r="G1106" s="98" t="s">
        <v>1318</v>
      </c>
    </row>
    <row r="1107" spans="1:7" ht="15" thickBot="1" x14ac:dyDescent="0.4">
      <c r="A1107" s="98">
        <v>2005221328</v>
      </c>
      <c r="B1107" s="101" t="s">
        <v>1718</v>
      </c>
      <c r="C1107" s="98" t="s">
        <v>567</v>
      </c>
      <c r="D1107" s="98" t="s">
        <v>547</v>
      </c>
      <c r="E1107" s="98" t="s">
        <v>911</v>
      </c>
      <c r="F1107" s="98" t="s">
        <v>1317</v>
      </c>
      <c r="G1107" s="98" t="s">
        <v>1318</v>
      </c>
    </row>
    <row r="1108" spans="1:7" ht="15" thickBot="1" x14ac:dyDescent="0.4">
      <c r="A1108" s="98">
        <v>2005221328</v>
      </c>
      <c r="B1108" s="101" t="s">
        <v>1718</v>
      </c>
      <c r="C1108" s="98" t="s">
        <v>567</v>
      </c>
      <c r="D1108" s="98" t="s">
        <v>547</v>
      </c>
      <c r="E1108" s="98" t="s">
        <v>912</v>
      </c>
      <c r="F1108" s="98" t="s">
        <v>1317</v>
      </c>
      <c r="G1108" s="98" t="s">
        <v>1318</v>
      </c>
    </row>
    <row r="1109" spans="1:7" ht="15" thickBot="1" x14ac:dyDescent="0.4">
      <c r="A1109" s="98">
        <v>2005221328</v>
      </c>
      <c r="B1109" s="101" t="s">
        <v>1718</v>
      </c>
      <c r="C1109" s="98" t="s">
        <v>567</v>
      </c>
      <c r="D1109" s="98" t="s">
        <v>547</v>
      </c>
      <c r="E1109" s="98" t="s">
        <v>914</v>
      </c>
      <c r="F1109" s="98" t="s">
        <v>1317</v>
      </c>
      <c r="G1109" s="98" t="s">
        <v>1318</v>
      </c>
    </row>
    <row r="1110" spans="1:7" ht="15" thickBot="1" x14ac:dyDescent="0.4">
      <c r="A1110" s="98">
        <v>2005224531</v>
      </c>
      <c r="B1110" s="101" t="s">
        <v>1719</v>
      </c>
      <c r="C1110" s="98" t="s">
        <v>567</v>
      </c>
      <c r="D1110" s="98" t="s">
        <v>547</v>
      </c>
      <c r="E1110" s="98" t="s">
        <v>1406</v>
      </c>
      <c r="F1110" s="98" t="s">
        <v>1317</v>
      </c>
      <c r="G1110" s="98" t="s">
        <v>1318</v>
      </c>
    </row>
    <row r="1111" spans="1:7" ht="15" thickBot="1" x14ac:dyDescent="0.4">
      <c r="A1111" s="98">
        <v>2005224531</v>
      </c>
      <c r="B1111" s="101" t="s">
        <v>1719</v>
      </c>
      <c r="C1111" s="98" t="s">
        <v>567</v>
      </c>
      <c r="D1111" s="98" t="s">
        <v>547</v>
      </c>
      <c r="E1111" s="98" t="s">
        <v>1395</v>
      </c>
      <c r="F1111" s="98" t="s">
        <v>1317</v>
      </c>
      <c r="G1111" s="98" t="s">
        <v>1318</v>
      </c>
    </row>
    <row r="1112" spans="1:7" ht="15" thickBot="1" x14ac:dyDescent="0.4">
      <c r="A1112" s="98">
        <v>2005224531</v>
      </c>
      <c r="B1112" s="101" t="s">
        <v>1719</v>
      </c>
      <c r="C1112" s="98" t="s">
        <v>567</v>
      </c>
      <c r="D1112" s="98" t="s">
        <v>547</v>
      </c>
      <c r="E1112" s="98" t="s">
        <v>912</v>
      </c>
      <c r="F1112" s="98" t="s">
        <v>1317</v>
      </c>
      <c r="G1112" s="98" t="s">
        <v>1318</v>
      </c>
    </row>
    <row r="1113" spans="1:7" ht="15" thickBot="1" x14ac:dyDescent="0.4">
      <c r="A1113" s="98">
        <v>2005225601</v>
      </c>
      <c r="B1113" s="101" t="s">
        <v>1720</v>
      </c>
      <c r="C1113" s="98" t="s">
        <v>567</v>
      </c>
      <c r="D1113" s="98" t="s">
        <v>547</v>
      </c>
      <c r="E1113" s="98" t="s">
        <v>1395</v>
      </c>
      <c r="F1113" s="98" t="s">
        <v>1317</v>
      </c>
      <c r="G1113" s="98" t="s">
        <v>1318</v>
      </c>
    </row>
    <row r="1114" spans="1:7" ht="15" thickBot="1" x14ac:dyDescent="0.4">
      <c r="A1114" s="98">
        <v>2005225601</v>
      </c>
      <c r="B1114" s="101" t="s">
        <v>1720</v>
      </c>
      <c r="C1114" s="98" t="s">
        <v>567</v>
      </c>
      <c r="D1114" s="98" t="s">
        <v>547</v>
      </c>
      <c r="E1114" s="98" t="s">
        <v>914</v>
      </c>
      <c r="F1114" s="98" t="s">
        <v>1317</v>
      </c>
      <c r="G1114" s="98" t="s">
        <v>1318</v>
      </c>
    </row>
    <row r="1115" spans="1:7" ht="15" thickBot="1" x14ac:dyDescent="0.4">
      <c r="A1115" s="98">
        <v>2005225601</v>
      </c>
      <c r="B1115" s="101" t="s">
        <v>1720</v>
      </c>
      <c r="C1115" s="98" t="s">
        <v>567</v>
      </c>
      <c r="D1115" s="98" t="s">
        <v>547</v>
      </c>
      <c r="E1115" s="98" t="s">
        <v>911</v>
      </c>
      <c r="F1115" s="98" t="s">
        <v>1317</v>
      </c>
      <c r="G1115" s="98" t="s">
        <v>1318</v>
      </c>
    </row>
    <row r="1116" spans="1:7" ht="15" thickBot="1" x14ac:dyDescent="0.4">
      <c r="A1116" s="98">
        <v>2005225999</v>
      </c>
      <c r="B1116" s="101" t="s">
        <v>1721</v>
      </c>
      <c r="C1116" s="98" t="s">
        <v>546</v>
      </c>
      <c r="D1116" s="98" t="s">
        <v>547</v>
      </c>
      <c r="E1116" s="98" t="s">
        <v>912</v>
      </c>
      <c r="F1116" s="98" t="s">
        <v>1317</v>
      </c>
      <c r="G1116" s="98" t="s">
        <v>1318</v>
      </c>
    </row>
    <row r="1117" spans="1:7" ht="15" thickBot="1" x14ac:dyDescent="0.4">
      <c r="A1117" s="98">
        <v>2005225999</v>
      </c>
      <c r="B1117" s="101" t="s">
        <v>1721</v>
      </c>
      <c r="C1117" s="98" t="s">
        <v>546</v>
      </c>
      <c r="D1117" s="98" t="s">
        <v>547</v>
      </c>
      <c r="E1117" s="98" t="s">
        <v>911</v>
      </c>
      <c r="F1117" s="98" t="s">
        <v>1317</v>
      </c>
      <c r="G1117" s="98" t="s">
        <v>1318</v>
      </c>
    </row>
    <row r="1118" spans="1:7" ht="15" thickBot="1" x14ac:dyDescent="0.4">
      <c r="A1118" s="98">
        <v>2005225999</v>
      </c>
      <c r="B1118" s="101" t="s">
        <v>1721</v>
      </c>
      <c r="C1118" s="98" t="s">
        <v>546</v>
      </c>
      <c r="D1118" s="98" t="s">
        <v>547</v>
      </c>
      <c r="E1118" s="98" t="s">
        <v>915</v>
      </c>
      <c r="F1118" s="98" t="s">
        <v>1317</v>
      </c>
      <c r="G1118" s="98" t="s">
        <v>1319</v>
      </c>
    </row>
    <row r="1119" spans="1:7" ht="15" thickBot="1" x14ac:dyDescent="0.4">
      <c r="A1119" s="98">
        <v>2005225167</v>
      </c>
      <c r="B1119" s="101" t="s">
        <v>1722</v>
      </c>
      <c r="C1119" s="98" t="s">
        <v>546</v>
      </c>
      <c r="D1119" s="98" t="s">
        <v>547</v>
      </c>
      <c r="E1119" s="98" t="s">
        <v>912</v>
      </c>
      <c r="F1119" s="98" t="s">
        <v>1317</v>
      </c>
      <c r="G1119" s="98" t="s">
        <v>1318</v>
      </c>
    </row>
    <row r="1120" spans="1:7" ht="15" thickBot="1" x14ac:dyDescent="0.4">
      <c r="A1120" s="98">
        <v>2005225167</v>
      </c>
      <c r="B1120" s="101" t="s">
        <v>1722</v>
      </c>
      <c r="C1120" s="98" t="s">
        <v>546</v>
      </c>
      <c r="D1120" s="98" t="s">
        <v>547</v>
      </c>
      <c r="E1120" s="98" t="s">
        <v>914</v>
      </c>
      <c r="F1120" s="98" t="s">
        <v>1317</v>
      </c>
      <c r="G1120" s="98" t="s">
        <v>1318</v>
      </c>
    </row>
    <row r="1121" spans="1:7" ht="15" thickBot="1" x14ac:dyDescent="0.4">
      <c r="A1121" s="98">
        <v>2005225167</v>
      </c>
      <c r="B1121" s="101" t="s">
        <v>1722</v>
      </c>
      <c r="C1121" s="98" t="s">
        <v>546</v>
      </c>
      <c r="D1121" s="98" t="s">
        <v>547</v>
      </c>
      <c r="E1121" s="98" t="s">
        <v>913</v>
      </c>
      <c r="F1121" s="98" t="s">
        <v>1317</v>
      </c>
      <c r="G1121" s="98" t="s">
        <v>1318</v>
      </c>
    </row>
    <row r="1122" spans="1:7" ht="15" thickBot="1" x14ac:dyDescent="0.4">
      <c r="A1122" s="98">
        <v>2005224795</v>
      </c>
      <c r="B1122" s="101" t="s">
        <v>1723</v>
      </c>
      <c r="C1122" s="98" t="s">
        <v>546</v>
      </c>
      <c r="D1122" s="98" t="s">
        <v>547</v>
      </c>
      <c r="E1122" s="98" t="s">
        <v>912</v>
      </c>
      <c r="F1122" s="98" t="s">
        <v>1317</v>
      </c>
      <c r="G1122" s="98" t="s">
        <v>1318</v>
      </c>
    </row>
    <row r="1123" spans="1:7" ht="15" thickBot="1" x14ac:dyDescent="0.4">
      <c r="A1123" s="98">
        <v>2005224795</v>
      </c>
      <c r="B1123" s="101" t="s">
        <v>1723</v>
      </c>
      <c r="C1123" s="98" t="s">
        <v>546</v>
      </c>
      <c r="D1123" s="98" t="s">
        <v>547</v>
      </c>
      <c r="E1123" s="98" t="s">
        <v>911</v>
      </c>
      <c r="F1123" s="98" t="s">
        <v>1317</v>
      </c>
      <c r="G1123" s="98" t="s">
        <v>1318</v>
      </c>
    </row>
    <row r="1124" spans="1:7" ht="15" thickBot="1" x14ac:dyDescent="0.4">
      <c r="A1124" s="98">
        <v>2005224795</v>
      </c>
      <c r="B1124" s="101" t="s">
        <v>1723</v>
      </c>
      <c r="C1124" s="98" t="s">
        <v>546</v>
      </c>
      <c r="D1124" s="98" t="s">
        <v>547</v>
      </c>
      <c r="E1124" s="98" t="s">
        <v>1342</v>
      </c>
      <c r="F1124" s="98" t="s">
        <v>1317</v>
      </c>
      <c r="G1124" s="98" t="s">
        <v>1318</v>
      </c>
    </row>
    <row r="1125" spans="1:7" ht="15" thickBot="1" x14ac:dyDescent="0.4">
      <c r="A1125" s="98">
        <v>2005225369</v>
      </c>
      <c r="B1125" s="101" t="s">
        <v>1724</v>
      </c>
      <c r="C1125" s="98" t="s">
        <v>567</v>
      </c>
      <c r="D1125" s="98" t="s">
        <v>547</v>
      </c>
      <c r="E1125" s="98" t="s">
        <v>911</v>
      </c>
      <c r="F1125" s="98" t="s">
        <v>1317</v>
      </c>
      <c r="G1125" s="98" t="s">
        <v>1318</v>
      </c>
    </row>
    <row r="1126" spans="1:7" ht="15" thickBot="1" x14ac:dyDescent="0.4">
      <c r="A1126" s="98">
        <v>2005225369</v>
      </c>
      <c r="B1126" s="101" t="s">
        <v>1724</v>
      </c>
      <c r="C1126" s="98" t="s">
        <v>567</v>
      </c>
      <c r="D1126" s="98" t="s">
        <v>547</v>
      </c>
      <c r="E1126" s="98" t="s">
        <v>1342</v>
      </c>
      <c r="F1126" s="98" t="s">
        <v>1317</v>
      </c>
      <c r="G1126" s="98" t="s">
        <v>1318</v>
      </c>
    </row>
    <row r="1127" spans="1:7" ht="15" thickBot="1" x14ac:dyDescent="0.4">
      <c r="A1127" s="98">
        <v>2005225369</v>
      </c>
      <c r="B1127" s="101" t="s">
        <v>1724</v>
      </c>
      <c r="C1127" s="98" t="s">
        <v>567</v>
      </c>
      <c r="D1127" s="98" t="s">
        <v>547</v>
      </c>
      <c r="E1127" s="98" t="s">
        <v>915</v>
      </c>
      <c r="F1127" s="98" t="s">
        <v>1323</v>
      </c>
      <c r="G1127" s="98" t="s">
        <v>1319</v>
      </c>
    </row>
    <row r="1128" spans="1:7" ht="15" thickBot="1" x14ac:dyDescent="0.4">
      <c r="A1128" s="98">
        <v>2041221730</v>
      </c>
      <c r="B1128" s="101" t="s">
        <v>1355</v>
      </c>
      <c r="C1128" s="98" t="s">
        <v>148</v>
      </c>
      <c r="D1128" s="98" t="s">
        <v>547</v>
      </c>
      <c r="E1128" s="98" t="s">
        <v>914</v>
      </c>
      <c r="F1128" s="98" t="s">
        <v>1317</v>
      </c>
      <c r="G1128" s="98" t="s">
        <v>1318</v>
      </c>
    </row>
    <row r="1129" spans="1:7" ht="15" thickBot="1" x14ac:dyDescent="0.4">
      <c r="A1129" s="98">
        <v>2005223637</v>
      </c>
      <c r="B1129" s="101" t="s">
        <v>1725</v>
      </c>
      <c r="C1129" s="98" t="s">
        <v>567</v>
      </c>
      <c r="D1129" s="98" t="s">
        <v>547</v>
      </c>
      <c r="E1129" s="98" t="s">
        <v>911</v>
      </c>
      <c r="F1129" s="98" t="s">
        <v>1317</v>
      </c>
      <c r="G1129" s="98" t="s">
        <v>1318</v>
      </c>
    </row>
    <row r="1130" spans="1:7" ht="15" thickBot="1" x14ac:dyDescent="0.4">
      <c r="A1130" s="98">
        <v>2005223637</v>
      </c>
      <c r="B1130" s="101" t="s">
        <v>1725</v>
      </c>
      <c r="C1130" s="98" t="s">
        <v>567</v>
      </c>
      <c r="D1130" s="98" t="s">
        <v>547</v>
      </c>
      <c r="E1130" s="98" t="s">
        <v>914</v>
      </c>
      <c r="F1130" s="98" t="s">
        <v>1317</v>
      </c>
      <c r="G1130" s="98" t="s">
        <v>1318</v>
      </c>
    </row>
    <row r="1131" spans="1:7" ht="15" thickBot="1" x14ac:dyDescent="0.4">
      <c r="A1131" s="98">
        <v>2005223637</v>
      </c>
      <c r="B1131" s="101" t="s">
        <v>1725</v>
      </c>
      <c r="C1131" s="98" t="s">
        <v>567</v>
      </c>
      <c r="D1131" s="98" t="s">
        <v>547</v>
      </c>
      <c r="E1131" s="98" t="s">
        <v>1342</v>
      </c>
      <c r="F1131" s="98" t="s">
        <v>1317</v>
      </c>
      <c r="G1131" s="98" t="s">
        <v>1318</v>
      </c>
    </row>
    <row r="1132" spans="1:7" ht="15" thickBot="1" x14ac:dyDescent="0.4">
      <c r="A1132" s="98">
        <v>2005224197</v>
      </c>
      <c r="B1132" s="101" t="s">
        <v>1726</v>
      </c>
      <c r="C1132" s="98" t="s">
        <v>567</v>
      </c>
      <c r="D1132" s="98" t="s">
        <v>547</v>
      </c>
      <c r="E1132" s="98" t="s">
        <v>912</v>
      </c>
      <c r="F1132" s="98" t="s">
        <v>1317</v>
      </c>
      <c r="G1132" s="98" t="s">
        <v>1318</v>
      </c>
    </row>
    <row r="1133" spans="1:7" ht="15" thickBot="1" x14ac:dyDescent="0.4">
      <c r="A1133" s="98">
        <v>2005224197</v>
      </c>
      <c r="B1133" s="101" t="s">
        <v>1726</v>
      </c>
      <c r="C1133" s="98" t="s">
        <v>567</v>
      </c>
      <c r="D1133" s="98" t="s">
        <v>547</v>
      </c>
      <c r="E1133" s="98" t="s">
        <v>912</v>
      </c>
      <c r="F1133" s="98" t="s">
        <v>1317</v>
      </c>
      <c r="G1133" s="98" t="s">
        <v>1318</v>
      </c>
    </row>
    <row r="1134" spans="1:7" ht="15" thickBot="1" x14ac:dyDescent="0.4">
      <c r="A1134" s="98">
        <v>2005224197</v>
      </c>
      <c r="B1134" s="101" t="s">
        <v>1726</v>
      </c>
      <c r="C1134" s="98" t="s">
        <v>567</v>
      </c>
      <c r="D1134" s="98" t="s">
        <v>547</v>
      </c>
      <c r="E1134" s="98" t="s">
        <v>914</v>
      </c>
      <c r="F1134" s="98" t="s">
        <v>1317</v>
      </c>
      <c r="G1134" s="98" t="s">
        <v>1318</v>
      </c>
    </row>
    <row r="1135" spans="1:7" ht="15" thickBot="1" x14ac:dyDescent="0.4">
      <c r="A1135" s="98">
        <v>2005224197</v>
      </c>
      <c r="B1135" s="101" t="s">
        <v>1726</v>
      </c>
      <c r="C1135" s="98" t="s">
        <v>567</v>
      </c>
      <c r="D1135" s="98" t="s">
        <v>547</v>
      </c>
      <c r="E1135" s="98" t="s">
        <v>1342</v>
      </c>
      <c r="F1135" s="98" t="s">
        <v>1317</v>
      </c>
      <c r="G1135" s="98" t="s">
        <v>1318</v>
      </c>
    </row>
    <row r="1136" spans="1:7" ht="15" thickBot="1" x14ac:dyDescent="0.4">
      <c r="A1136" s="98">
        <v>2022223970</v>
      </c>
      <c r="B1136" s="101" t="s">
        <v>1727</v>
      </c>
      <c r="C1136" s="98" t="s">
        <v>546</v>
      </c>
      <c r="D1136" s="98" t="s">
        <v>547</v>
      </c>
      <c r="E1136" s="98" t="s">
        <v>912</v>
      </c>
      <c r="F1136" s="98" t="s">
        <v>1317</v>
      </c>
      <c r="G1136" s="98" t="s">
        <v>1318</v>
      </c>
    </row>
    <row r="1137" spans="1:7" ht="15" thickBot="1" x14ac:dyDescent="0.4">
      <c r="A1137" s="98">
        <v>2022223970</v>
      </c>
      <c r="B1137" s="101" t="s">
        <v>1727</v>
      </c>
      <c r="C1137" s="98" t="s">
        <v>546</v>
      </c>
      <c r="D1137" s="98" t="s">
        <v>547</v>
      </c>
      <c r="E1137" s="98" t="s">
        <v>914</v>
      </c>
      <c r="F1137" s="98" t="s">
        <v>1317</v>
      </c>
      <c r="G1137" s="98" t="s">
        <v>1318</v>
      </c>
    </row>
    <row r="1138" spans="1:7" ht="15" thickBot="1" x14ac:dyDescent="0.4">
      <c r="A1138" s="98">
        <v>2022223970</v>
      </c>
      <c r="B1138" s="101" t="s">
        <v>1727</v>
      </c>
      <c r="C1138" s="98" t="s">
        <v>546</v>
      </c>
      <c r="D1138" s="98" t="s">
        <v>547</v>
      </c>
      <c r="E1138" s="98" t="s">
        <v>1342</v>
      </c>
      <c r="F1138" s="98" t="s">
        <v>1317</v>
      </c>
      <c r="G1138" s="98" t="s">
        <v>1318</v>
      </c>
    </row>
    <row r="1139" spans="1:7" ht="15" thickBot="1" x14ac:dyDescent="0.4">
      <c r="A1139" s="98">
        <v>2041221416</v>
      </c>
      <c r="B1139" s="101" t="s">
        <v>1860</v>
      </c>
      <c r="C1139" s="98" t="s">
        <v>132</v>
      </c>
      <c r="D1139" s="98" t="s">
        <v>547</v>
      </c>
      <c r="E1139" s="98" t="s">
        <v>915</v>
      </c>
      <c r="F1139" s="98" t="s">
        <v>1323</v>
      </c>
      <c r="G1139" s="98" t="s">
        <v>1319</v>
      </c>
    </row>
    <row r="1140" spans="1:7" ht="15" thickBot="1" x14ac:dyDescent="0.4">
      <c r="A1140" s="98">
        <v>2005224888</v>
      </c>
      <c r="B1140" s="101" t="s">
        <v>1728</v>
      </c>
      <c r="C1140" s="98" t="s">
        <v>567</v>
      </c>
      <c r="D1140" s="98" t="s">
        <v>547</v>
      </c>
      <c r="E1140" s="98" t="s">
        <v>1395</v>
      </c>
      <c r="F1140" s="98" t="s">
        <v>1317</v>
      </c>
      <c r="G1140" s="98" t="s">
        <v>1318</v>
      </c>
    </row>
    <row r="1141" spans="1:7" ht="15" thickBot="1" x14ac:dyDescent="0.4">
      <c r="A1141" s="98">
        <v>2005224888</v>
      </c>
      <c r="B1141" s="101" t="s">
        <v>1728</v>
      </c>
      <c r="C1141" s="98" t="s">
        <v>567</v>
      </c>
      <c r="D1141" s="98" t="s">
        <v>547</v>
      </c>
      <c r="E1141" s="98" t="s">
        <v>914</v>
      </c>
      <c r="F1141" s="98" t="s">
        <v>1317</v>
      </c>
      <c r="G1141" s="98" t="s">
        <v>1318</v>
      </c>
    </row>
    <row r="1142" spans="1:7" ht="15" thickBot="1" x14ac:dyDescent="0.4">
      <c r="A1142" s="98">
        <v>2005224888</v>
      </c>
      <c r="B1142" s="101" t="s">
        <v>1728</v>
      </c>
      <c r="C1142" s="98" t="s">
        <v>567</v>
      </c>
      <c r="D1142" s="98" t="s">
        <v>547</v>
      </c>
      <c r="E1142" s="98" t="s">
        <v>911</v>
      </c>
      <c r="F1142" s="98" t="s">
        <v>1317</v>
      </c>
      <c r="G1142" s="98" t="s">
        <v>1318</v>
      </c>
    </row>
    <row r="1143" spans="1:7" ht="15" thickBot="1" x14ac:dyDescent="0.4">
      <c r="A1143" s="98">
        <v>2005223490</v>
      </c>
      <c r="B1143" s="101" t="s">
        <v>1729</v>
      </c>
      <c r="C1143" s="98" t="s">
        <v>567</v>
      </c>
      <c r="D1143" s="98" t="s">
        <v>547</v>
      </c>
      <c r="E1143" s="98" t="s">
        <v>912</v>
      </c>
      <c r="F1143" s="98" t="s">
        <v>1317</v>
      </c>
      <c r="G1143" s="98" t="s">
        <v>1318</v>
      </c>
    </row>
    <row r="1144" spans="1:7" ht="15" thickBot="1" x14ac:dyDescent="0.4">
      <c r="A1144" s="98">
        <v>2005223490</v>
      </c>
      <c r="B1144" s="101" t="s">
        <v>1729</v>
      </c>
      <c r="C1144" s="98" t="s">
        <v>567</v>
      </c>
      <c r="D1144" s="98" t="s">
        <v>547</v>
      </c>
      <c r="E1144" s="98" t="s">
        <v>911</v>
      </c>
      <c r="F1144" s="98" t="s">
        <v>1317</v>
      </c>
      <c r="G1144" s="98" t="s">
        <v>1318</v>
      </c>
    </row>
    <row r="1145" spans="1:7" ht="15" thickBot="1" x14ac:dyDescent="0.4">
      <c r="A1145" s="98">
        <v>2005223490</v>
      </c>
      <c r="B1145" s="101" t="s">
        <v>1729</v>
      </c>
      <c r="C1145" s="98" t="s">
        <v>567</v>
      </c>
      <c r="D1145" s="98" t="s">
        <v>547</v>
      </c>
      <c r="E1145" s="98" t="s">
        <v>913</v>
      </c>
      <c r="F1145" s="98" t="s">
        <v>1317</v>
      </c>
      <c r="G1145" s="98" t="s">
        <v>1318</v>
      </c>
    </row>
    <row r="1146" spans="1:7" ht="15" thickBot="1" x14ac:dyDescent="0.4">
      <c r="A1146" s="98">
        <v>2005224996</v>
      </c>
      <c r="B1146" s="101" t="s">
        <v>1730</v>
      </c>
      <c r="C1146" s="98" t="s">
        <v>567</v>
      </c>
      <c r="D1146" s="98" t="s">
        <v>547</v>
      </c>
      <c r="E1146" s="98" t="s">
        <v>911</v>
      </c>
      <c r="F1146" s="98" t="s">
        <v>1317</v>
      </c>
      <c r="G1146" s="98" t="s">
        <v>1318</v>
      </c>
    </row>
    <row r="1147" spans="1:7" ht="15" thickBot="1" x14ac:dyDescent="0.4">
      <c r="A1147" s="98">
        <v>2005224996</v>
      </c>
      <c r="B1147" s="101" t="s">
        <v>1730</v>
      </c>
      <c r="C1147" s="98" t="s">
        <v>567</v>
      </c>
      <c r="D1147" s="98" t="s">
        <v>547</v>
      </c>
      <c r="E1147" s="98" t="s">
        <v>912</v>
      </c>
      <c r="F1147" s="98" t="s">
        <v>1317</v>
      </c>
      <c r="G1147" s="98" t="s">
        <v>1318</v>
      </c>
    </row>
    <row r="1148" spans="1:7" ht="15" thickBot="1" x14ac:dyDescent="0.4">
      <c r="A1148" s="98">
        <v>2041221401</v>
      </c>
      <c r="B1148" s="101" t="s">
        <v>1366</v>
      </c>
      <c r="C1148" s="98" t="s">
        <v>148</v>
      </c>
      <c r="D1148" s="98" t="s">
        <v>547</v>
      </c>
      <c r="E1148" s="98" t="s">
        <v>914</v>
      </c>
      <c r="F1148" s="98" t="s">
        <v>1317</v>
      </c>
      <c r="G1148" s="98" t="s">
        <v>1318</v>
      </c>
    </row>
    <row r="1149" spans="1:7" ht="15" thickBot="1" x14ac:dyDescent="0.4">
      <c r="A1149" s="98">
        <v>2005225981</v>
      </c>
      <c r="B1149" s="101" t="s">
        <v>2066</v>
      </c>
      <c r="C1149" s="98" t="s">
        <v>567</v>
      </c>
      <c r="D1149" s="98" t="s">
        <v>547</v>
      </c>
      <c r="E1149" s="98" t="s">
        <v>1387</v>
      </c>
      <c r="F1149" s="98" t="s">
        <v>1323</v>
      </c>
      <c r="G1149" s="98" t="s">
        <v>1318</v>
      </c>
    </row>
    <row r="1150" spans="1:7" ht="15" thickBot="1" x14ac:dyDescent="0.4">
      <c r="A1150" s="98">
        <v>2005225981</v>
      </c>
      <c r="B1150" s="101" t="s">
        <v>2066</v>
      </c>
      <c r="C1150" s="98" t="s">
        <v>567</v>
      </c>
      <c r="D1150" s="98" t="s">
        <v>547</v>
      </c>
      <c r="E1150" s="98" t="s">
        <v>1387</v>
      </c>
      <c r="F1150" s="98" t="s">
        <v>1323</v>
      </c>
      <c r="G1150" s="98" t="s">
        <v>1318</v>
      </c>
    </row>
    <row r="1151" spans="1:7" ht="15" thickBot="1" x14ac:dyDescent="0.4">
      <c r="A1151" s="98">
        <v>2005225733</v>
      </c>
      <c r="B1151" s="101" t="s">
        <v>1434</v>
      </c>
      <c r="C1151" s="98" t="s">
        <v>567</v>
      </c>
      <c r="D1151" s="98" t="s">
        <v>547</v>
      </c>
      <c r="E1151" s="98" t="s">
        <v>1406</v>
      </c>
      <c r="F1151" s="98" t="s">
        <v>1317</v>
      </c>
      <c r="G1151" s="98" t="s">
        <v>1318</v>
      </c>
    </row>
    <row r="1152" spans="1:7" ht="15" thickBot="1" x14ac:dyDescent="0.4">
      <c r="A1152" s="98">
        <v>2005225733</v>
      </c>
      <c r="B1152" s="101" t="s">
        <v>1434</v>
      </c>
      <c r="C1152" s="98" t="s">
        <v>567</v>
      </c>
      <c r="D1152" s="98" t="s">
        <v>547</v>
      </c>
      <c r="E1152" s="98" t="s">
        <v>911</v>
      </c>
      <c r="F1152" s="98" t="s">
        <v>1317</v>
      </c>
      <c r="G1152" s="98" t="s">
        <v>1318</v>
      </c>
    </row>
    <row r="1153" spans="1:7" ht="15" thickBot="1" x14ac:dyDescent="0.4">
      <c r="A1153" s="98">
        <v>2005225733</v>
      </c>
      <c r="B1153" s="101" t="s">
        <v>1434</v>
      </c>
      <c r="C1153" s="98" t="s">
        <v>567</v>
      </c>
      <c r="D1153" s="98" t="s">
        <v>547</v>
      </c>
      <c r="E1153" s="98" t="s">
        <v>911</v>
      </c>
      <c r="F1153" s="98" t="s">
        <v>1317</v>
      </c>
      <c r="G1153" s="98" t="s">
        <v>1318</v>
      </c>
    </row>
    <row r="1154" spans="1:7" ht="15" thickBot="1" x14ac:dyDescent="0.4">
      <c r="A1154" s="98">
        <v>2005225733</v>
      </c>
      <c r="B1154" s="101" t="s">
        <v>1434</v>
      </c>
      <c r="C1154" s="98" t="s">
        <v>567</v>
      </c>
      <c r="D1154" s="98" t="s">
        <v>547</v>
      </c>
      <c r="E1154" s="98" t="s">
        <v>915</v>
      </c>
      <c r="F1154" s="98" t="s">
        <v>1317</v>
      </c>
      <c r="G1154" s="98" t="s">
        <v>1319</v>
      </c>
    </row>
    <row r="1155" spans="1:7" ht="15" thickBot="1" x14ac:dyDescent="0.4">
      <c r="A1155" s="98">
        <v>2005225484</v>
      </c>
      <c r="B1155" s="101" t="s">
        <v>1731</v>
      </c>
      <c r="C1155" s="98" t="s">
        <v>546</v>
      </c>
      <c r="D1155" s="98" t="s">
        <v>547</v>
      </c>
      <c r="E1155" s="98" t="s">
        <v>1406</v>
      </c>
      <c r="F1155" s="98" t="s">
        <v>1317</v>
      </c>
      <c r="G1155" s="98" t="s">
        <v>1318</v>
      </c>
    </row>
    <row r="1156" spans="1:7" ht="15" thickBot="1" x14ac:dyDescent="0.4">
      <c r="A1156" s="98">
        <v>2005225484</v>
      </c>
      <c r="B1156" s="101" t="s">
        <v>1731</v>
      </c>
      <c r="C1156" s="98" t="s">
        <v>546</v>
      </c>
      <c r="D1156" s="98" t="s">
        <v>547</v>
      </c>
      <c r="E1156" s="98" t="s">
        <v>911</v>
      </c>
      <c r="F1156" s="98" t="s">
        <v>1317</v>
      </c>
      <c r="G1156" s="98" t="s">
        <v>1318</v>
      </c>
    </row>
    <row r="1157" spans="1:7" ht="15" thickBot="1" x14ac:dyDescent="0.4">
      <c r="A1157" s="98">
        <v>2005225484</v>
      </c>
      <c r="B1157" s="101" t="s">
        <v>1731</v>
      </c>
      <c r="C1157" s="98" t="s">
        <v>546</v>
      </c>
      <c r="D1157" s="98" t="s">
        <v>547</v>
      </c>
      <c r="E1157" s="98" t="s">
        <v>915</v>
      </c>
      <c r="F1157" s="98" t="s">
        <v>1317</v>
      </c>
      <c r="G1157" s="98" t="s">
        <v>1319</v>
      </c>
    </row>
    <row r="1158" spans="1:7" ht="15" thickBot="1" x14ac:dyDescent="0.4">
      <c r="A1158" s="98">
        <v>2005223693</v>
      </c>
      <c r="B1158" s="101" t="s">
        <v>1732</v>
      </c>
      <c r="C1158" s="98" t="s">
        <v>546</v>
      </c>
      <c r="D1158" s="98" t="s">
        <v>547</v>
      </c>
      <c r="E1158" s="98" t="s">
        <v>913</v>
      </c>
      <c r="F1158" s="98" t="s">
        <v>1317</v>
      </c>
      <c r="G1158" s="98" t="s">
        <v>1318</v>
      </c>
    </row>
    <row r="1159" spans="1:7" ht="15" thickBot="1" x14ac:dyDescent="0.4">
      <c r="A1159" s="98">
        <v>2005223693</v>
      </c>
      <c r="B1159" s="101" t="s">
        <v>1732</v>
      </c>
      <c r="C1159" s="98" t="s">
        <v>546</v>
      </c>
      <c r="D1159" s="98" t="s">
        <v>547</v>
      </c>
      <c r="E1159" s="98" t="s">
        <v>912</v>
      </c>
      <c r="F1159" s="98" t="s">
        <v>1317</v>
      </c>
      <c r="G1159" s="98" t="s">
        <v>1318</v>
      </c>
    </row>
    <row r="1160" spans="1:7" ht="15" thickBot="1" x14ac:dyDescent="0.4">
      <c r="A1160" s="98">
        <v>2005223693</v>
      </c>
      <c r="B1160" s="101" t="s">
        <v>1732</v>
      </c>
      <c r="C1160" s="98" t="s">
        <v>546</v>
      </c>
      <c r="D1160" s="98" t="s">
        <v>547</v>
      </c>
      <c r="E1160" s="98" t="s">
        <v>911</v>
      </c>
      <c r="F1160" s="98" t="s">
        <v>1317</v>
      </c>
      <c r="G1160" s="98" t="s">
        <v>1318</v>
      </c>
    </row>
    <row r="1161" spans="1:7" ht="15" thickBot="1" x14ac:dyDescent="0.4">
      <c r="A1161" s="98">
        <v>2005224015</v>
      </c>
      <c r="B1161" s="101" t="s">
        <v>1733</v>
      </c>
      <c r="C1161" s="98" t="s">
        <v>546</v>
      </c>
      <c r="D1161" s="98" t="s">
        <v>547</v>
      </c>
      <c r="E1161" s="98" t="s">
        <v>914</v>
      </c>
      <c r="F1161" s="98" t="s">
        <v>1317</v>
      </c>
      <c r="G1161" s="98" t="s">
        <v>1318</v>
      </c>
    </row>
    <row r="1162" spans="1:7" ht="15" thickBot="1" x14ac:dyDescent="0.4">
      <c r="A1162" s="98">
        <v>2005224015</v>
      </c>
      <c r="B1162" s="101" t="s">
        <v>1733</v>
      </c>
      <c r="C1162" s="98" t="s">
        <v>546</v>
      </c>
      <c r="D1162" s="98" t="s">
        <v>547</v>
      </c>
      <c r="E1162" s="98" t="s">
        <v>913</v>
      </c>
      <c r="F1162" s="98" t="s">
        <v>1317</v>
      </c>
      <c r="G1162" s="98" t="s">
        <v>1318</v>
      </c>
    </row>
    <row r="1163" spans="1:7" ht="15" thickBot="1" x14ac:dyDescent="0.4">
      <c r="A1163" s="98">
        <v>2005224015</v>
      </c>
      <c r="B1163" s="101" t="s">
        <v>1733</v>
      </c>
      <c r="C1163" s="98" t="s">
        <v>546</v>
      </c>
      <c r="D1163" s="98" t="s">
        <v>547</v>
      </c>
      <c r="E1163" s="98" t="s">
        <v>911</v>
      </c>
      <c r="F1163" s="98" t="s">
        <v>1317</v>
      </c>
      <c r="G1163" s="98" t="s">
        <v>1318</v>
      </c>
    </row>
    <row r="1164" spans="1:7" ht="15" thickBot="1" x14ac:dyDescent="0.4">
      <c r="A1164" s="98">
        <v>2005224015</v>
      </c>
      <c r="B1164" s="101" t="s">
        <v>1733</v>
      </c>
      <c r="C1164" s="98" t="s">
        <v>546</v>
      </c>
      <c r="D1164" s="98" t="s">
        <v>547</v>
      </c>
      <c r="E1164" s="98" t="s">
        <v>1342</v>
      </c>
      <c r="F1164" s="98" t="s">
        <v>1317</v>
      </c>
      <c r="G1164" s="98" t="s">
        <v>1318</v>
      </c>
    </row>
    <row r="1165" spans="1:7" ht="15" thickBot="1" x14ac:dyDescent="0.4">
      <c r="A1165" s="98">
        <v>2005220171</v>
      </c>
      <c r="B1165" s="101" t="s">
        <v>1734</v>
      </c>
      <c r="C1165" s="98" t="s">
        <v>196</v>
      </c>
      <c r="D1165" s="98" t="s">
        <v>547</v>
      </c>
      <c r="E1165" s="98" t="s">
        <v>1395</v>
      </c>
      <c r="F1165" s="98" t="s">
        <v>1317</v>
      </c>
      <c r="G1165" s="98" t="s">
        <v>1318</v>
      </c>
    </row>
    <row r="1166" spans="1:7" ht="15" thickBot="1" x14ac:dyDescent="0.4">
      <c r="A1166" s="98">
        <v>2005224881</v>
      </c>
      <c r="B1166" s="101" t="s">
        <v>1735</v>
      </c>
      <c r="C1166" s="98" t="s">
        <v>567</v>
      </c>
      <c r="D1166" s="98" t="s">
        <v>547</v>
      </c>
      <c r="E1166" s="98" t="s">
        <v>1395</v>
      </c>
      <c r="F1166" s="98" t="s">
        <v>1317</v>
      </c>
      <c r="G1166" s="98" t="s">
        <v>1318</v>
      </c>
    </row>
    <row r="1167" spans="1:7" ht="15" thickBot="1" x14ac:dyDescent="0.4">
      <c r="A1167" s="98">
        <v>2005224881</v>
      </c>
      <c r="B1167" s="101" t="s">
        <v>1735</v>
      </c>
      <c r="C1167" s="98" t="s">
        <v>567</v>
      </c>
      <c r="D1167" s="98" t="s">
        <v>547</v>
      </c>
      <c r="E1167" s="98" t="s">
        <v>911</v>
      </c>
      <c r="F1167" s="98" t="s">
        <v>1317</v>
      </c>
      <c r="G1167" s="98" t="s">
        <v>1318</v>
      </c>
    </row>
    <row r="1168" spans="1:7" ht="15" thickBot="1" x14ac:dyDescent="0.4">
      <c r="A1168" s="98">
        <v>2005224881</v>
      </c>
      <c r="B1168" s="101" t="s">
        <v>1735</v>
      </c>
      <c r="C1168" s="98" t="s">
        <v>567</v>
      </c>
      <c r="D1168" s="98" t="s">
        <v>547</v>
      </c>
      <c r="E1168" s="98" t="s">
        <v>915</v>
      </c>
      <c r="F1168" s="98" t="s">
        <v>1317</v>
      </c>
      <c r="G1168" s="98" t="s">
        <v>1319</v>
      </c>
    </row>
    <row r="1169" spans="1:7" ht="15" thickBot="1" x14ac:dyDescent="0.4">
      <c r="A1169" s="98">
        <v>2005222987</v>
      </c>
      <c r="B1169" s="101" t="s">
        <v>1736</v>
      </c>
      <c r="C1169" s="98" t="s">
        <v>567</v>
      </c>
      <c r="D1169" s="98" t="s">
        <v>547</v>
      </c>
      <c r="E1169" s="98" t="s">
        <v>1395</v>
      </c>
      <c r="F1169" s="98" t="s">
        <v>1317</v>
      </c>
      <c r="G1169" s="98" t="s">
        <v>1318</v>
      </c>
    </row>
    <row r="1170" spans="1:7" ht="15" thickBot="1" x14ac:dyDescent="0.4">
      <c r="A1170" s="98">
        <v>2005222987</v>
      </c>
      <c r="B1170" s="101" t="s">
        <v>1736</v>
      </c>
      <c r="C1170" s="98" t="s">
        <v>567</v>
      </c>
      <c r="D1170" s="98" t="s">
        <v>547</v>
      </c>
      <c r="E1170" s="98" t="s">
        <v>912</v>
      </c>
      <c r="F1170" s="98" t="s">
        <v>1317</v>
      </c>
      <c r="G1170" s="98" t="s">
        <v>1318</v>
      </c>
    </row>
    <row r="1171" spans="1:7" ht="15" thickBot="1" x14ac:dyDescent="0.4">
      <c r="A1171" s="98">
        <v>2005222987</v>
      </c>
      <c r="B1171" s="101" t="s">
        <v>1737</v>
      </c>
      <c r="C1171" s="98" t="s">
        <v>567</v>
      </c>
      <c r="D1171" s="98" t="s">
        <v>547</v>
      </c>
      <c r="E1171" s="98" t="s">
        <v>913</v>
      </c>
      <c r="F1171" s="98" t="s">
        <v>1317</v>
      </c>
      <c r="G1171" s="98" t="s">
        <v>1318</v>
      </c>
    </row>
    <row r="1172" spans="1:7" ht="15" thickBot="1" x14ac:dyDescent="0.4">
      <c r="A1172" s="98">
        <v>2005220493</v>
      </c>
      <c r="B1172" s="101" t="s">
        <v>1738</v>
      </c>
      <c r="C1172" s="98" t="s">
        <v>567</v>
      </c>
      <c r="D1172" s="98" t="s">
        <v>547</v>
      </c>
      <c r="E1172" s="98" t="s">
        <v>1395</v>
      </c>
      <c r="F1172" s="98" t="s">
        <v>1317</v>
      </c>
      <c r="G1172" s="98" t="s">
        <v>1318</v>
      </c>
    </row>
    <row r="1173" spans="1:7" ht="15" thickBot="1" x14ac:dyDescent="0.4">
      <c r="A1173" s="98">
        <v>2005220493</v>
      </c>
      <c r="B1173" s="101" t="s">
        <v>1738</v>
      </c>
      <c r="C1173" s="98" t="s">
        <v>567</v>
      </c>
      <c r="D1173" s="98" t="s">
        <v>547</v>
      </c>
      <c r="E1173" s="98" t="s">
        <v>914</v>
      </c>
      <c r="F1173" s="98" t="s">
        <v>1317</v>
      </c>
      <c r="G1173" s="98" t="s">
        <v>1318</v>
      </c>
    </row>
    <row r="1174" spans="1:7" ht="15" thickBot="1" x14ac:dyDescent="0.4">
      <c r="A1174" s="98">
        <v>2005220493</v>
      </c>
      <c r="B1174" s="101" t="s">
        <v>1738</v>
      </c>
      <c r="C1174" s="98" t="s">
        <v>567</v>
      </c>
      <c r="D1174" s="98" t="s">
        <v>547</v>
      </c>
      <c r="E1174" s="98" t="s">
        <v>911</v>
      </c>
      <c r="F1174" s="98" t="s">
        <v>1317</v>
      </c>
      <c r="G1174" s="98" t="s">
        <v>1318</v>
      </c>
    </row>
    <row r="1175" spans="1:7" ht="15" thickBot="1" x14ac:dyDescent="0.4">
      <c r="A1175" s="98">
        <v>2005223147</v>
      </c>
      <c r="B1175" s="101" t="s">
        <v>1739</v>
      </c>
      <c r="C1175" s="98" t="s">
        <v>567</v>
      </c>
      <c r="D1175" s="98" t="s">
        <v>547</v>
      </c>
      <c r="E1175" s="98" t="s">
        <v>912</v>
      </c>
      <c r="F1175" s="98" t="s">
        <v>1317</v>
      </c>
      <c r="G1175" s="98" t="s">
        <v>1318</v>
      </c>
    </row>
    <row r="1176" spans="1:7" ht="15" thickBot="1" x14ac:dyDescent="0.4">
      <c r="A1176" s="98">
        <v>2005220488</v>
      </c>
      <c r="B1176" s="101" t="s">
        <v>1740</v>
      </c>
      <c r="C1176" s="98" t="s">
        <v>567</v>
      </c>
      <c r="D1176" s="98" t="s">
        <v>547</v>
      </c>
      <c r="E1176" s="98" t="s">
        <v>1395</v>
      </c>
      <c r="F1176" s="98" t="s">
        <v>1317</v>
      </c>
      <c r="G1176" s="98" t="s">
        <v>1318</v>
      </c>
    </row>
    <row r="1177" spans="1:7" ht="15" thickBot="1" x14ac:dyDescent="0.4">
      <c r="A1177" s="98">
        <v>2005220488</v>
      </c>
      <c r="B1177" s="101" t="s">
        <v>1740</v>
      </c>
      <c r="C1177" s="98" t="s">
        <v>567</v>
      </c>
      <c r="D1177" s="98" t="s">
        <v>547</v>
      </c>
      <c r="E1177" s="98" t="s">
        <v>911</v>
      </c>
      <c r="F1177" s="98" t="s">
        <v>1317</v>
      </c>
      <c r="G1177" s="98" t="s">
        <v>1318</v>
      </c>
    </row>
    <row r="1178" spans="1:7" ht="15" thickBot="1" x14ac:dyDescent="0.4">
      <c r="A1178" s="98">
        <v>2005220488</v>
      </c>
      <c r="B1178" s="101" t="s">
        <v>1740</v>
      </c>
      <c r="C1178" s="98" t="s">
        <v>567</v>
      </c>
      <c r="D1178" s="98" t="s">
        <v>547</v>
      </c>
      <c r="E1178" s="98" t="s">
        <v>915</v>
      </c>
      <c r="F1178" s="98" t="s">
        <v>1317</v>
      </c>
      <c r="G1178" s="98" t="s">
        <v>1319</v>
      </c>
    </row>
    <row r="1179" spans="1:7" ht="15" thickBot="1" x14ac:dyDescent="0.4">
      <c r="A1179" s="98">
        <v>2005222346</v>
      </c>
      <c r="B1179" s="101" t="s">
        <v>1741</v>
      </c>
      <c r="C1179" s="98" t="s">
        <v>567</v>
      </c>
      <c r="D1179" s="98" t="s">
        <v>547</v>
      </c>
      <c r="E1179" s="98" t="s">
        <v>911</v>
      </c>
      <c r="F1179" s="98" t="s">
        <v>1317</v>
      </c>
      <c r="G1179" s="98" t="s">
        <v>1318</v>
      </c>
    </row>
    <row r="1180" spans="1:7" ht="15" thickBot="1" x14ac:dyDescent="0.4">
      <c r="A1180" s="98">
        <v>2005222346</v>
      </c>
      <c r="B1180" s="101" t="s">
        <v>1741</v>
      </c>
      <c r="C1180" s="98" t="s">
        <v>567</v>
      </c>
      <c r="D1180" s="98" t="s">
        <v>547</v>
      </c>
      <c r="E1180" s="98" t="s">
        <v>912</v>
      </c>
      <c r="F1180" s="98" t="s">
        <v>1317</v>
      </c>
      <c r="G1180" s="98" t="s">
        <v>1318</v>
      </c>
    </row>
    <row r="1181" spans="1:7" ht="15" thickBot="1" x14ac:dyDescent="0.4">
      <c r="A1181" s="98">
        <v>2005222346</v>
      </c>
      <c r="B1181" s="101" t="s">
        <v>1741</v>
      </c>
      <c r="C1181" s="98" t="s">
        <v>567</v>
      </c>
      <c r="D1181" s="98" t="s">
        <v>547</v>
      </c>
      <c r="E1181" s="98" t="s">
        <v>912</v>
      </c>
      <c r="F1181" s="98" t="s">
        <v>1317</v>
      </c>
      <c r="G1181" s="98" t="s">
        <v>1318</v>
      </c>
    </row>
    <row r="1182" spans="1:7" ht="15" thickBot="1" x14ac:dyDescent="0.4">
      <c r="A1182" s="98">
        <v>2005222346</v>
      </c>
      <c r="B1182" s="101" t="s">
        <v>1741</v>
      </c>
      <c r="C1182" s="98" t="s">
        <v>567</v>
      </c>
      <c r="D1182" s="98" t="s">
        <v>547</v>
      </c>
      <c r="E1182" s="98" t="s">
        <v>914</v>
      </c>
      <c r="F1182" s="98" t="s">
        <v>1317</v>
      </c>
      <c r="G1182" s="98" t="s">
        <v>1318</v>
      </c>
    </row>
    <row r="1183" spans="1:7" ht="15" thickBot="1" x14ac:dyDescent="0.4">
      <c r="A1183" s="98">
        <v>2005224589</v>
      </c>
      <c r="B1183" s="101" t="s">
        <v>1742</v>
      </c>
      <c r="C1183" s="98" t="s">
        <v>567</v>
      </c>
      <c r="D1183" s="98" t="s">
        <v>547</v>
      </c>
      <c r="E1183" s="98" t="s">
        <v>1406</v>
      </c>
      <c r="F1183" s="98" t="s">
        <v>1317</v>
      </c>
      <c r="G1183" s="98" t="s">
        <v>1318</v>
      </c>
    </row>
    <row r="1184" spans="1:7" ht="15" thickBot="1" x14ac:dyDescent="0.4">
      <c r="A1184" s="98">
        <v>2005224589</v>
      </c>
      <c r="B1184" s="101" t="s">
        <v>1742</v>
      </c>
      <c r="C1184" s="98" t="s">
        <v>567</v>
      </c>
      <c r="D1184" s="98" t="s">
        <v>547</v>
      </c>
      <c r="E1184" s="98" t="s">
        <v>1395</v>
      </c>
      <c r="F1184" s="98" t="s">
        <v>1317</v>
      </c>
      <c r="G1184" s="98" t="s">
        <v>1318</v>
      </c>
    </row>
    <row r="1185" spans="1:7" ht="15" thickBot="1" x14ac:dyDescent="0.4">
      <c r="A1185" s="98">
        <v>2005224589</v>
      </c>
      <c r="B1185" s="101" t="s">
        <v>1742</v>
      </c>
      <c r="C1185" s="98" t="s">
        <v>567</v>
      </c>
      <c r="D1185" s="98" t="s">
        <v>547</v>
      </c>
      <c r="E1185" s="98" t="s">
        <v>915</v>
      </c>
      <c r="F1185" s="98" t="s">
        <v>1317</v>
      </c>
      <c r="G1185" s="98" t="s">
        <v>1319</v>
      </c>
    </row>
    <row r="1186" spans="1:7" ht="15" thickBot="1" x14ac:dyDescent="0.4">
      <c r="A1186" s="98">
        <v>2005220274</v>
      </c>
      <c r="B1186" s="101" t="s">
        <v>1743</v>
      </c>
      <c r="C1186" s="98" t="s">
        <v>196</v>
      </c>
      <c r="D1186" s="98" t="s">
        <v>547</v>
      </c>
      <c r="E1186" s="98" t="s">
        <v>913</v>
      </c>
      <c r="F1186" s="98" t="s">
        <v>1317</v>
      </c>
      <c r="G1186" s="98" t="s">
        <v>1318</v>
      </c>
    </row>
    <row r="1187" spans="1:7" ht="15" thickBot="1" x14ac:dyDescent="0.4">
      <c r="A1187" s="98">
        <v>2005220274</v>
      </c>
      <c r="B1187" s="101" t="s">
        <v>1744</v>
      </c>
      <c r="C1187" s="98" t="s">
        <v>196</v>
      </c>
      <c r="D1187" s="98" t="s">
        <v>547</v>
      </c>
      <c r="E1187" s="98" t="s">
        <v>911</v>
      </c>
      <c r="F1187" s="98" t="s">
        <v>1317</v>
      </c>
      <c r="G1187" s="98" t="s">
        <v>1318</v>
      </c>
    </row>
    <row r="1188" spans="1:7" ht="15" thickBot="1" x14ac:dyDescent="0.4">
      <c r="A1188" s="98">
        <v>2005223328</v>
      </c>
      <c r="B1188" s="101" t="s">
        <v>1745</v>
      </c>
      <c r="C1188" s="98" t="s">
        <v>567</v>
      </c>
      <c r="D1188" s="98" t="s">
        <v>547</v>
      </c>
      <c r="E1188" s="98" t="s">
        <v>912</v>
      </c>
      <c r="F1188" s="98" t="s">
        <v>1317</v>
      </c>
      <c r="G1188" s="98" t="s">
        <v>1318</v>
      </c>
    </row>
    <row r="1189" spans="1:7" ht="15" thickBot="1" x14ac:dyDescent="0.4">
      <c r="A1189" s="98">
        <v>2005223328</v>
      </c>
      <c r="B1189" s="101" t="s">
        <v>1745</v>
      </c>
      <c r="C1189" s="98" t="s">
        <v>567</v>
      </c>
      <c r="D1189" s="98" t="s">
        <v>547</v>
      </c>
      <c r="E1189" s="98" t="s">
        <v>914</v>
      </c>
      <c r="F1189" s="98" t="s">
        <v>1317</v>
      </c>
      <c r="G1189" s="98" t="s">
        <v>1318</v>
      </c>
    </row>
    <row r="1190" spans="1:7" ht="15" thickBot="1" x14ac:dyDescent="0.4">
      <c r="A1190" s="98">
        <v>2005222533</v>
      </c>
      <c r="B1190" s="101" t="s">
        <v>1746</v>
      </c>
      <c r="C1190" s="98" t="s">
        <v>567</v>
      </c>
      <c r="D1190" s="98" t="s">
        <v>547</v>
      </c>
      <c r="E1190" s="98" t="s">
        <v>911</v>
      </c>
      <c r="F1190" s="98" t="s">
        <v>1317</v>
      </c>
      <c r="G1190" s="98" t="s">
        <v>1318</v>
      </c>
    </row>
    <row r="1191" spans="1:7" ht="15" thickBot="1" x14ac:dyDescent="0.4">
      <c r="A1191" s="98">
        <v>2005222533</v>
      </c>
      <c r="B1191" s="101" t="s">
        <v>1746</v>
      </c>
      <c r="C1191" s="98" t="s">
        <v>567</v>
      </c>
      <c r="D1191" s="98" t="s">
        <v>547</v>
      </c>
      <c r="E1191" s="98" t="s">
        <v>1342</v>
      </c>
      <c r="F1191" s="98" t="s">
        <v>1317</v>
      </c>
      <c r="G1191" s="98" t="s">
        <v>1318</v>
      </c>
    </row>
    <row r="1192" spans="1:7" ht="15" thickBot="1" x14ac:dyDescent="0.4">
      <c r="A1192" s="98">
        <v>2005222533</v>
      </c>
      <c r="B1192" s="101" t="s">
        <v>1746</v>
      </c>
      <c r="C1192" s="98" t="s">
        <v>567</v>
      </c>
      <c r="D1192" s="98" t="s">
        <v>547</v>
      </c>
      <c r="E1192" s="98" t="s">
        <v>915</v>
      </c>
      <c r="F1192" s="98" t="s">
        <v>1323</v>
      </c>
      <c r="G1192" s="98" t="s">
        <v>1319</v>
      </c>
    </row>
    <row r="1193" spans="1:7" ht="15" thickBot="1" x14ac:dyDescent="0.4">
      <c r="A1193" s="98">
        <v>2005225739</v>
      </c>
      <c r="B1193" s="101" t="s">
        <v>1747</v>
      </c>
      <c r="C1193" s="98" t="s">
        <v>567</v>
      </c>
      <c r="D1193" s="98" t="s">
        <v>547</v>
      </c>
      <c r="E1193" s="98" t="s">
        <v>1395</v>
      </c>
      <c r="F1193" s="98" t="s">
        <v>1317</v>
      </c>
      <c r="G1193" s="98" t="s">
        <v>1318</v>
      </c>
    </row>
    <row r="1194" spans="1:7" ht="15" thickBot="1" x14ac:dyDescent="0.4">
      <c r="A1194" s="98">
        <v>2005225739</v>
      </c>
      <c r="B1194" s="101" t="s">
        <v>1747</v>
      </c>
      <c r="C1194" s="98" t="s">
        <v>567</v>
      </c>
      <c r="D1194" s="98" t="s">
        <v>547</v>
      </c>
      <c r="E1194" s="98" t="s">
        <v>915</v>
      </c>
      <c r="F1194" s="98" t="s">
        <v>1323</v>
      </c>
      <c r="G1194" s="98" t="s">
        <v>1319</v>
      </c>
    </row>
    <row r="1195" spans="1:7" ht="15" thickBot="1" x14ac:dyDescent="0.4">
      <c r="A1195" s="98">
        <v>2005226055</v>
      </c>
      <c r="B1195" s="101" t="s">
        <v>1748</v>
      </c>
      <c r="C1195" s="98" t="s">
        <v>546</v>
      </c>
      <c r="D1195" s="98" t="s">
        <v>547</v>
      </c>
      <c r="E1195" s="98" t="s">
        <v>912</v>
      </c>
      <c r="F1195" s="98" t="s">
        <v>1317</v>
      </c>
      <c r="G1195" s="98" t="s">
        <v>1318</v>
      </c>
    </row>
    <row r="1196" spans="1:7" ht="15" thickBot="1" x14ac:dyDescent="0.4">
      <c r="A1196" s="98">
        <v>2005226055</v>
      </c>
      <c r="B1196" s="101" t="s">
        <v>1748</v>
      </c>
      <c r="C1196" s="98" t="s">
        <v>546</v>
      </c>
      <c r="D1196" s="98" t="s">
        <v>547</v>
      </c>
      <c r="E1196" s="98" t="s">
        <v>911</v>
      </c>
      <c r="F1196" s="98" t="s">
        <v>1317</v>
      </c>
      <c r="G1196" s="98" t="s">
        <v>1318</v>
      </c>
    </row>
    <row r="1197" spans="1:7" ht="15" thickBot="1" x14ac:dyDescent="0.4">
      <c r="A1197" s="98">
        <v>2005226055</v>
      </c>
      <c r="B1197" s="101" t="s">
        <v>1748</v>
      </c>
      <c r="C1197" s="98" t="s">
        <v>546</v>
      </c>
      <c r="D1197" s="98" t="s">
        <v>547</v>
      </c>
      <c r="E1197" s="98" t="s">
        <v>915</v>
      </c>
      <c r="F1197" s="98" t="s">
        <v>1317</v>
      </c>
      <c r="G1197" s="98" t="s">
        <v>1319</v>
      </c>
    </row>
    <row r="1198" spans="1:7" ht="15" thickBot="1" x14ac:dyDescent="0.4">
      <c r="A1198" s="98">
        <v>2005226113</v>
      </c>
      <c r="B1198" s="101" t="s">
        <v>96</v>
      </c>
      <c r="C1198" s="98" t="s">
        <v>567</v>
      </c>
      <c r="D1198" s="98" t="s">
        <v>547</v>
      </c>
      <c r="E1198" s="98" t="s">
        <v>911</v>
      </c>
      <c r="F1198" s="98" t="s">
        <v>1317</v>
      </c>
      <c r="G1198" s="98" t="s">
        <v>1318</v>
      </c>
    </row>
    <row r="1199" spans="1:7" ht="15" thickBot="1" x14ac:dyDescent="0.4">
      <c r="A1199" s="98">
        <v>2005226113</v>
      </c>
      <c r="B1199" s="101" t="s">
        <v>96</v>
      </c>
      <c r="C1199" s="98" t="s">
        <v>567</v>
      </c>
      <c r="D1199" s="98" t="s">
        <v>547</v>
      </c>
      <c r="E1199" s="98" t="s">
        <v>915</v>
      </c>
      <c r="F1199" s="98" t="s">
        <v>1317</v>
      </c>
      <c r="G1199" s="98" t="s">
        <v>1319</v>
      </c>
    </row>
    <row r="1200" spans="1:7" ht="15" thickBot="1" x14ac:dyDescent="0.4">
      <c r="A1200" s="98">
        <v>2005226113</v>
      </c>
      <c r="B1200" s="101" t="s">
        <v>96</v>
      </c>
      <c r="C1200" s="98" t="s">
        <v>567</v>
      </c>
      <c r="D1200" s="98" t="s">
        <v>547</v>
      </c>
      <c r="E1200" s="98" t="s">
        <v>914</v>
      </c>
      <c r="F1200" s="98" t="s">
        <v>1317</v>
      </c>
      <c r="G1200" s="98" t="s">
        <v>1318</v>
      </c>
    </row>
    <row r="1201" spans="1:7" ht="15" thickBot="1" x14ac:dyDescent="0.4">
      <c r="A1201" s="98">
        <v>2005220110</v>
      </c>
      <c r="B1201" s="101" t="s">
        <v>1749</v>
      </c>
      <c r="C1201" s="98" t="s">
        <v>567</v>
      </c>
      <c r="D1201" s="98" t="s">
        <v>547</v>
      </c>
      <c r="E1201" s="98" t="s">
        <v>913</v>
      </c>
      <c r="F1201" s="98" t="s">
        <v>1317</v>
      </c>
      <c r="G1201" s="98" t="s">
        <v>1318</v>
      </c>
    </row>
    <row r="1202" spans="1:7" ht="15" thickBot="1" x14ac:dyDescent="0.4">
      <c r="A1202" s="98">
        <v>2005220110</v>
      </c>
      <c r="B1202" s="101" t="s">
        <v>1749</v>
      </c>
      <c r="C1202" s="98" t="s">
        <v>567</v>
      </c>
      <c r="D1202" s="98" t="s">
        <v>547</v>
      </c>
      <c r="E1202" s="98" t="s">
        <v>1342</v>
      </c>
      <c r="F1202" s="98" t="s">
        <v>1317</v>
      </c>
      <c r="G1202" s="98" t="s">
        <v>1318</v>
      </c>
    </row>
    <row r="1203" spans="1:7" ht="15" thickBot="1" x14ac:dyDescent="0.4">
      <c r="A1203" s="98">
        <v>2005220110</v>
      </c>
      <c r="B1203" s="101" t="s">
        <v>1749</v>
      </c>
      <c r="C1203" s="98" t="s">
        <v>567</v>
      </c>
      <c r="D1203" s="98" t="s">
        <v>547</v>
      </c>
      <c r="E1203" s="98" t="s">
        <v>911</v>
      </c>
      <c r="F1203" s="98" t="s">
        <v>1323</v>
      </c>
      <c r="G1203" s="98" t="s">
        <v>1318</v>
      </c>
    </row>
    <row r="1204" spans="1:7" ht="15" thickBot="1" x14ac:dyDescent="0.4">
      <c r="A1204" s="98">
        <v>2005222306</v>
      </c>
      <c r="B1204" s="101" t="s">
        <v>1750</v>
      </c>
      <c r="C1204" s="98" t="s">
        <v>567</v>
      </c>
      <c r="D1204" s="98" t="s">
        <v>547</v>
      </c>
      <c r="E1204" s="98" t="s">
        <v>911</v>
      </c>
      <c r="F1204" s="98" t="s">
        <v>1317</v>
      </c>
      <c r="G1204" s="98" t="s">
        <v>1318</v>
      </c>
    </row>
    <row r="1205" spans="1:7" ht="15" thickBot="1" x14ac:dyDescent="0.4">
      <c r="A1205" s="98">
        <v>2005222306</v>
      </c>
      <c r="B1205" s="101" t="s">
        <v>1750</v>
      </c>
      <c r="C1205" s="98" t="s">
        <v>567</v>
      </c>
      <c r="D1205" s="98" t="s">
        <v>547</v>
      </c>
      <c r="E1205" s="98" t="s">
        <v>912</v>
      </c>
      <c r="F1205" s="98" t="s">
        <v>1317</v>
      </c>
      <c r="G1205" s="98" t="s">
        <v>1318</v>
      </c>
    </row>
    <row r="1206" spans="1:7" ht="15" thickBot="1" x14ac:dyDescent="0.4">
      <c r="A1206" s="98">
        <v>2041225790</v>
      </c>
      <c r="B1206" s="101" t="s">
        <v>1614</v>
      </c>
      <c r="C1206" s="98" t="s">
        <v>148</v>
      </c>
      <c r="D1206" s="98" t="s">
        <v>547</v>
      </c>
      <c r="E1206" s="98" t="s">
        <v>914</v>
      </c>
      <c r="F1206" s="98" t="s">
        <v>1317</v>
      </c>
      <c r="G1206" s="98" t="s">
        <v>1318</v>
      </c>
    </row>
    <row r="1207" spans="1:7" ht="15" thickBot="1" x14ac:dyDescent="0.4">
      <c r="A1207" s="98">
        <v>2005221745</v>
      </c>
      <c r="B1207" s="101" t="s">
        <v>1751</v>
      </c>
      <c r="C1207" s="98" t="s">
        <v>567</v>
      </c>
      <c r="D1207" s="98" t="s">
        <v>547</v>
      </c>
      <c r="E1207" s="98" t="s">
        <v>912</v>
      </c>
      <c r="F1207" s="98" t="s">
        <v>1317</v>
      </c>
      <c r="G1207" s="98" t="s">
        <v>1318</v>
      </c>
    </row>
    <row r="1208" spans="1:7" ht="15" thickBot="1" x14ac:dyDescent="0.4">
      <c r="A1208" s="98">
        <v>2005221745</v>
      </c>
      <c r="B1208" s="101" t="s">
        <v>1751</v>
      </c>
      <c r="C1208" s="98" t="s">
        <v>567</v>
      </c>
      <c r="D1208" s="98" t="s">
        <v>547</v>
      </c>
      <c r="E1208" s="98" t="s">
        <v>911</v>
      </c>
      <c r="F1208" s="98" t="s">
        <v>1317</v>
      </c>
      <c r="G1208" s="98" t="s">
        <v>1318</v>
      </c>
    </row>
    <row r="1209" spans="1:7" ht="15" thickBot="1" x14ac:dyDescent="0.4">
      <c r="A1209" s="98">
        <v>2005221745</v>
      </c>
      <c r="B1209" s="101" t="s">
        <v>1751</v>
      </c>
      <c r="C1209" s="98" t="s">
        <v>567</v>
      </c>
      <c r="D1209" s="98" t="s">
        <v>547</v>
      </c>
      <c r="E1209" s="98" t="s">
        <v>915</v>
      </c>
      <c r="F1209" s="98" t="s">
        <v>1317</v>
      </c>
      <c r="G1209" s="98" t="s">
        <v>1319</v>
      </c>
    </row>
    <row r="1210" spans="1:7" ht="15" thickBot="1" x14ac:dyDescent="0.4">
      <c r="A1210" s="98">
        <v>2005225700</v>
      </c>
      <c r="B1210" s="101" t="s">
        <v>1752</v>
      </c>
      <c r="C1210" s="98" t="s">
        <v>567</v>
      </c>
      <c r="D1210" s="98" t="s">
        <v>547</v>
      </c>
      <c r="E1210" s="98" t="s">
        <v>912</v>
      </c>
      <c r="F1210" s="98" t="s">
        <v>1317</v>
      </c>
      <c r="G1210" s="98" t="s">
        <v>1318</v>
      </c>
    </row>
    <row r="1211" spans="1:7" ht="15" thickBot="1" x14ac:dyDescent="0.4">
      <c r="A1211" s="98">
        <v>2005225700</v>
      </c>
      <c r="B1211" s="101" t="s">
        <v>1752</v>
      </c>
      <c r="C1211" s="98" t="s">
        <v>567</v>
      </c>
      <c r="D1211" s="98" t="s">
        <v>547</v>
      </c>
      <c r="E1211" s="98" t="s">
        <v>914</v>
      </c>
      <c r="F1211" s="98" t="s">
        <v>1317</v>
      </c>
      <c r="G1211" s="98" t="s">
        <v>1318</v>
      </c>
    </row>
    <row r="1212" spans="1:7" ht="15" thickBot="1" x14ac:dyDescent="0.4">
      <c r="A1212" s="98">
        <v>2005225700</v>
      </c>
      <c r="B1212" s="101" t="s">
        <v>1752</v>
      </c>
      <c r="C1212" s="98" t="s">
        <v>567</v>
      </c>
      <c r="D1212" s="98" t="s">
        <v>547</v>
      </c>
      <c r="E1212" s="98" t="s">
        <v>915</v>
      </c>
      <c r="F1212" s="98" t="s">
        <v>1323</v>
      </c>
      <c r="G1212" s="98" t="s">
        <v>1319</v>
      </c>
    </row>
    <row r="1213" spans="1:7" ht="15" thickBot="1" x14ac:dyDescent="0.4">
      <c r="A1213" s="98">
        <v>2005223003</v>
      </c>
      <c r="B1213" s="101" t="s">
        <v>2062</v>
      </c>
      <c r="C1213" s="98" t="s">
        <v>567</v>
      </c>
      <c r="D1213" s="98" t="s">
        <v>547</v>
      </c>
      <c r="E1213" s="98" t="s">
        <v>1395</v>
      </c>
      <c r="F1213" s="98" t="s">
        <v>1317</v>
      </c>
      <c r="G1213" s="98" t="s">
        <v>1318</v>
      </c>
    </row>
    <row r="1214" spans="1:7" ht="15" thickBot="1" x14ac:dyDescent="0.4">
      <c r="A1214" s="98">
        <v>2005223003</v>
      </c>
      <c r="B1214" s="101" t="s">
        <v>2062</v>
      </c>
      <c r="C1214" s="98" t="s">
        <v>567</v>
      </c>
      <c r="D1214" s="98" t="s">
        <v>547</v>
      </c>
      <c r="E1214" s="98" t="s">
        <v>914</v>
      </c>
      <c r="F1214" s="98" t="s">
        <v>1317</v>
      </c>
      <c r="G1214" s="98" t="s">
        <v>1318</v>
      </c>
    </row>
    <row r="1215" spans="1:7" ht="15" thickBot="1" x14ac:dyDescent="0.4">
      <c r="A1215" s="98">
        <v>2005223003</v>
      </c>
      <c r="B1215" s="101" t="s">
        <v>2062</v>
      </c>
      <c r="C1215" s="98" t="s">
        <v>567</v>
      </c>
      <c r="D1215" s="98" t="s">
        <v>547</v>
      </c>
      <c r="E1215" s="98" t="s">
        <v>911</v>
      </c>
      <c r="F1215" s="98" t="s">
        <v>1317</v>
      </c>
      <c r="G1215" s="98" t="s">
        <v>1318</v>
      </c>
    </row>
    <row r="1216" spans="1:7" ht="15" thickBot="1" x14ac:dyDescent="0.4">
      <c r="A1216" s="98">
        <v>2041221509</v>
      </c>
      <c r="B1216" s="101" t="s">
        <v>1620</v>
      </c>
      <c r="C1216" s="98" t="s">
        <v>444</v>
      </c>
      <c r="D1216" s="98" t="s">
        <v>547</v>
      </c>
      <c r="E1216" s="98" t="s">
        <v>915</v>
      </c>
      <c r="F1216" s="98" t="s">
        <v>1317</v>
      </c>
      <c r="G1216" s="98" t="s">
        <v>1319</v>
      </c>
    </row>
    <row r="1217" spans="1:7" ht="15" thickBot="1" x14ac:dyDescent="0.4">
      <c r="A1217" s="98">
        <v>2005225385</v>
      </c>
      <c r="B1217" s="101" t="s">
        <v>1753</v>
      </c>
      <c r="C1217" s="98" t="s">
        <v>567</v>
      </c>
      <c r="D1217" s="98" t="s">
        <v>547</v>
      </c>
      <c r="E1217" s="98" t="s">
        <v>912</v>
      </c>
      <c r="F1217" s="98" t="s">
        <v>1317</v>
      </c>
      <c r="G1217" s="98" t="s">
        <v>1318</v>
      </c>
    </row>
    <row r="1218" spans="1:7" ht="15" thickBot="1" x14ac:dyDescent="0.4">
      <c r="A1218" s="98">
        <v>2005225385</v>
      </c>
      <c r="B1218" s="101" t="s">
        <v>1754</v>
      </c>
      <c r="C1218" s="98" t="s">
        <v>567</v>
      </c>
      <c r="D1218" s="98" t="s">
        <v>547</v>
      </c>
      <c r="E1218" s="98" t="s">
        <v>911</v>
      </c>
      <c r="F1218" s="98" t="s">
        <v>1317</v>
      </c>
      <c r="G1218" s="98" t="s">
        <v>1318</v>
      </c>
    </row>
    <row r="1219" spans="1:7" ht="15" thickBot="1" x14ac:dyDescent="0.4">
      <c r="A1219" s="98">
        <v>2005225385</v>
      </c>
      <c r="B1219" s="101" t="s">
        <v>1754</v>
      </c>
      <c r="C1219" s="98" t="s">
        <v>567</v>
      </c>
      <c r="D1219" s="98" t="s">
        <v>547</v>
      </c>
      <c r="E1219" s="98" t="s">
        <v>915</v>
      </c>
      <c r="F1219" s="98" t="s">
        <v>1323</v>
      </c>
      <c r="G1219" s="98" t="s">
        <v>1319</v>
      </c>
    </row>
    <row r="1220" spans="1:7" ht="15" thickBot="1" x14ac:dyDescent="0.4">
      <c r="A1220" s="98">
        <v>2005222677</v>
      </c>
      <c r="B1220" s="101" t="s">
        <v>1755</v>
      </c>
      <c r="C1220" s="98" t="s">
        <v>567</v>
      </c>
      <c r="D1220" s="98" t="s">
        <v>547</v>
      </c>
      <c r="E1220" s="98" t="s">
        <v>912</v>
      </c>
      <c r="F1220" s="98" t="s">
        <v>1317</v>
      </c>
      <c r="G1220" s="98" t="s">
        <v>1318</v>
      </c>
    </row>
    <row r="1221" spans="1:7" ht="15" thickBot="1" x14ac:dyDescent="0.4">
      <c r="A1221" s="98">
        <v>2005222677</v>
      </c>
      <c r="B1221" s="101" t="s">
        <v>1755</v>
      </c>
      <c r="C1221" s="98" t="s">
        <v>567</v>
      </c>
      <c r="D1221" s="98" t="s">
        <v>547</v>
      </c>
      <c r="E1221" s="98" t="s">
        <v>914</v>
      </c>
      <c r="F1221" s="98" t="s">
        <v>1317</v>
      </c>
      <c r="G1221" s="98" t="s">
        <v>1318</v>
      </c>
    </row>
    <row r="1222" spans="1:7" ht="15" thickBot="1" x14ac:dyDescent="0.4">
      <c r="A1222" s="98">
        <v>2005222677</v>
      </c>
      <c r="B1222" s="101" t="s">
        <v>1755</v>
      </c>
      <c r="C1222" s="98" t="s">
        <v>567</v>
      </c>
      <c r="D1222" s="98" t="s">
        <v>547</v>
      </c>
      <c r="E1222" s="98" t="s">
        <v>911</v>
      </c>
      <c r="F1222" s="98" t="s">
        <v>1317</v>
      </c>
      <c r="G1222" s="98" t="s">
        <v>1318</v>
      </c>
    </row>
    <row r="1223" spans="1:7" ht="15" thickBot="1" x14ac:dyDescent="0.4">
      <c r="A1223" s="98">
        <v>2005224143</v>
      </c>
      <c r="B1223" s="101" t="s">
        <v>1756</v>
      </c>
      <c r="C1223" s="98" t="s">
        <v>283</v>
      </c>
      <c r="D1223" s="98" t="s">
        <v>633</v>
      </c>
      <c r="E1223" s="98" t="s">
        <v>912</v>
      </c>
      <c r="F1223" s="98" t="s">
        <v>1317</v>
      </c>
      <c r="G1223" s="98" t="s">
        <v>1318</v>
      </c>
    </row>
    <row r="1224" spans="1:7" ht="15" thickBot="1" x14ac:dyDescent="0.4">
      <c r="A1224" s="98">
        <v>2005224143</v>
      </c>
      <c r="B1224" s="101" t="s">
        <v>1756</v>
      </c>
      <c r="C1224" s="98" t="s">
        <v>283</v>
      </c>
      <c r="D1224" s="98" t="s">
        <v>633</v>
      </c>
      <c r="E1224" s="98" t="s">
        <v>914</v>
      </c>
      <c r="F1224" s="98" t="s">
        <v>1317</v>
      </c>
      <c r="G1224" s="98" t="s">
        <v>1318</v>
      </c>
    </row>
    <row r="1225" spans="1:7" ht="15" thickBot="1" x14ac:dyDescent="0.4">
      <c r="A1225" s="98">
        <v>2005224143</v>
      </c>
      <c r="B1225" s="101" t="s">
        <v>1756</v>
      </c>
      <c r="C1225" s="98" t="s">
        <v>283</v>
      </c>
      <c r="D1225" s="98" t="s">
        <v>633</v>
      </c>
      <c r="E1225" s="98" t="s">
        <v>915</v>
      </c>
      <c r="F1225" s="98" t="s">
        <v>1317</v>
      </c>
      <c r="G1225" s="98" t="s">
        <v>1319</v>
      </c>
    </row>
    <row r="1226" spans="1:7" ht="15" thickBot="1" x14ac:dyDescent="0.4">
      <c r="A1226" s="98">
        <v>2005223802</v>
      </c>
      <c r="B1226" s="101" t="s">
        <v>1757</v>
      </c>
      <c r="C1226" s="98" t="s">
        <v>283</v>
      </c>
      <c r="D1226" s="98" t="s">
        <v>633</v>
      </c>
      <c r="E1226" s="98" t="s">
        <v>911</v>
      </c>
      <c r="F1226" s="98" t="s">
        <v>1317</v>
      </c>
      <c r="G1226" s="98" t="s">
        <v>1318</v>
      </c>
    </row>
    <row r="1227" spans="1:7" ht="15" thickBot="1" x14ac:dyDescent="0.4">
      <c r="A1227" s="98">
        <v>2005223802</v>
      </c>
      <c r="B1227" s="101" t="s">
        <v>1757</v>
      </c>
      <c r="C1227" s="98" t="s">
        <v>283</v>
      </c>
      <c r="D1227" s="98" t="s">
        <v>633</v>
      </c>
      <c r="E1227" s="98" t="s">
        <v>912</v>
      </c>
      <c r="F1227" s="98" t="s">
        <v>1317</v>
      </c>
      <c r="G1227" s="98" t="s">
        <v>1318</v>
      </c>
    </row>
    <row r="1228" spans="1:7" ht="15" thickBot="1" x14ac:dyDescent="0.4">
      <c r="A1228" s="98">
        <v>2005223802</v>
      </c>
      <c r="B1228" s="101" t="s">
        <v>1757</v>
      </c>
      <c r="C1228" s="98" t="s">
        <v>283</v>
      </c>
      <c r="D1228" s="98" t="s">
        <v>633</v>
      </c>
      <c r="E1228" s="98" t="s">
        <v>915</v>
      </c>
      <c r="F1228" s="98" t="s">
        <v>1323</v>
      </c>
      <c r="G1228" s="98" t="s">
        <v>1319</v>
      </c>
    </row>
    <row r="1229" spans="1:7" ht="15" thickBot="1" x14ac:dyDescent="0.4">
      <c r="A1229" s="98">
        <v>2005225893</v>
      </c>
      <c r="B1229" s="101" t="s">
        <v>1758</v>
      </c>
      <c r="C1229" s="98" t="s">
        <v>283</v>
      </c>
      <c r="D1229" s="98" t="s">
        <v>633</v>
      </c>
      <c r="E1229" s="98" t="s">
        <v>911</v>
      </c>
      <c r="F1229" s="98" t="s">
        <v>1317</v>
      </c>
      <c r="G1229" s="98" t="s">
        <v>1318</v>
      </c>
    </row>
    <row r="1230" spans="1:7" ht="15" thickBot="1" x14ac:dyDescent="0.4">
      <c r="A1230" s="98">
        <v>2005225893</v>
      </c>
      <c r="B1230" s="101" t="s">
        <v>1758</v>
      </c>
      <c r="C1230" s="98" t="s">
        <v>283</v>
      </c>
      <c r="D1230" s="98" t="s">
        <v>633</v>
      </c>
      <c r="E1230" s="98" t="s">
        <v>1342</v>
      </c>
      <c r="F1230" s="98" t="s">
        <v>1317</v>
      </c>
      <c r="G1230" s="98" t="s">
        <v>1318</v>
      </c>
    </row>
    <row r="1231" spans="1:7" ht="15" thickBot="1" x14ac:dyDescent="0.4">
      <c r="A1231" s="98">
        <v>2005221389</v>
      </c>
      <c r="B1231" s="101" t="s">
        <v>1759</v>
      </c>
      <c r="C1231" s="98" t="s">
        <v>337</v>
      </c>
      <c r="D1231" s="98" t="s">
        <v>633</v>
      </c>
      <c r="E1231" s="98" t="s">
        <v>913</v>
      </c>
      <c r="F1231" s="98" t="s">
        <v>1317</v>
      </c>
      <c r="G1231" s="98" t="s">
        <v>1318</v>
      </c>
    </row>
    <row r="1232" spans="1:7" ht="15" thickBot="1" x14ac:dyDescent="0.4">
      <c r="A1232" s="98">
        <v>2005221389</v>
      </c>
      <c r="B1232" s="101" t="s">
        <v>1759</v>
      </c>
      <c r="C1232" s="98" t="s">
        <v>337</v>
      </c>
      <c r="D1232" s="98" t="s">
        <v>633</v>
      </c>
      <c r="E1232" s="98" t="s">
        <v>912</v>
      </c>
      <c r="F1232" s="98" t="s">
        <v>1317</v>
      </c>
      <c r="G1232" s="98" t="s">
        <v>1318</v>
      </c>
    </row>
    <row r="1233" spans="1:7" ht="15" thickBot="1" x14ac:dyDescent="0.4">
      <c r="A1233" s="98">
        <v>2005221389</v>
      </c>
      <c r="B1233" s="101" t="s">
        <v>1759</v>
      </c>
      <c r="C1233" s="98" t="s">
        <v>337</v>
      </c>
      <c r="D1233" s="98" t="s">
        <v>633</v>
      </c>
      <c r="E1233" s="98" t="s">
        <v>915</v>
      </c>
      <c r="F1233" s="98" t="s">
        <v>1317</v>
      </c>
      <c r="G1233" s="98" t="s">
        <v>1319</v>
      </c>
    </row>
    <row r="1234" spans="1:7" ht="15" thickBot="1" x14ac:dyDescent="0.4">
      <c r="A1234" s="98">
        <v>2005225186</v>
      </c>
      <c r="B1234" s="101" t="s">
        <v>1393</v>
      </c>
      <c r="C1234" s="98" t="s">
        <v>283</v>
      </c>
      <c r="D1234" s="98" t="s">
        <v>633</v>
      </c>
      <c r="E1234" s="98" t="s">
        <v>915</v>
      </c>
      <c r="F1234" s="98" t="s">
        <v>1317</v>
      </c>
      <c r="G1234" s="98" t="s">
        <v>1319</v>
      </c>
    </row>
    <row r="1235" spans="1:7" ht="15" thickBot="1" x14ac:dyDescent="0.4">
      <c r="A1235" s="98">
        <v>2005221495</v>
      </c>
      <c r="B1235" s="101" t="s">
        <v>1760</v>
      </c>
      <c r="C1235" s="98" t="s">
        <v>337</v>
      </c>
      <c r="D1235" s="98" t="s">
        <v>633</v>
      </c>
      <c r="E1235" s="98" t="s">
        <v>912</v>
      </c>
      <c r="F1235" s="98" t="s">
        <v>1317</v>
      </c>
      <c r="G1235" s="98" t="s">
        <v>1318</v>
      </c>
    </row>
    <row r="1236" spans="1:7" ht="15" thickBot="1" x14ac:dyDescent="0.4">
      <c r="A1236" s="98">
        <v>2005221495</v>
      </c>
      <c r="B1236" s="101" t="s">
        <v>1760</v>
      </c>
      <c r="C1236" s="98" t="s">
        <v>337</v>
      </c>
      <c r="D1236" s="98" t="s">
        <v>633</v>
      </c>
      <c r="E1236" s="98" t="s">
        <v>914</v>
      </c>
      <c r="F1236" s="98" t="s">
        <v>1317</v>
      </c>
      <c r="G1236" s="98" t="s">
        <v>1318</v>
      </c>
    </row>
    <row r="1237" spans="1:7" ht="15" thickBot="1" x14ac:dyDescent="0.4">
      <c r="A1237" s="98">
        <v>2005221495</v>
      </c>
      <c r="B1237" s="101" t="s">
        <v>1760</v>
      </c>
      <c r="C1237" s="98" t="s">
        <v>337</v>
      </c>
      <c r="D1237" s="98" t="s">
        <v>633</v>
      </c>
      <c r="E1237" s="98" t="s">
        <v>915</v>
      </c>
      <c r="F1237" s="98" t="s">
        <v>1317</v>
      </c>
      <c r="G1237" s="98" t="s">
        <v>1319</v>
      </c>
    </row>
    <row r="1238" spans="1:7" ht="15" thickBot="1" x14ac:dyDescent="0.4">
      <c r="A1238" s="98">
        <v>2005225105</v>
      </c>
      <c r="B1238" s="101" t="s">
        <v>1761</v>
      </c>
      <c r="C1238" s="98" t="s">
        <v>283</v>
      </c>
      <c r="D1238" s="98" t="s">
        <v>633</v>
      </c>
      <c r="E1238" s="98" t="s">
        <v>912</v>
      </c>
      <c r="F1238" s="98" t="s">
        <v>1317</v>
      </c>
      <c r="G1238" s="98" t="s">
        <v>1318</v>
      </c>
    </row>
    <row r="1239" spans="1:7" ht="15" thickBot="1" x14ac:dyDescent="0.4">
      <c r="A1239" s="98">
        <v>2005225105</v>
      </c>
      <c r="B1239" s="101" t="s">
        <v>1761</v>
      </c>
      <c r="C1239" s="98" t="s">
        <v>283</v>
      </c>
      <c r="D1239" s="98" t="s">
        <v>633</v>
      </c>
      <c r="E1239" s="98" t="s">
        <v>915</v>
      </c>
      <c r="F1239" s="98" t="s">
        <v>1317</v>
      </c>
      <c r="G1239" s="98" t="s">
        <v>1319</v>
      </c>
    </row>
    <row r="1240" spans="1:7" ht="15" thickBot="1" x14ac:dyDescent="0.4">
      <c r="A1240" s="98">
        <v>2005225105</v>
      </c>
      <c r="B1240" s="101" t="s">
        <v>1762</v>
      </c>
      <c r="C1240" s="98" t="s">
        <v>283</v>
      </c>
      <c r="D1240" s="98" t="s">
        <v>633</v>
      </c>
      <c r="E1240" s="98" t="s">
        <v>911</v>
      </c>
      <c r="F1240" s="98" t="s">
        <v>1317</v>
      </c>
      <c r="G1240" s="98" t="s">
        <v>1318</v>
      </c>
    </row>
    <row r="1241" spans="1:7" ht="15" thickBot="1" x14ac:dyDescent="0.4">
      <c r="A1241" s="98">
        <v>2005225988</v>
      </c>
      <c r="B1241" s="101" t="s">
        <v>1763</v>
      </c>
      <c r="C1241" s="98" t="s">
        <v>283</v>
      </c>
      <c r="D1241" s="98" t="s">
        <v>633</v>
      </c>
      <c r="E1241" s="98" t="s">
        <v>911</v>
      </c>
      <c r="F1241" s="98" t="s">
        <v>1317</v>
      </c>
      <c r="G1241" s="98" t="s">
        <v>1318</v>
      </c>
    </row>
    <row r="1242" spans="1:7" ht="15" thickBot="1" x14ac:dyDescent="0.4">
      <c r="A1242" s="98">
        <v>2005225988</v>
      </c>
      <c r="B1242" s="101" t="s">
        <v>1763</v>
      </c>
      <c r="C1242" s="98" t="s">
        <v>283</v>
      </c>
      <c r="D1242" s="98" t="s">
        <v>633</v>
      </c>
      <c r="E1242" s="98" t="s">
        <v>915</v>
      </c>
      <c r="F1242" s="98" t="s">
        <v>1317</v>
      </c>
      <c r="G1242" s="98" t="s">
        <v>1319</v>
      </c>
    </row>
    <row r="1243" spans="1:7" ht="15" thickBot="1" x14ac:dyDescent="0.4">
      <c r="A1243" s="98">
        <v>2005225988</v>
      </c>
      <c r="B1243" s="101" t="s">
        <v>1763</v>
      </c>
      <c r="C1243" s="98" t="s">
        <v>283</v>
      </c>
      <c r="D1243" s="98" t="s">
        <v>633</v>
      </c>
      <c r="E1243" s="98" t="s">
        <v>914</v>
      </c>
      <c r="F1243" s="98" t="s">
        <v>1317</v>
      </c>
      <c r="G1243" s="98" t="s">
        <v>1318</v>
      </c>
    </row>
    <row r="1244" spans="1:7" ht="15" thickBot="1" x14ac:dyDescent="0.4">
      <c r="A1244" s="98">
        <v>2005223187</v>
      </c>
      <c r="B1244" s="101" t="s">
        <v>1764</v>
      </c>
      <c r="C1244" s="98" t="s">
        <v>283</v>
      </c>
      <c r="D1244" s="98" t="s">
        <v>633</v>
      </c>
      <c r="E1244" s="98" t="s">
        <v>913</v>
      </c>
      <c r="F1244" s="98" t="s">
        <v>1317</v>
      </c>
      <c r="G1244" s="98" t="s">
        <v>1318</v>
      </c>
    </row>
    <row r="1245" spans="1:7" ht="15" thickBot="1" x14ac:dyDescent="0.4">
      <c r="A1245" s="98">
        <v>2005223187</v>
      </c>
      <c r="B1245" s="101" t="s">
        <v>1764</v>
      </c>
      <c r="C1245" s="98" t="s">
        <v>283</v>
      </c>
      <c r="D1245" s="98" t="s">
        <v>633</v>
      </c>
      <c r="E1245" s="98" t="s">
        <v>911</v>
      </c>
      <c r="F1245" s="98" t="s">
        <v>1317</v>
      </c>
      <c r="G1245" s="98" t="s">
        <v>1318</v>
      </c>
    </row>
    <row r="1246" spans="1:7" ht="15" thickBot="1" x14ac:dyDescent="0.4">
      <c r="A1246" s="98">
        <v>2005223187</v>
      </c>
      <c r="B1246" s="101" t="s">
        <v>1764</v>
      </c>
      <c r="C1246" s="98" t="s">
        <v>283</v>
      </c>
      <c r="D1246" s="98" t="s">
        <v>633</v>
      </c>
      <c r="E1246" s="98" t="s">
        <v>1342</v>
      </c>
      <c r="F1246" s="98" t="s">
        <v>1317</v>
      </c>
      <c r="G1246" s="98" t="s">
        <v>1318</v>
      </c>
    </row>
    <row r="1247" spans="1:7" ht="15" thickBot="1" x14ac:dyDescent="0.4">
      <c r="A1247" s="98">
        <v>2005226116</v>
      </c>
      <c r="B1247" s="101" t="s">
        <v>1765</v>
      </c>
      <c r="C1247" s="98" t="s">
        <v>283</v>
      </c>
      <c r="D1247" s="98" t="s">
        <v>633</v>
      </c>
      <c r="E1247" s="98" t="s">
        <v>1395</v>
      </c>
      <c r="F1247" s="98" t="s">
        <v>1317</v>
      </c>
      <c r="G1247" s="98" t="s">
        <v>1318</v>
      </c>
    </row>
    <row r="1248" spans="1:7" ht="15" thickBot="1" x14ac:dyDescent="0.4">
      <c r="A1248" s="98">
        <v>2005226116</v>
      </c>
      <c r="B1248" s="101" t="s">
        <v>1765</v>
      </c>
      <c r="C1248" s="98" t="s">
        <v>283</v>
      </c>
      <c r="D1248" s="98" t="s">
        <v>633</v>
      </c>
      <c r="E1248" s="98" t="s">
        <v>911</v>
      </c>
      <c r="F1248" s="98" t="s">
        <v>1317</v>
      </c>
      <c r="G1248" s="98" t="s">
        <v>1318</v>
      </c>
    </row>
    <row r="1249" spans="1:7" ht="15" thickBot="1" x14ac:dyDescent="0.4">
      <c r="A1249" s="98">
        <v>2005226116</v>
      </c>
      <c r="B1249" s="101" t="s">
        <v>1765</v>
      </c>
      <c r="C1249" s="98" t="s">
        <v>283</v>
      </c>
      <c r="D1249" s="98" t="s">
        <v>633</v>
      </c>
      <c r="E1249" s="98" t="s">
        <v>915</v>
      </c>
      <c r="F1249" s="98" t="s">
        <v>1317</v>
      </c>
      <c r="G1249" s="98" t="s">
        <v>1319</v>
      </c>
    </row>
    <row r="1250" spans="1:7" ht="15" thickBot="1" x14ac:dyDescent="0.4">
      <c r="A1250" s="98">
        <v>2005223358</v>
      </c>
      <c r="B1250" s="101" t="s">
        <v>1766</v>
      </c>
      <c r="C1250" s="98" t="s">
        <v>283</v>
      </c>
      <c r="D1250" s="98" t="s">
        <v>633</v>
      </c>
      <c r="E1250" s="98" t="s">
        <v>911</v>
      </c>
      <c r="F1250" s="98" t="s">
        <v>1317</v>
      </c>
      <c r="G1250" s="98" t="s">
        <v>1318</v>
      </c>
    </row>
    <row r="1251" spans="1:7" ht="15" thickBot="1" x14ac:dyDescent="0.4">
      <c r="A1251" s="98">
        <v>2005223358</v>
      </c>
      <c r="B1251" s="101" t="s">
        <v>1766</v>
      </c>
      <c r="C1251" s="98" t="s">
        <v>283</v>
      </c>
      <c r="D1251" s="98" t="s">
        <v>633</v>
      </c>
      <c r="E1251" s="98" t="s">
        <v>912</v>
      </c>
      <c r="F1251" s="98" t="s">
        <v>1317</v>
      </c>
      <c r="G1251" s="98" t="s">
        <v>1318</v>
      </c>
    </row>
    <row r="1252" spans="1:7" ht="15" thickBot="1" x14ac:dyDescent="0.4">
      <c r="A1252" s="98">
        <v>2005223358</v>
      </c>
      <c r="B1252" s="101" t="s">
        <v>1766</v>
      </c>
      <c r="C1252" s="98" t="s">
        <v>283</v>
      </c>
      <c r="D1252" s="98" t="s">
        <v>633</v>
      </c>
      <c r="E1252" s="98" t="s">
        <v>915</v>
      </c>
      <c r="F1252" s="98" t="s">
        <v>1317</v>
      </c>
      <c r="G1252" s="98" t="s">
        <v>1319</v>
      </c>
    </row>
    <row r="1253" spans="1:7" ht="15" thickBot="1" x14ac:dyDescent="0.4">
      <c r="A1253" s="98">
        <v>2005223246</v>
      </c>
      <c r="B1253" s="101" t="s">
        <v>1767</v>
      </c>
      <c r="C1253" s="98" t="s">
        <v>337</v>
      </c>
      <c r="D1253" s="98" t="s">
        <v>633</v>
      </c>
      <c r="E1253" s="98" t="s">
        <v>912</v>
      </c>
      <c r="F1253" s="98" t="s">
        <v>1317</v>
      </c>
      <c r="G1253" s="98" t="s">
        <v>1318</v>
      </c>
    </row>
    <row r="1254" spans="1:7" ht="15" thickBot="1" x14ac:dyDescent="0.4">
      <c r="A1254" s="98">
        <v>2005223246</v>
      </c>
      <c r="B1254" s="101" t="s">
        <v>1767</v>
      </c>
      <c r="C1254" s="98" t="s">
        <v>337</v>
      </c>
      <c r="D1254" s="98" t="s">
        <v>633</v>
      </c>
      <c r="E1254" s="98" t="s">
        <v>914</v>
      </c>
      <c r="F1254" s="98" t="s">
        <v>1317</v>
      </c>
      <c r="G1254" s="98" t="s">
        <v>1318</v>
      </c>
    </row>
    <row r="1255" spans="1:7" ht="15" thickBot="1" x14ac:dyDescent="0.4">
      <c r="A1255" s="98">
        <v>2005223246</v>
      </c>
      <c r="B1255" s="101" t="s">
        <v>1767</v>
      </c>
      <c r="C1255" s="98" t="s">
        <v>337</v>
      </c>
      <c r="D1255" s="98" t="s">
        <v>633</v>
      </c>
      <c r="E1255" s="98" t="s">
        <v>915</v>
      </c>
      <c r="F1255" s="98" t="s">
        <v>1317</v>
      </c>
      <c r="G1255" s="98" t="s">
        <v>1319</v>
      </c>
    </row>
    <row r="1256" spans="1:7" ht="15" thickBot="1" x14ac:dyDescent="0.4">
      <c r="A1256" s="98">
        <v>2005222211</v>
      </c>
      <c r="B1256" s="101" t="s">
        <v>1768</v>
      </c>
      <c r="C1256" s="98" t="s">
        <v>337</v>
      </c>
      <c r="D1256" s="98" t="s">
        <v>633</v>
      </c>
      <c r="E1256" s="98" t="s">
        <v>1406</v>
      </c>
      <c r="F1256" s="98" t="s">
        <v>1317</v>
      </c>
      <c r="G1256" s="98" t="s">
        <v>1318</v>
      </c>
    </row>
    <row r="1257" spans="1:7" ht="15" thickBot="1" x14ac:dyDescent="0.4">
      <c r="A1257" s="98">
        <v>2005222211</v>
      </c>
      <c r="B1257" s="101" t="s">
        <v>1768</v>
      </c>
      <c r="C1257" s="98" t="s">
        <v>337</v>
      </c>
      <c r="D1257" s="98" t="s">
        <v>633</v>
      </c>
      <c r="E1257" s="98" t="s">
        <v>915</v>
      </c>
      <c r="F1257" s="98" t="s">
        <v>1317</v>
      </c>
      <c r="G1257" s="98" t="s">
        <v>1319</v>
      </c>
    </row>
    <row r="1258" spans="1:7" ht="15" thickBot="1" x14ac:dyDescent="0.4">
      <c r="A1258" s="98">
        <v>2005225431</v>
      </c>
      <c r="B1258" s="101" t="s">
        <v>1769</v>
      </c>
      <c r="C1258" s="98" t="s">
        <v>283</v>
      </c>
      <c r="D1258" s="98" t="s">
        <v>633</v>
      </c>
      <c r="E1258" s="98" t="s">
        <v>912</v>
      </c>
      <c r="F1258" s="98" t="s">
        <v>1317</v>
      </c>
      <c r="G1258" s="98" t="s">
        <v>1318</v>
      </c>
    </row>
    <row r="1259" spans="1:7" ht="15" thickBot="1" x14ac:dyDescent="0.4">
      <c r="A1259" s="98">
        <v>2005225431</v>
      </c>
      <c r="B1259" s="101" t="s">
        <v>1769</v>
      </c>
      <c r="C1259" s="98" t="s">
        <v>283</v>
      </c>
      <c r="D1259" s="98" t="s">
        <v>633</v>
      </c>
      <c r="E1259" s="98" t="s">
        <v>913</v>
      </c>
      <c r="F1259" s="98" t="s">
        <v>1317</v>
      </c>
      <c r="G1259" s="98" t="s">
        <v>1318</v>
      </c>
    </row>
    <row r="1260" spans="1:7" ht="15" thickBot="1" x14ac:dyDescent="0.4">
      <c r="A1260" s="98">
        <v>2005225431</v>
      </c>
      <c r="B1260" s="101" t="s">
        <v>1769</v>
      </c>
      <c r="C1260" s="98" t="s">
        <v>283</v>
      </c>
      <c r="D1260" s="98" t="s">
        <v>633</v>
      </c>
      <c r="E1260" s="98" t="s">
        <v>915</v>
      </c>
      <c r="F1260" s="98" t="s">
        <v>1317</v>
      </c>
      <c r="G1260" s="98" t="s">
        <v>1319</v>
      </c>
    </row>
    <row r="1261" spans="1:7" ht="15" thickBot="1" x14ac:dyDescent="0.4">
      <c r="A1261" s="98">
        <v>2005223497</v>
      </c>
      <c r="B1261" s="101" t="s">
        <v>1770</v>
      </c>
      <c r="C1261" s="98" t="s">
        <v>1771</v>
      </c>
      <c r="D1261" s="98" t="s">
        <v>633</v>
      </c>
      <c r="E1261" s="98" t="s">
        <v>912</v>
      </c>
      <c r="F1261" s="98" t="s">
        <v>1317</v>
      </c>
      <c r="G1261" s="98" t="s">
        <v>1318</v>
      </c>
    </row>
    <row r="1262" spans="1:7" ht="15" thickBot="1" x14ac:dyDescent="0.4">
      <c r="A1262" s="98">
        <v>2005223497</v>
      </c>
      <c r="B1262" s="101" t="s">
        <v>1770</v>
      </c>
      <c r="C1262" s="98" t="s">
        <v>1771</v>
      </c>
      <c r="D1262" s="98" t="s">
        <v>633</v>
      </c>
      <c r="E1262" s="98" t="s">
        <v>911</v>
      </c>
      <c r="F1262" s="98" t="s">
        <v>1317</v>
      </c>
      <c r="G1262" s="98" t="s">
        <v>1318</v>
      </c>
    </row>
    <row r="1263" spans="1:7" ht="15" thickBot="1" x14ac:dyDescent="0.4">
      <c r="A1263" s="98">
        <v>2005223497</v>
      </c>
      <c r="B1263" s="101" t="s">
        <v>1770</v>
      </c>
      <c r="C1263" s="98" t="s">
        <v>1771</v>
      </c>
      <c r="D1263" s="98" t="s">
        <v>633</v>
      </c>
      <c r="E1263" s="98" t="s">
        <v>915</v>
      </c>
      <c r="F1263" s="98" t="s">
        <v>1323</v>
      </c>
      <c r="G1263" s="98" t="s">
        <v>1319</v>
      </c>
    </row>
    <row r="1264" spans="1:7" ht="15" thickBot="1" x14ac:dyDescent="0.4">
      <c r="A1264" s="98">
        <v>2005220254</v>
      </c>
      <c r="B1264" s="101" t="s">
        <v>1407</v>
      </c>
      <c r="C1264" s="98" t="s">
        <v>337</v>
      </c>
      <c r="D1264" s="98" t="s">
        <v>633</v>
      </c>
      <c r="E1264" s="98" t="s">
        <v>912</v>
      </c>
      <c r="F1264" s="98" t="s">
        <v>1317</v>
      </c>
      <c r="G1264" s="98" t="s">
        <v>1318</v>
      </c>
    </row>
    <row r="1265" spans="1:7" ht="15" thickBot="1" x14ac:dyDescent="0.4">
      <c r="A1265" s="98">
        <v>2005220254</v>
      </c>
      <c r="B1265" s="101" t="s">
        <v>1407</v>
      </c>
      <c r="C1265" s="98" t="s">
        <v>337</v>
      </c>
      <c r="D1265" s="98" t="s">
        <v>633</v>
      </c>
      <c r="E1265" s="98" t="s">
        <v>1342</v>
      </c>
      <c r="F1265" s="98" t="s">
        <v>1317</v>
      </c>
      <c r="G1265" s="98" t="s">
        <v>1318</v>
      </c>
    </row>
    <row r="1266" spans="1:7" ht="15" thickBot="1" x14ac:dyDescent="0.4">
      <c r="A1266" s="98">
        <v>2005220254</v>
      </c>
      <c r="B1266" s="101" t="s">
        <v>1407</v>
      </c>
      <c r="C1266" s="98" t="s">
        <v>337</v>
      </c>
      <c r="D1266" s="98" t="s">
        <v>633</v>
      </c>
      <c r="E1266" s="98" t="s">
        <v>911</v>
      </c>
      <c r="F1266" s="98" t="s">
        <v>1317</v>
      </c>
      <c r="G1266" s="98" t="s">
        <v>1318</v>
      </c>
    </row>
    <row r="1267" spans="1:7" ht="15" thickBot="1" x14ac:dyDescent="0.4">
      <c r="A1267" s="98">
        <v>2005220765</v>
      </c>
      <c r="B1267" s="101" t="s">
        <v>1772</v>
      </c>
      <c r="C1267" s="98" t="s">
        <v>337</v>
      </c>
      <c r="D1267" s="98" t="s">
        <v>633</v>
      </c>
      <c r="E1267" s="98" t="s">
        <v>912</v>
      </c>
      <c r="F1267" s="98" t="s">
        <v>1317</v>
      </c>
      <c r="G1267" s="98" t="s">
        <v>1318</v>
      </c>
    </row>
    <row r="1268" spans="1:7" ht="15" thickBot="1" x14ac:dyDescent="0.4">
      <c r="A1268" s="98">
        <v>2005220765</v>
      </c>
      <c r="B1268" s="101" t="s">
        <v>1772</v>
      </c>
      <c r="C1268" s="98" t="s">
        <v>337</v>
      </c>
      <c r="D1268" s="98" t="s">
        <v>633</v>
      </c>
      <c r="E1268" s="98" t="s">
        <v>911</v>
      </c>
      <c r="F1268" s="98" t="s">
        <v>1317</v>
      </c>
      <c r="G1268" s="98" t="s">
        <v>1318</v>
      </c>
    </row>
    <row r="1269" spans="1:7" ht="15" thickBot="1" x14ac:dyDescent="0.4">
      <c r="A1269" s="98">
        <v>2005220765</v>
      </c>
      <c r="B1269" s="101" t="s">
        <v>1772</v>
      </c>
      <c r="C1269" s="98" t="s">
        <v>337</v>
      </c>
      <c r="D1269" s="98" t="s">
        <v>633</v>
      </c>
      <c r="E1269" s="98" t="s">
        <v>915</v>
      </c>
      <c r="F1269" s="98" t="s">
        <v>1317</v>
      </c>
      <c r="G1269" s="98" t="s">
        <v>1319</v>
      </c>
    </row>
    <row r="1270" spans="1:7" ht="15" thickBot="1" x14ac:dyDescent="0.4">
      <c r="A1270" s="98">
        <v>2005222876</v>
      </c>
      <c r="B1270" s="101" t="s">
        <v>1773</v>
      </c>
      <c r="C1270" s="98" t="s">
        <v>283</v>
      </c>
      <c r="D1270" s="98" t="s">
        <v>633</v>
      </c>
      <c r="E1270" s="98" t="s">
        <v>911</v>
      </c>
      <c r="F1270" s="98" t="s">
        <v>1317</v>
      </c>
      <c r="G1270" s="98" t="s">
        <v>1318</v>
      </c>
    </row>
    <row r="1271" spans="1:7" ht="15" thickBot="1" x14ac:dyDescent="0.4">
      <c r="A1271" s="98">
        <v>2005222876</v>
      </c>
      <c r="B1271" s="101" t="s">
        <v>1773</v>
      </c>
      <c r="C1271" s="98" t="s">
        <v>283</v>
      </c>
      <c r="D1271" s="98" t="s">
        <v>633</v>
      </c>
      <c r="E1271" s="98" t="s">
        <v>912</v>
      </c>
      <c r="F1271" s="98" t="s">
        <v>1317</v>
      </c>
      <c r="G1271" s="98" t="s">
        <v>1318</v>
      </c>
    </row>
    <row r="1272" spans="1:7" ht="15" thickBot="1" x14ac:dyDescent="0.4">
      <c r="A1272" s="98">
        <v>2005222876</v>
      </c>
      <c r="B1272" s="101" t="s">
        <v>1773</v>
      </c>
      <c r="C1272" s="98" t="s">
        <v>283</v>
      </c>
      <c r="D1272" s="98" t="s">
        <v>633</v>
      </c>
      <c r="E1272" s="98" t="s">
        <v>915</v>
      </c>
      <c r="F1272" s="98" t="s">
        <v>1323</v>
      </c>
      <c r="G1272" s="98" t="s">
        <v>1319</v>
      </c>
    </row>
    <row r="1273" spans="1:7" ht="15" thickBot="1" x14ac:dyDescent="0.4">
      <c r="A1273" s="98">
        <v>2005225989</v>
      </c>
      <c r="B1273" s="101" t="s">
        <v>1774</v>
      </c>
      <c r="C1273" s="98" t="s">
        <v>283</v>
      </c>
      <c r="D1273" s="98" t="s">
        <v>633</v>
      </c>
      <c r="E1273" s="98" t="s">
        <v>911</v>
      </c>
      <c r="F1273" s="98" t="s">
        <v>1317</v>
      </c>
      <c r="G1273" s="98" t="s">
        <v>1318</v>
      </c>
    </row>
    <row r="1274" spans="1:7" ht="15" thickBot="1" x14ac:dyDescent="0.4">
      <c r="A1274" s="98">
        <v>2005225989</v>
      </c>
      <c r="B1274" s="101" t="s">
        <v>1774</v>
      </c>
      <c r="C1274" s="98" t="s">
        <v>283</v>
      </c>
      <c r="D1274" s="98" t="s">
        <v>633</v>
      </c>
      <c r="E1274" s="98" t="s">
        <v>915</v>
      </c>
      <c r="F1274" s="98" t="s">
        <v>1317</v>
      </c>
      <c r="G1274" s="98" t="s">
        <v>1319</v>
      </c>
    </row>
    <row r="1275" spans="1:7" ht="15" thickBot="1" x14ac:dyDescent="0.4">
      <c r="A1275" s="98">
        <v>2005225989</v>
      </c>
      <c r="B1275" s="101" t="s">
        <v>1775</v>
      </c>
      <c r="C1275" s="98" t="s">
        <v>283</v>
      </c>
      <c r="D1275" s="98" t="s">
        <v>633</v>
      </c>
      <c r="E1275" s="98" t="s">
        <v>912</v>
      </c>
      <c r="F1275" s="98" t="s">
        <v>1317</v>
      </c>
      <c r="G1275" s="98" t="s">
        <v>1318</v>
      </c>
    </row>
    <row r="1276" spans="1:7" ht="15" thickBot="1" x14ac:dyDescent="0.4">
      <c r="A1276" s="98">
        <v>2005225447</v>
      </c>
      <c r="B1276" s="101" t="s">
        <v>1776</v>
      </c>
      <c r="C1276" s="98" t="s">
        <v>283</v>
      </c>
      <c r="D1276" s="98" t="s">
        <v>633</v>
      </c>
      <c r="E1276" s="98" t="s">
        <v>915</v>
      </c>
      <c r="F1276" s="98" t="s">
        <v>1317</v>
      </c>
      <c r="G1276" s="98" t="s">
        <v>1319</v>
      </c>
    </row>
    <row r="1277" spans="1:7" ht="15" thickBot="1" x14ac:dyDescent="0.4">
      <c r="A1277" s="98">
        <v>2005225447</v>
      </c>
      <c r="B1277" s="101" t="s">
        <v>1776</v>
      </c>
      <c r="C1277" s="98" t="s">
        <v>283</v>
      </c>
      <c r="D1277" s="98" t="s">
        <v>633</v>
      </c>
      <c r="E1277" s="98" t="s">
        <v>912</v>
      </c>
      <c r="F1277" s="98" t="s">
        <v>1317</v>
      </c>
      <c r="G1277" s="98" t="s">
        <v>1318</v>
      </c>
    </row>
    <row r="1278" spans="1:7" ht="15" thickBot="1" x14ac:dyDescent="0.4">
      <c r="A1278" s="98">
        <v>2005225447</v>
      </c>
      <c r="B1278" s="101" t="s">
        <v>1776</v>
      </c>
      <c r="C1278" s="98" t="s">
        <v>283</v>
      </c>
      <c r="D1278" s="98" t="s">
        <v>633</v>
      </c>
      <c r="E1278" s="98" t="s">
        <v>911</v>
      </c>
      <c r="F1278" s="98" t="s">
        <v>1317</v>
      </c>
      <c r="G1278" s="98" t="s">
        <v>1318</v>
      </c>
    </row>
    <row r="1279" spans="1:7" ht="15" thickBot="1" x14ac:dyDescent="0.4">
      <c r="A1279" s="98">
        <v>2005222213</v>
      </c>
      <c r="B1279" s="101" t="s">
        <v>1777</v>
      </c>
      <c r="C1279" s="98" t="s">
        <v>337</v>
      </c>
      <c r="D1279" s="98" t="s">
        <v>633</v>
      </c>
      <c r="E1279" s="98" t="s">
        <v>911</v>
      </c>
      <c r="F1279" s="98" t="s">
        <v>1317</v>
      </c>
      <c r="G1279" s="98" t="s">
        <v>1318</v>
      </c>
    </row>
    <row r="1280" spans="1:7" ht="15" thickBot="1" x14ac:dyDescent="0.4">
      <c r="A1280" s="98">
        <v>2005222213</v>
      </c>
      <c r="B1280" s="101" t="s">
        <v>1777</v>
      </c>
      <c r="C1280" s="98" t="s">
        <v>337</v>
      </c>
      <c r="D1280" s="98" t="s">
        <v>633</v>
      </c>
      <c r="E1280" s="98" t="s">
        <v>912</v>
      </c>
      <c r="F1280" s="98" t="s">
        <v>1317</v>
      </c>
      <c r="G1280" s="98" t="s">
        <v>1318</v>
      </c>
    </row>
    <row r="1281" spans="1:7" ht="15" thickBot="1" x14ac:dyDescent="0.4">
      <c r="A1281" s="98">
        <v>2005221286</v>
      </c>
      <c r="B1281" s="101" t="s">
        <v>1778</v>
      </c>
      <c r="C1281" s="98" t="s">
        <v>337</v>
      </c>
      <c r="D1281" s="98" t="s">
        <v>633</v>
      </c>
      <c r="E1281" s="98" t="s">
        <v>912</v>
      </c>
      <c r="F1281" s="98" t="s">
        <v>1317</v>
      </c>
      <c r="G1281" s="98" t="s">
        <v>1318</v>
      </c>
    </row>
    <row r="1282" spans="1:7" ht="15" thickBot="1" x14ac:dyDescent="0.4">
      <c r="A1282" s="98">
        <v>2005221286</v>
      </c>
      <c r="B1282" s="101" t="s">
        <v>1778</v>
      </c>
      <c r="C1282" s="98" t="s">
        <v>337</v>
      </c>
      <c r="D1282" s="98" t="s">
        <v>633</v>
      </c>
      <c r="E1282" s="98" t="s">
        <v>913</v>
      </c>
      <c r="F1282" s="98" t="s">
        <v>1317</v>
      </c>
      <c r="G1282" s="98" t="s">
        <v>1318</v>
      </c>
    </row>
    <row r="1283" spans="1:7" ht="15" thickBot="1" x14ac:dyDescent="0.4">
      <c r="A1283" s="98">
        <v>2005221286</v>
      </c>
      <c r="B1283" s="101" t="s">
        <v>1778</v>
      </c>
      <c r="C1283" s="98" t="s">
        <v>337</v>
      </c>
      <c r="D1283" s="98" t="s">
        <v>633</v>
      </c>
      <c r="E1283" s="98" t="s">
        <v>915</v>
      </c>
      <c r="F1283" s="98" t="s">
        <v>1317</v>
      </c>
      <c r="G1283" s="98" t="s">
        <v>1319</v>
      </c>
    </row>
    <row r="1284" spans="1:7" ht="15" thickBot="1" x14ac:dyDescent="0.4">
      <c r="A1284" s="98">
        <v>2005222052</v>
      </c>
      <c r="B1284" s="101" t="s">
        <v>1779</v>
      </c>
      <c r="C1284" s="98" t="s">
        <v>337</v>
      </c>
      <c r="D1284" s="98" t="s">
        <v>633</v>
      </c>
      <c r="E1284" s="98" t="s">
        <v>911</v>
      </c>
      <c r="F1284" s="98" t="s">
        <v>1317</v>
      </c>
      <c r="G1284" s="98" t="s">
        <v>1319</v>
      </c>
    </row>
    <row r="1285" spans="1:7" ht="15" thickBot="1" x14ac:dyDescent="0.4">
      <c r="A1285" s="98">
        <v>2005222052</v>
      </c>
      <c r="B1285" s="101" t="s">
        <v>1779</v>
      </c>
      <c r="C1285" s="98" t="s">
        <v>337</v>
      </c>
      <c r="D1285" s="98" t="s">
        <v>633</v>
      </c>
      <c r="E1285" s="98" t="s">
        <v>912</v>
      </c>
      <c r="F1285" s="98" t="s">
        <v>1317</v>
      </c>
      <c r="G1285" s="98" t="s">
        <v>1318</v>
      </c>
    </row>
    <row r="1286" spans="1:7" ht="15" thickBot="1" x14ac:dyDescent="0.4">
      <c r="A1286" s="98">
        <v>2005220333</v>
      </c>
      <c r="B1286" s="101" t="s">
        <v>1411</v>
      </c>
      <c r="C1286" s="98" t="s">
        <v>337</v>
      </c>
      <c r="D1286" s="98" t="s">
        <v>633</v>
      </c>
      <c r="E1286" s="98" t="s">
        <v>912</v>
      </c>
      <c r="F1286" s="98" t="s">
        <v>1317</v>
      </c>
      <c r="G1286" s="98" t="s">
        <v>1318</v>
      </c>
    </row>
    <row r="1287" spans="1:7" ht="15" thickBot="1" x14ac:dyDescent="0.4">
      <c r="A1287" s="98">
        <v>2005220333</v>
      </c>
      <c r="B1287" s="101" t="s">
        <v>1411</v>
      </c>
      <c r="C1287" s="98" t="s">
        <v>337</v>
      </c>
      <c r="D1287" s="98" t="s">
        <v>633</v>
      </c>
      <c r="E1287" s="98" t="s">
        <v>911</v>
      </c>
      <c r="F1287" s="98" t="s">
        <v>1317</v>
      </c>
      <c r="G1287" s="98" t="s">
        <v>1318</v>
      </c>
    </row>
    <row r="1288" spans="1:7" ht="15" thickBot="1" x14ac:dyDescent="0.4">
      <c r="A1288" s="98">
        <v>2005220333</v>
      </c>
      <c r="B1288" s="101" t="s">
        <v>1411</v>
      </c>
      <c r="C1288" s="98" t="s">
        <v>337</v>
      </c>
      <c r="D1288" s="98" t="s">
        <v>633</v>
      </c>
      <c r="E1288" s="98" t="s">
        <v>915</v>
      </c>
      <c r="F1288" s="98" t="s">
        <v>1323</v>
      </c>
      <c r="G1288" s="98" t="s">
        <v>1319</v>
      </c>
    </row>
    <row r="1289" spans="1:7" ht="15" thickBot="1" x14ac:dyDescent="0.4">
      <c r="A1289" s="98">
        <v>2005224653</v>
      </c>
      <c r="B1289" s="101" t="s">
        <v>1495</v>
      </c>
      <c r="C1289" s="98" t="s">
        <v>337</v>
      </c>
      <c r="D1289" s="98" t="s">
        <v>633</v>
      </c>
      <c r="E1289" s="98" t="s">
        <v>912</v>
      </c>
      <c r="F1289" s="98" t="s">
        <v>1317</v>
      </c>
      <c r="G1289" s="98" t="s">
        <v>1318</v>
      </c>
    </row>
    <row r="1290" spans="1:7" ht="15" thickBot="1" x14ac:dyDescent="0.4">
      <c r="A1290" s="98">
        <v>2005221830</v>
      </c>
      <c r="B1290" s="101" t="s">
        <v>1780</v>
      </c>
      <c r="C1290" s="98" t="s">
        <v>337</v>
      </c>
      <c r="D1290" s="98" t="s">
        <v>633</v>
      </c>
      <c r="E1290" s="98" t="s">
        <v>1395</v>
      </c>
      <c r="F1290" s="98" t="s">
        <v>1317</v>
      </c>
      <c r="G1290" s="98" t="s">
        <v>1318</v>
      </c>
    </row>
    <row r="1291" spans="1:7" ht="15" thickBot="1" x14ac:dyDescent="0.4">
      <c r="A1291" s="98">
        <v>2005221830</v>
      </c>
      <c r="B1291" s="101" t="s">
        <v>1780</v>
      </c>
      <c r="C1291" s="98" t="s">
        <v>337</v>
      </c>
      <c r="D1291" s="98" t="s">
        <v>633</v>
      </c>
      <c r="E1291" s="98" t="s">
        <v>912</v>
      </c>
      <c r="F1291" s="98" t="s">
        <v>1317</v>
      </c>
      <c r="G1291" s="98" t="s">
        <v>1318</v>
      </c>
    </row>
    <row r="1292" spans="1:7" ht="15" thickBot="1" x14ac:dyDescent="0.4">
      <c r="A1292" s="98">
        <v>2005221830</v>
      </c>
      <c r="B1292" s="101" t="s">
        <v>1780</v>
      </c>
      <c r="C1292" s="98" t="s">
        <v>337</v>
      </c>
      <c r="D1292" s="98" t="s">
        <v>633</v>
      </c>
      <c r="E1292" s="98" t="s">
        <v>915</v>
      </c>
      <c r="F1292" s="98" t="s">
        <v>1317</v>
      </c>
      <c r="G1292" s="98" t="s">
        <v>1319</v>
      </c>
    </row>
    <row r="1293" spans="1:7" ht="15" thickBot="1" x14ac:dyDescent="0.4">
      <c r="A1293" s="98">
        <v>2005222914</v>
      </c>
      <c r="B1293" s="101" t="s">
        <v>1781</v>
      </c>
      <c r="C1293" s="98" t="s">
        <v>337</v>
      </c>
      <c r="D1293" s="98" t="s">
        <v>633</v>
      </c>
      <c r="E1293" s="98" t="s">
        <v>912</v>
      </c>
      <c r="F1293" s="98" t="s">
        <v>1317</v>
      </c>
      <c r="G1293" s="98" t="s">
        <v>1318</v>
      </c>
    </row>
    <row r="1294" spans="1:7" ht="15" thickBot="1" x14ac:dyDescent="0.4">
      <c r="A1294" s="98">
        <v>2005222914</v>
      </c>
      <c r="B1294" s="101" t="s">
        <v>1781</v>
      </c>
      <c r="C1294" s="98" t="s">
        <v>337</v>
      </c>
      <c r="D1294" s="98" t="s">
        <v>633</v>
      </c>
      <c r="E1294" s="98" t="s">
        <v>915</v>
      </c>
      <c r="F1294" s="98" t="s">
        <v>1317</v>
      </c>
      <c r="G1294" s="98" t="s">
        <v>1319</v>
      </c>
    </row>
    <row r="1295" spans="1:7" ht="15" thickBot="1" x14ac:dyDescent="0.4">
      <c r="A1295" s="98">
        <v>2005222914</v>
      </c>
      <c r="B1295" s="101" t="s">
        <v>1781</v>
      </c>
      <c r="C1295" s="98" t="s">
        <v>337</v>
      </c>
      <c r="D1295" s="98" t="s">
        <v>633</v>
      </c>
      <c r="E1295" s="98" t="s">
        <v>911</v>
      </c>
      <c r="F1295" s="98" t="s">
        <v>1317</v>
      </c>
      <c r="G1295" s="98" t="s">
        <v>1318</v>
      </c>
    </row>
    <row r="1296" spans="1:7" ht="15" thickBot="1" x14ac:dyDescent="0.4">
      <c r="A1296" s="98">
        <v>2005225937</v>
      </c>
      <c r="B1296" s="101" t="s">
        <v>1782</v>
      </c>
      <c r="C1296" s="98" t="s">
        <v>283</v>
      </c>
      <c r="D1296" s="98" t="s">
        <v>633</v>
      </c>
      <c r="E1296" s="98" t="s">
        <v>912</v>
      </c>
      <c r="F1296" s="98" t="s">
        <v>1317</v>
      </c>
      <c r="G1296" s="98" t="s">
        <v>1318</v>
      </c>
    </row>
    <row r="1297" spans="1:7" ht="15" thickBot="1" x14ac:dyDescent="0.4">
      <c r="A1297" s="98">
        <v>2005225937</v>
      </c>
      <c r="B1297" s="101" t="s">
        <v>1782</v>
      </c>
      <c r="C1297" s="98" t="s">
        <v>283</v>
      </c>
      <c r="D1297" s="98" t="s">
        <v>633</v>
      </c>
      <c r="E1297" s="98" t="s">
        <v>1395</v>
      </c>
      <c r="F1297" s="98" t="s">
        <v>1317</v>
      </c>
      <c r="G1297" s="98" t="s">
        <v>1318</v>
      </c>
    </row>
    <row r="1298" spans="1:7" ht="15" thickBot="1" x14ac:dyDescent="0.4">
      <c r="A1298" s="98">
        <v>2005225937</v>
      </c>
      <c r="B1298" s="101" t="s">
        <v>1782</v>
      </c>
      <c r="C1298" s="98" t="s">
        <v>283</v>
      </c>
      <c r="D1298" s="98" t="s">
        <v>633</v>
      </c>
      <c r="E1298" s="98" t="s">
        <v>915</v>
      </c>
      <c r="F1298" s="98" t="s">
        <v>1317</v>
      </c>
      <c r="G1298" s="98" t="s">
        <v>1319</v>
      </c>
    </row>
    <row r="1299" spans="1:7" ht="15" thickBot="1" x14ac:dyDescent="0.4">
      <c r="A1299" s="98">
        <v>2005220924</v>
      </c>
      <c r="B1299" s="101" t="s">
        <v>1783</v>
      </c>
      <c r="C1299" s="98" t="s">
        <v>337</v>
      </c>
      <c r="D1299" s="98" t="s">
        <v>633</v>
      </c>
      <c r="E1299" s="98" t="s">
        <v>912</v>
      </c>
      <c r="F1299" s="98" t="s">
        <v>1317</v>
      </c>
      <c r="G1299" s="98" t="s">
        <v>1318</v>
      </c>
    </row>
    <row r="1300" spans="1:7" ht="15" thickBot="1" x14ac:dyDescent="0.4">
      <c r="A1300" s="98">
        <v>2005220924</v>
      </c>
      <c r="B1300" s="101" t="s">
        <v>1783</v>
      </c>
      <c r="C1300" s="98" t="s">
        <v>337</v>
      </c>
      <c r="D1300" s="98" t="s">
        <v>633</v>
      </c>
      <c r="E1300" s="98" t="s">
        <v>911</v>
      </c>
      <c r="F1300" s="98" t="s">
        <v>1317</v>
      </c>
      <c r="G1300" s="98" t="s">
        <v>1318</v>
      </c>
    </row>
    <row r="1301" spans="1:7" ht="15" thickBot="1" x14ac:dyDescent="0.4">
      <c r="A1301" s="98">
        <v>2005220924</v>
      </c>
      <c r="B1301" s="101" t="s">
        <v>1783</v>
      </c>
      <c r="C1301" s="98" t="s">
        <v>337</v>
      </c>
      <c r="D1301" s="98" t="s">
        <v>633</v>
      </c>
      <c r="E1301" s="98" t="s">
        <v>915</v>
      </c>
      <c r="F1301" s="98" t="s">
        <v>1323</v>
      </c>
      <c r="G1301" s="98" t="s">
        <v>1319</v>
      </c>
    </row>
    <row r="1302" spans="1:7" ht="15" thickBot="1" x14ac:dyDescent="0.4">
      <c r="A1302" s="98">
        <v>2005220453</v>
      </c>
      <c r="B1302" s="101" t="s">
        <v>1784</v>
      </c>
      <c r="C1302" s="98" t="s">
        <v>337</v>
      </c>
      <c r="D1302" s="98" t="s">
        <v>633</v>
      </c>
      <c r="E1302" s="98" t="s">
        <v>912</v>
      </c>
      <c r="F1302" s="98" t="s">
        <v>1317</v>
      </c>
      <c r="G1302" s="98" t="s">
        <v>1318</v>
      </c>
    </row>
    <row r="1303" spans="1:7" ht="15" thickBot="1" x14ac:dyDescent="0.4">
      <c r="A1303" s="98">
        <v>2005220453</v>
      </c>
      <c r="B1303" s="101" t="s">
        <v>1784</v>
      </c>
      <c r="C1303" s="98" t="s">
        <v>337</v>
      </c>
      <c r="D1303" s="98" t="s">
        <v>633</v>
      </c>
      <c r="E1303" s="98" t="s">
        <v>914</v>
      </c>
      <c r="F1303" s="98" t="s">
        <v>1317</v>
      </c>
      <c r="G1303" s="98" t="s">
        <v>1318</v>
      </c>
    </row>
    <row r="1304" spans="1:7" ht="15" thickBot="1" x14ac:dyDescent="0.4">
      <c r="A1304" s="98">
        <v>2005220453</v>
      </c>
      <c r="B1304" s="101" t="s">
        <v>1784</v>
      </c>
      <c r="C1304" s="98" t="s">
        <v>337</v>
      </c>
      <c r="D1304" s="98" t="s">
        <v>633</v>
      </c>
      <c r="E1304" s="98" t="s">
        <v>915</v>
      </c>
      <c r="F1304" s="98" t="s">
        <v>1317</v>
      </c>
      <c r="G1304" s="98" t="s">
        <v>1319</v>
      </c>
    </row>
    <row r="1305" spans="1:7" ht="15" thickBot="1" x14ac:dyDescent="0.4">
      <c r="A1305" s="98">
        <v>2005222526</v>
      </c>
      <c r="B1305" s="101" t="s">
        <v>1785</v>
      </c>
      <c r="C1305" s="98" t="s">
        <v>337</v>
      </c>
      <c r="D1305" s="98" t="s">
        <v>633</v>
      </c>
      <c r="E1305" s="98" t="s">
        <v>1395</v>
      </c>
      <c r="F1305" s="98" t="s">
        <v>1317</v>
      </c>
      <c r="G1305" s="98" t="s">
        <v>1318</v>
      </c>
    </row>
    <row r="1306" spans="1:7" ht="15" thickBot="1" x14ac:dyDescent="0.4">
      <c r="A1306" s="98">
        <v>2005222526</v>
      </c>
      <c r="B1306" s="101" t="s">
        <v>1785</v>
      </c>
      <c r="C1306" s="98" t="s">
        <v>337</v>
      </c>
      <c r="D1306" s="98" t="s">
        <v>633</v>
      </c>
      <c r="E1306" s="98" t="s">
        <v>912</v>
      </c>
      <c r="F1306" s="98" t="s">
        <v>1317</v>
      </c>
      <c r="G1306" s="98" t="s">
        <v>1318</v>
      </c>
    </row>
    <row r="1307" spans="1:7" ht="15" thickBot="1" x14ac:dyDescent="0.4">
      <c r="A1307" s="98">
        <v>2005222526</v>
      </c>
      <c r="B1307" s="101" t="s">
        <v>1785</v>
      </c>
      <c r="C1307" s="98" t="s">
        <v>337</v>
      </c>
      <c r="D1307" s="98" t="s">
        <v>633</v>
      </c>
      <c r="E1307" s="98" t="s">
        <v>915</v>
      </c>
      <c r="F1307" s="98" t="s">
        <v>1317</v>
      </c>
      <c r="G1307" s="98" t="s">
        <v>1319</v>
      </c>
    </row>
    <row r="1308" spans="1:7" ht="15" thickBot="1" x14ac:dyDescent="0.4">
      <c r="A1308" s="98">
        <v>2005223352</v>
      </c>
      <c r="B1308" s="101" t="s">
        <v>1786</v>
      </c>
      <c r="C1308" s="98" t="s">
        <v>283</v>
      </c>
      <c r="D1308" s="98" t="s">
        <v>633</v>
      </c>
      <c r="E1308" s="98" t="s">
        <v>914</v>
      </c>
      <c r="F1308" s="98" t="s">
        <v>1317</v>
      </c>
      <c r="G1308" s="98" t="s">
        <v>1318</v>
      </c>
    </row>
    <row r="1309" spans="1:7" ht="15" thickBot="1" x14ac:dyDescent="0.4">
      <c r="A1309" s="98">
        <v>2005223352</v>
      </c>
      <c r="B1309" s="101" t="s">
        <v>1786</v>
      </c>
      <c r="C1309" s="98" t="s">
        <v>283</v>
      </c>
      <c r="D1309" s="98" t="s">
        <v>633</v>
      </c>
      <c r="E1309" s="98" t="s">
        <v>913</v>
      </c>
      <c r="F1309" s="98" t="s">
        <v>1317</v>
      </c>
      <c r="G1309" s="98" t="s">
        <v>1318</v>
      </c>
    </row>
    <row r="1310" spans="1:7" ht="15" thickBot="1" x14ac:dyDescent="0.4">
      <c r="A1310" s="98">
        <v>2005223352</v>
      </c>
      <c r="B1310" s="101" t="s">
        <v>1786</v>
      </c>
      <c r="C1310" s="98" t="s">
        <v>283</v>
      </c>
      <c r="D1310" s="98" t="s">
        <v>633</v>
      </c>
      <c r="E1310" s="98" t="s">
        <v>1342</v>
      </c>
      <c r="F1310" s="98" t="s">
        <v>1317</v>
      </c>
      <c r="G1310" s="98" t="s">
        <v>1318</v>
      </c>
    </row>
    <row r="1311" spans="1:7" ht="15" thickBot="1" x14ac:dyDescent="0.4">
      <c r="A1311" s="98">
        <v>2005224780</v>
      </c>
      <c r="B1311" s="101" t="s">
        <v>1787</v>
      </c>
      <c r="C1311" s="98" t="s">
        <v>283</v>
      </c>
      <c r="D1311" s="98" t="s">
        <v>633</v>
      </c>
      <c r="E1311" s="98" t="s">
        <v>914</v>
      </c>
      <c r="F1311" s="98" t="s">
        <v>1317</v>
      </c>
      <c r="G1311" s="98" t="s">
        <v>1318</v>
      </c>
    </row>
    <row r="1312" spans="1:7" ht="15" thickBot="1" x14ac:dyDescent="0.4">
      <c r="A1312" s="98">
        <v>2005224780</v>
      </c>
      <c r="B1312" s="101" t="s">
        <v>1787</v>
      </c>
      <c r="C1312" s="98" t="s">
        <v>283</v>
      </c>
      <c r="D1312" s="98" t="s">
        <v>633</v>
      </c>
      <c r="E1312" s="98" t="s">
        <v>911</v>
      </c>
      <c r="F1312" s="98" t="s">
        <v>1317</v>
      </c>
      <c r="G1312" s="98" t="s">
        <v>1318</v>
      </c>
    </row>
    <row r="1313" spans="1:7" ht="15" thickBot="1" x14ac:dyDescent="0.4">
      <c r="A1313" s="98">
        <v>2005224780</v>
      </c>
      <c r="B1313" s="101" t="s">
        <v>1787</v>
      </c>
      <c r="C1313" s="98" t="s">
        <v>283</v>
      </c>
      <c r="D1313" s="98" t="s">
        <v>633</v>
      </c>
      <c r="E1313" s="98" t="s">
        <v>911</v>
      </c>
      <c r="F1313" s="98" t="s">
        <v>1317</v>
      </c>
      <c r="G1313" s="98" t="s">
        <v>1318</v>
      </c>
    </row>
    <row r="1314" spans="1:7" ht="15" thickBot="1" x14ac:dyDescent="0.4">
      <c r="A1314" s="98">
        <v>2005224780</v>
      </c>
      <c r="B1314" s="101" t="s">
        <v>1787</v>
      </c>
      <c r="C1314" s="98" t="s">
        <v>283</v>
      </c>
      <c r="D1314" s="98" t="s">
        <v>633</v>
      </c>
      <c r="E1314" s="98" t="s">
        <v>1342</v>
      </c>
      <c r="F1314" s="98" t="s">
        <v>1317</v>
      </c>
      <c r="G1314" s="98" t="s">
        <v>1318</v>
      </c>
    </row>
    <row r="1315" spans="1:7" ht="15" thickBot="1" x14ac:dyDescent="0.4">
      <c r="A1315" s="98">
        <v>2005225214</v>
      </c>
      <c r="B1315" s="101" t="s">
        <v>1722</v>
      </c>
      <c r="C1315" s="98" t="s">
        <v>283</v>
      </c>
      <c r="D1315" s="98" t="s">
        <v>633</v>
      </c>
      <c r="E1315" s="98" t="s">
        <v>913</v>
      </c>
      <c r="F1315" s="98" t="s">
        <v>1317</v>
      </c>
      <c r="G1315" s="98" t="s">
        <v>1318</v>
      </c>
    </row>
    <row r="1316" spans="1:7" ht="15" thickBot="1" x14ac:dyDescent="0.4">
      <c r="A1316" s="98">
        <v>2005225214</v>
      </c>
      <c r="B1316" s="101" t="s">
        <v>1722</v>
      </c>
      <c r="C1316" s="98" t="s">
        <v>283</v>
      </c>
      <c r="D1316" s="98" t="s">
        <v>633</v>
      </c>
      <c r="E1316" s="98" t="s">
        <v>911</v>
      </c>
      <c r="F1316" s="98" t="s">
        <v>1317</v>
      </c>
      <c r="G1316" s="98" t="s">
        <v>1318</v>
      </c>
    </row>
    <row r="1317" spans="1:7" ht="15" thickBot="1" x14ac:dyDescent="0.4">
      <c r="A1317" s="98">
        <v>2005225214</v>
      </c>
      <c r="B1317" s="101" t="s">
        <v>1722</v>
      </c>
      <c r="C1317" s="98" t="s">
        <v>283</v>
      </c>
      <c r="D1317" s="98" t="s">
        <v>633</v>
      </c>
      <c r="E1317" s="98" t="s">
        <v>1342</v>
      </c>
      <c r="F1317" s="98" t="s">
        <v>1317</v>
      </c>
      <c r="G1317" s="98" t="s">
        <v>1318</v>
      </c>
    </row>
    <row r="1318" spans="1:7" ht="15" thickBot="1" x14ac:dyDescent="0.4">
      <c r="A1318" s="98">
        <v>2005222886</v>
      </c>
      <c r="B1318" s="101" t="s">
        <v>1419</v>
      </c>
      <c r="C1318" s="98" t="s">
        <v>283</v>
      </c>
      <c r="D1318" s="98" t="s">
        <v>633</v>
      </c>
      <c r="E1318" s="98" t="s">
        <v>911</v>
      </c>
      <c r="F1318" s="98" t="s">
        <v>1317</v>
      </c>
      <c r="G1318" s="98" t="s">
        <v>1318</v>
      </c>
    </row>
    <row r="1319" spans="1:7" ht="15" thickBot="1" x14ac:dyDescent="0.4">
      <c r="A1319" s="98">
        <v>2005222897</v>
      </c>
      <c r="B1319" s="101" t="s">
        <v>1419</v>
      </c>
      <c r="C1319" s="98" t="s">
        <v>283</v>
      </c>
      <c r="D1319" s="98" t="s">
        <v>633</v>
      </c>
      <c r="E1319" s="98" t="s">
        <v>912</v>
      </c>
      <c r="F1319" s="98" t="s">
        <v>1317</v>
      </c>
      <c r="G1319" s="98" t="s">
        <v>1319</v>
      </c>
    </row>
    <row r="1320" spans="1:7" ht="15" thickBot="1" x14ac:dyDescent="0.4">
      <c r="A1320" s="98">
        <v>2005222897</v>
      </c>
      <c r="B1320" s="101" t="s">
        <v>1419</v>
      </c>
      <c r="C1320" s="98" t="s">
        <v>283</v>
      </c>
      <c r="D1320" s="98" t="s">
        <v>633</v>
      </c>
      <c r="E1320" s="98" t="s">
        <v>913</v>
      </c>
      <c r="F1320" s="98" t="s">
        <v>1317</v>
      </c>
      <c r="G1320" s="98" t="s">
        <v>1318</v>
      </c>
    </row>
    <row r="1321" spans="1:7" ht="15" thickBot="1" x14ac:dyDescent="0.4">
      <c r="A1321" s="98">
        <v>2005222897</v>
      </c>
      <c r="B1321" s="101" t="s">
        <v>1419</v>
      </c>
      <c r="C1321" s="98" t="s">
        <v>283</v>
      </c>
      <c r="D1321" s="98" t="s">
        <v>633</v>
      </c>
      <c r="E1321" s="98" t="s">
        <v>915</v>
      </c>
      <c r="F1321" s="98" t="s">
        <v>1323</v>
      </c>
      <c r="G1321" s="98" t="s">
        <v>1319</v>
      </c>
    </row>
    <row r="1322" spans="1:7" ht="15" thickBot="1" x14ac:dyDescent="0.4">
      <c r="A1322" s="98">
        <v>2005224747</v>
      </c>
      <c r="B1322" s="101" t="s">
        <v>1723</v>
      </c>
      <c r="C1322" s="98" t="s">
        <v>283</v>
      </c>
      <c r="D1322" s="98" t="s">
        <v>633</v>
      </c>
      <c r="E1322" s="98" t="s">
        <v>912</v>
      </c>
      <c r="F1322" s="98" t="s">
        <v>1317</v>
      </c>
      <c r="G1322" s="98" t="s">
        <v>1318</v>
      </c>
    </row>
    <row r="1323" spans="1:7" ht="15" thickBot="1" x14ac:dyDescent="0.4">
      <c r="A1323" s="98">
        <v>2005224747</v>
      </c>
      <c r="B1323" s="101" t="s">
        <v>1723</v>
      </c>
      <c r="C1323" s="98" t="s">
        <v>283</v>
      </c>
      <c r="D1323" s="98" t="s">
        <v>633</v>
      </c>
      <c r="E1323" s="98" t="s">
        <v>913</v>
      </c>
      <c r="F1323" s="98" t="s">
        <v>1317</v>
      </c>
      <c r="G1323" s="98" t="s">
        <v>1318</v>
      </c>
    </row>
    <row r="1324" spans="1:7" ht="15" thickBot="1" x14ac:dyDescent="0.4">
      <c r="A1324" s="98">
        <v>2005224747</v>
      </c>
      <c r="B1324" s="101" t="s">
        <v>1723</v>
      </c>
      <c r="C1324" s="98" t="s">
        <v>283</v>
      </c>
      <c r="D1324" s="98" t="s">
        <v>633</v>
      </c>
      <c r="E1324" s="98" t="s">
        <v>915</v>
      </c>
      <c r="F1324" s="98" t="s">
        <v>1323</v>
      </c>
      <c r="G1324" s="98" t="s">
        <v>1319</v>
      </c>
    </row>
    <row r="1325" spans="1:7" ht="15" thickBot="1" x14ac:dyDescent="0.4">
      <c r="A1325" s="98">
        <v>2005225107</v>
      </c>
      <c r="B1325" s="101" t="s">
        <v>1512</v>
      </c>
      <c r="C1325" s="98" t="s">
        <v>283</v>
      </c>
      <c r="D1325" s="98" t="s">
        <v>633</v>
      </c>
      <c r="E1325" s="98" t="s">
        <v>911</v>
      </c>
      <c r="F1325" s="98" t="s">
        <v>1317</v>
      </c>
      <c r="G1325" s="98" t="s">
        <v>1318</v>
      </c>
    </row>
    <row r="1326" spans="1:7" ht="15" thickBot="1" x14ac:dyDescent="0.4">
      <c r="A1326" s="98">
        <v>2005225107</v>
      </c>
      <c r="B1326" s="101" t="s">
        <v>1513</v>
      </c>
      <c r="C1326" s="98" t="s">
        <v>283</v>
      </c>
      <c r="D1326" s="98" t="s">
        <v>633</v>
      </c>
      <c r="E1326" s="98" t="s">
        <v>912</v>
      </c>
      <c r="F1326" s="98" t="s">
        <v>1317</v>
      </c>
      <c r="G1326" s="98" t="s">
        <v>1318</v>
      </c>
    </row>
    <row r="1327" spans="1:7" ht="15" thickBot="1" x14ac:dyDescent="0.4">
      <c r="A1327" s="98">
        <v>2005225107</v>
      </c>
      <c r="B1327" s="101" t="s">
        <v>1513</v>
      </c>
      <c r="C1327" s="98" t="s">
        <v>283</v>
      </c>
      <c r="D1327" s="98" t="s">
        <v>633</v>
      </c>
      <c r="E1327" s="98" t="s">
        <v>913</v>
      </c>
      <c r="F1327" s="98" t="s">
        <v>1317</v>
      </c>
      <c r="G1327" s="98" t="s">
        <v>1318</v>
      </c>
    </row>
    <row r="1328" spans="1:7" ht="15" thickBot="1" x14ac:dyDescent="0.4">
      <c r="A1328" s="98">
        <v>2005225599</v>
      </c>
      <c r="B1328" s="101" t="s">
        <v>1788</v>
      </c>
      <c r="C1328" s="98" t="s">
        <v>283</v>
      </c>
      <c r="D1328" s="98" t="s">
        <v>633</v>
      </c>
      <c r="E1328" s="98" t="s">
        <v>914</v>
      </c>
      <c r="F1328" s="98" t="s">
        <v>1317</v>
      </c>
      <c r="G1328" s="98" t="s">
        <v>1318</v>
      </c>
    </row>
    <row r="1329" spans="1:7" ht="15" thickBot="1" x14ac:dyDescent="0.4">
      <c r="A1329" s="98">
        <v>2005225599</v>
      </c>
      <c r="B1329" s="101" t="s">
        <v>1788</v>
      </c>
      <c r="C1329" s="98" t="s">
        <v>283</v>
      </c>
      <c r="D1329" s="98" t="s">
        <v>633</v>
      </c>
      <c r="E1329" s="98" t="s">
        <v>913</v>
      </c>
      <c r="F1329" s="98" t="s">
        <v>1317</v>
      </c>
      <c r="G1329" s="98" t="s">
        <v>1318</v>
      </c>
    </row>
    <row r="1330" spans="1:7" ht="15" thickBot="1" x14ac:dyDescent="0.4">
      <c r="A1330" s="98">
        <v>2005225599</v>
      </c>
      <c r="B1330" s="101" t="s">
        <v>1788</v>
      </c>
      <c r="C1330" s="98" t="s">
        <v>283</v>
      </c>
      <c r="D1330" s="98" t="s">
        <v>633</v>
      </c>
      <c r="E1330" s="98" t="s">
        <v>1342</v>
      </c>
      <c r="F1330" s="98" t="s">
        <v>1317</v>
      </c>
      <c r="G1330" s="98" t="s">
        <v>1318</v>
      </c>
    </row>
    <row r="1331" spans="1:7" ht="15" thickBot="1" x14ac:dyDescent="0.4">
      <c r="A1331" s="98">
        <v>2005222810</v>
      </c>
      <c r="B1331" s="101" t="s">
        <v>2057</v>
      </c>
      <c r="C1331" s="98" t="s">
        <v>1789</v>
      </c>
      <c r="D1331" s="98" t="s">
        <v>633</v>
      </c>
      <c r="E1331" s="98" t="s">
        <v>911</v>
      </c>
      <c r="F1331" s="98" t="s">
        <v>1317</v>
      </c>
      <c r="G1331" s="98" t="s">
        <v>1318</v>
      </c>
    </row>
    <row r="1332" spans="1:7" ht="15" thickBot="1" x14ac:dyDescent="0.4">
      <c r="A1332" s="98">
        <v>2005222810</v>
      </c>
      <c r="B1332" s="101" t="s">
        <v>2057</v>
      </c>
      <c r="C1332" s="98" t="s">
        <v>283</v>
      </c>
      <c r="D1332" s="98" t="s">
        <v>633</v>
      </c>
      <c r="E1332" s="98" t="s">
        <v>912</v>
      </c>
      <c r="F1332" s="98" t="s">
        <v>1317</v>
      </c>
      <c r="G1332" s="98" t="s">
        <v>1318</v>
      </c>
    </row>
    <row r="1333" spans="1:7" ht="15" thickBot="1" x14ac:dyDescent="0.4">
      <c r="A1333" s="98">
        <v>2005222810</v>
      </c>
      <c r="B1333" s="101" t="s">
        <v>2057</v>
      </c>
      <c r="C1333" s="98" t="s">
        <v>283</v>
      </c>
      <c r="D1333" s="98" t="s">
        <v>633</v>
      </c>
      <c r="E1333" s="98" t="s">
        <v>915</v>
      </c>
      <c r="F1333" s="98" t="s">
        <v>1317</v>
      </c>
      <c r="G1333" s="98" t="s">
        <v>1319</v>
      </c>
    </row>
    <row r="1334" spans="1:7" ht="15" thickBot="1" x14ac:dyDescent="0.4">
      <c r="A1334" s="98">
        <v>2005224261</v>
      </c>
      <c r="B1334" s="101" t="s">
        <v>1790</v>
      </c>
      <c r="C1334" s="98" t="s">
        <v>337</v>
      </c>
      <c r="D1334" s="98" t="s">
        <v>633</v>
      </c>
      <c r="E1334" s="98" t="s">
        <v>913</v>
      </c>
      <c r="F1334" s="98" t="s">
        <v>1317</v>
      </c>
      <c r="G1334" s="98" t="s">
        <v>1318</v>
      </c>
    </row>
    <row r="1335" spans="1:7" ht="15" thickBot="1" x14ac:dyDescent="0.4">
      <c r="A1335" s="98">
        <v>2005224261</v>
      </c>
      <c r="B1335" s="101" t="s">
        <v>1790</v>
      </c>
      <c r="C1335" s="98" t="s">
        <v>337</v>
      </c>
      <c r="D1335" s="98" t="s">
        <v>633</v>
      </c>
      <c r="E1335" s="98" t="s">
        <v>912</v>
      </c>
      <c r="F1335" s="98" t="s">
        <v>1317</v>
      </c>
      <c r="G1335" s="98" t="s">
        <v>1318</v>
      </c>
    </row>
    <row r="1336" spans="1:7" ht="15" thickBot="1" x14ac:dyDescent="0.4">
      <c r="A1336" s="98">
        <v>2005224261</v>
      </c>
      <c r="B1336" s="101" t="s">
        <v>1790</v>
      </c>
      <c r="C1336" s="98" t="s">
        <v>337</v>
      </c>
      <c r="D1336" s="98" t="s">
        <v>633</v>
      </c>
      <c r="E1336" s="98" t="s">
        <v>911</v>
      </c>
      <c r="F1336" s="98" t="s">
        <v>1317</v>
      </c>
      <c r="G1336" s="98" t="s">
        <v>1318</v>
      </c>
    </row>
    <row r="1337" spans="1:7" ht="15" thickBot="1" x14ac:dyDescent="0.4">
      <c r="A1337" s="98">
        <v>2005223562</v>
      </c>
      <c r="B1337" s="101" t="s">
        <v>1791</v>
      </c>
      <c r="C1337" s="98" t="s">
        <v>337</v>
      </c>
      <c r="D1337" s="98" t="s">
        <v>633</v>
      </c>
      <c r="E1337" s="98" t="s">
        <v>912</v>
      </c>
      <c r="F1337" s="98" t="s">
        <v>1317</v>
      </c>
      <c r="G1337" s="98" t="s">
        <v>1318</v>
      </c>
    </row>
    <row r="1338" spans="1:7" ht="15" thickBot="1" x14ac:dyDescent="0.4">
      <c r="A1338" s="98">
        <v>2005223562</v>
      </c>
      <c r="B1338" s="101" t="s">
        <v>1791</v>
      </c>
      <c r="C1338" s="98" t="s">
        <v>337</v>
      </c>
      <c r="D1338" s="98" t="s">
        <v>633</v>
      </c>
      <c r="E1338" s="98" t="s">
        <v>914</v>
      </c>
      <c r="F1338" s="98" t="s">
        <v>1317</v>
      </c>
      <c r="G1338" s="98" t="s">
        <v>1318</v>
      </c>
    </row>
    <row r="1339" spans="1:7" ht="15" thickBot="1" x14ac:dyDescent="0.4">
      <c r="A1339" s="98">
        <v>2005223562</v>
      </c>
      <c r="B1339" s="101" t="s">
        <v>1791</v>
      </c>
      <c r="C1339" s="98" t="s">
        <v>337</v>
      </c>
      <c r="D1339" s="98" t="s">
        <v>633</v>
      </c>
      <c r="E1339" s="98" t="s">
        <v>915</v>
      </c>
      <c r="F1339" s="98" t="s">
        <v>1323</v>
      </c>
      <c r="G1339" s="98" t="s">
        <v>1319</v>
      </c>
    </row>
    <row r="1340" spans="1:7" ht="15" thickBot="1" x14ac:dyDescent="0.4">
      <c r="A1340" s="98">
        <v>2005223862</v>
      </c>
      <c r="B1340" s="101" t="s">
        <v>1792</v>
      </c>
      <c r="C1340" s="98" t="s">
        <v>283</v>
      </c>
      <c r="D1340" s="98" t="s">
        <v>633</v>
      </c>
      <c r="E1340" s="98" t="s">
        <v>914</v>
      </c>
      <c r="F1340" s="98" t="s">
        <v>1317</v>
      </c>
      <c r="G1340" s="98" t="s">
        <v>1318</v>
      </c>
    </row>
    <row r="1341" spans="1:7" ht="15" thickBot="1" x14ac:dyDescent="0.4">
      <c r="A1341" s="98">
        <v>2005223862</v>
      </c>
      <c r="B1341" s="101" t="s">
        <v>1792</v>
      </c>
      <c r="C1341" s="98" t="s">
        <v>283</v>
      </c>
      <c r="D1341" s="98" t="s">
        <v>633</v>
      </c>
      <c r="E1341" s="98" t="s">
        <v>913</v>
      </c>
      <c r="F1341" s="98" t="s">
        <v>1317</v>
      </c>
      <c r="G1341" s="98" t="s">
        <v>1318</v>
      </c>
    </row>
    <row r="1342" spans="1:7" ht="15" thickBot="1" x14ac:dyDescent="0.4">
      <c r="A1342" s="98">
        <v>2005223862</v>
      </c>
      <c r="B1342" s="101" t="s">
        <v>1792</v>
      </c>
      <c r="C1342" s="98" t="s">
        <v>283</v>
      </c>
      <c r="D1342" s="98" t="s">
        <v>633</v>
      </c>
      <c r="E1342" s="98" t="s">
        <v>912</v>
      </c>
      <c r="F1342" s="98" t="s">
        <v>1317</v>
      </c>
      <c r="G1342" s="98" t="s">
        <v>1318</v>
      </c>
    </row>
    <row r="1343" spans="1:7" ht="15" thickBot="1" x14ac:dyDescent="0.4">
      <c r="A1343" s="98">
        <v>2005221205</v>
      </c>
      <c r="B1343" s="101" t="s">
        <v>1793</v>
      </c>
      <c r="C1343" s="98" t="s">
        <v>337</v>
      </c>
      <c r="D1343" s="98" t="s">
        <v>633</v>
      </c>
      <c r="E1343" s="98" t="s">
        <v>912</v>
      </c>
      <c r="F1343" s="98" t="s">
        <v>1317</v>
      </c>
      <c r="G1343" s="98" t="s">
        <v>1318</v>
      </c>
    </row>
    <row r="1344" spans="1:7" ht="15" thickBot="1" x14ac:dyDescent="0.4">
      <c r="A1344" s="98">
        <v>2005221205</v>
      </c>
      <c r="B1344" s="101" t="s">
        <v>1793</v>
      </c>
      <c r="C1344" s="98" t="s">
        <v>337</v>
      </c>
      <c r="D1344" s="98" t="s">
        <v>633</v>
      </c>
      <c r="E1344" s="98" t="s">
        <v>911</v>
      </c>
      <c r="F1344" s="98" t="s">
        <v>1317</v>
      </c>
      <c r="G1344" s="98" t="s">
        <v>1318</v>
      </c>
    </row>
    <row r="1345" spans="1:7" ht="15" thickBot="1" x14ac:dyDescent="0.4">
      <c r="A1345" s="98">
        <v>2005221205</v>
      </c>
      <c r="B1345" s="101" t="s">
        <v>1793</v>
      </c>
      <c r="C1345" s="98" t="s">
        <v>337</v>
      </c>
      <c r="D1345" s="98" t="s">
        <v>633</v>
      </c>
      <c r="E1345" s="98" t="s">
        <v>915</v>
      </c>
      <c r="F1345" s="98" t="s">
        <v>1317</v>
      </c>
      <c r="G1345" s="98" t="s">
        <v>1319</v>
      </c>
    </row>
    <row r="1346" spans="1:7" ht="15" thickBot="1" x14ac:dyDescent="0.4">
      <c r="A1346" s="98">
        <v>2005223476</v>
      </c>
      <c r="B1346" s="101" t="s">
        <v>1794</v>
      </c>
      <c r="C1346" s="98" t="s">
        <v>337</v>
      </c>
      <c r="D1346" s="98" t="s">
        <v>633</v>
      </c>
      <c r="E1346" s="98" t="s">
        <v>912</v>
      </c>
      <c r="F1346" s="98" t="s">
        <v>1317</v>
      </c>
      <c r="G1346" s="98" t="s">
        <v>1318</v>
      </c>
    </row>
    <row r="1347" spans="1:7" ht="15" thickBot="1" x14ac:dyDescent="0.4">
      <c r="A1347" s="98">
        <v>2005223476</v>
      </c>
      <c r="B1347" s="101" t="s">
        <v>1794</v>
      </c>
      <c r="C1347" s="98" t="s">
        <v>337</v>
      </c>
      <c r="D1347" s="98" t="s">
        <v>633</v>
      </c>
      <c r="E1347" s="98" t="s">
        <v>914</v>
      </c>
      <c r="F1347" s="98" t="s">
        <v>1317</v>
      </c>
      <c r="G1347" s="98" t="s">
        <v>1318</v>
      </c>
    </row>
    <row r="1348" spans="1:7" ht="15" thickBot="1" x14ac:dyDescent="0.4">
      <c r="A1348" s="98">
        <v>2005223476</v>
      </c>
      <c r="B1348" s="101" t="s">
        <v>1794</v>
      </c>
      <c r="C1348" s="98" t="s">
        <v>337</v>
      </c>
      <c r="D1348" s="98" t="s">
        <v>633</v>
      </c>
      <c r="E1348" s="98" t="s">
        <v>913</v>
      </c>
      <c r="F1348" s="98" t="s">
        <v>1317</v>
      </c>
      <c r="G1348" s="98" t="s">
        <v>1318</v>
      </c>
    </row>
    <row r="1349" spans="1:7" ht="15" thickBot="1" x14ac:dyDescent="0.4">
      <c r="A1349" s="98">
        <v>2005223062</v>
      </c>
      <c r="B1349" s="101" t="s">
        <v>1795</v>
      </c>
      <c r="C1349" s="98" t="s">
        <v>337</v>
      </c>
      <c r="D1349" s="98" t="s">
        <v>633</v>
      </c>
      <c r="E1349" s="98" t="s">
        <v>912</v>
      </c>
      <c r="F1349" s="98" t="s">
        <v>1317</v>
      </c>
      <c r="G1349" s="98" t="s">
        <v>1318</v>
      </c>
    </row>
    <row r="1350" spans="1:7" ht="15" thickBot="1" x14ac:dyDescent="0.4">
      <c r="A1350" s="98">
        <v>2005223062</v>
      </c>
      <c r="B1350" s="101" t="s">
        <v>1795</v>
      </c>
      <c r="C1350" s="98" t="s">
        <v>337</v>
      </c>
      <c r="D1350" s="98" t="s">
        <v>633</v>
      </c>
      <c r="E1350" s="98" t="s">
        <v>911</v>
      </c>
      <c r="F1350" s="98" t="s">
        <v>1317</v>
      </c>
      <c r="G1350" s="98" t="s">
        <v>1318</v>
      </c>
    </row>
    <row r="1351" spans="1:7" ht="15" thickBot="1" x14ac:dyDescent="0.4">
      <c r="A1351" s="98">
        <v>2005223062</v>
      </c>
      <c r="B1351" s="101" t="s">
        <v>1795</v>
      </c>
      <c r="C1351" s="98" t="s">
        <v>337</v>
      </c>
      <c r="D1351" s="98" t="s">
        <v>633</v>
      </c>
      <c r="E1351" s="98" t="s">
        <v>915</v>
      </c>
      <c r="F1351" s="98" t="s">
        <v>1323</v>
      </c>
      <c r="G1351" s="98" t="s">
        <v>1319</v>
      </c>
    </row>
    <row r="1352" spans="1:7" ht="15" thickBot="1" x14ac:dyDescent="0.4">
      <c r="A1352" s="98">
        <v>2005225126</v>
      </c>
      <c r="B1352" s="101" t="s">
        <v>1796</v>
      </c>
      <c r="C1352" s="98" t="s">
        <v>283</v>
      </c>
      <c r="D1352" s="98" t="s">
        <v>633</v>
      </c>
      <c r="E1352" s="98" t="s">
        <v>912</v>
      </c>
      <c r="F1352" s="98" t="s">
        <v>1317</v>
      </c>
      <c r="G1352" s="98" t="s">
        <v>1318</v>
      </c>
    </row>
    <row r="1353" spans="1:7" ht="15" thickBot="1" x14ac:dyDescent="0.4">
      <c r="A1353" s="98">
        <v>2005225126</v>
      </c>
      <c r="B1353" s="101" t="s">
        <v>1796</v>
      </c>
      <c r="C1353" s="98" t="s">
        <v>283</v>
      </c>
      <c r="D1353" s="98" t="s">
        <v>633</v>
      </c>
      <c r="E1353" s="98" t="s">
        <v>1395</v>
      </c>
      <c r="F1353" s="98" t="s">
        <v>1317</v>
      </c>
      <c r="G1353" s="98" t="s">
        <v>1318</v>
      </c>
    </row>
    <row r="1354" spans="1:7" ht="15" thickBot="1" x14ac:dyDescent="0.4">
      <c r="A1354" s="98">
        <v>2005225126</v>
      </c>
      <c r="B1354" s="101" t="s">
        <v>1796</v>
      </c>
      <c r="C1354" s="98" t="s">
        <v>283</v>
      </c>
      <c r="D1354" s="98" t="s">
        <v>633</v>
      </c>
      <c r="E1354" s="98" t="s">
        <v>915</v>
      </c>
      <c r="F1354" s="98" t="s">
        <v>1317</v>
      </c>
      <c r="G1354" s="98" t="s">
        <v>1319</v>
      </c>
    </row>
    <row r="1355" spans="1:7" ht="15" thickBot="1" x14ac:dyDescent="0.4">
      <c r="A1355" s="98">
        <v>2005220296</v>
      </c>
      <c r="B1355" s="101" t="s">
        <v>1797</v>
      </c>
      <c r="C1355" s="98" t="s">
        <v>337</v>
      </c>
      <c r="D1355" s="98" t="s">
        <v>633</v>
      </c>
      <c r="E1355" s="98" t="s">
        <v>912</v>
      </c>
      <c r="F1355" s="98" t="s">
        <v>1317</v>
      </c>
      <c r="G1355" s="98" t="s">
        <v>1318</v>
      </c>
    </row>
    <row r="1356" spans="1:7" ht="15" thickBot="1" x14ac:dyDescent="0.4">
      <c r="A1356" s="98">
        <v>2005220296</v>
      </c>
      <c r="B1356" s="101" t="s">
        <v>1797</v>
      </c>
      <c r="C1356" s="98" t="s">
        <v>337</v>
      </c>
      <c r="D1356" s="98" t="s">
        <v>633</v>
      </c>
      <c r="E1356" s="98" t="s">
        <v>911</v>
      </c>
      <c r="F1356" s="98" t="s">
        <v>1317</v>
      </c>
      <c r="G1356" s="98" t="s">
        <v>1318</v>
      </c>
    </row>
    <row r="1357" spans="1:7" ht="15" thickBot="1" x14ac:dyDescent="0.4">
      <c r="A1357" s="98">
        <v>2005220296</v>
      </c>
      <c r="B1357" s="101" t="s">
        <v>1797</v>
      </c>
      <c r="C1357" s="98" t="s">
        <v>337</v>
      </c>
      <c r="D1357" s="98" t="s">
        <v>633</v>
      </c>
      <c r="E1357" s="98" t="s">
        <v>915</v>
      </c>
      <c r="F1357" s="98" t="s">
        <v>1323</v>
      </c>
      <c r="G1357" s="98" t="s">
        <v>1319</v>
      </c>
    </row>
    <row r="1358" spans="1:7" ht="15" thickBot="1" x14ac:dyDescent="0.4">
      <c r="A1358" s="98">
        <v>2005220172</v>
      </c>
      <c r="B1358" s="101" t="s">
        <v>1798</v>
      </c>
      <c r="C1358" s="98" t="s">
        <v>337</v>
      </c>
      <c r="D1358" s="98" t="s">
        <v>633</v>
      </c>
      <c r="E1358" s="98" t="s">
        <v>912</v>
      </c>
      <c r="F1358" s="98" t="s">
        <v>1317</v>
      </c>
      <c r="G1358" s="98" t="s">
        <v>1318</v>
      </c>
    </row>
    <row r="1359" spans="1:7" ht="15" thickBot="1" x14ac:dyDescent="0.4">
      <c r="A1359" s="98">
        <v>2005220172</v>
      </c>
      <c r="B1359" s="101" t="s">
        <v>1798</v>
      </c>
      <c r="C1359" s="98" t="s">
        <v>337</v>
      </c>
      <c r="D1359" s="98" t="s">
        <v>633</v>
      </c>
      <c r="E1359" s="98" t="s">
        <v>911</v>
      </c>
      <c r="F1359" s="98" t="s">
        <v>1317</v>
      </c>
      <c r="G1359" s="98" t="s">
        <v>1318</v>
      </c>
    </row>
    <row r="1360" spans="1:7" ht="15" thickBot="1" x14ac:dyDescent="0.4">
      <c r="A1360" s="98">
        <v>2005220172</v>
      </c>
      <c r="B1360" s="101" t="s">
        <v>1798</v>
      </c>
      <c r="C1360" s="98" t="s">
        <v>337</v>
      </c>
      <c r="D1360" s="98" t="s">
        <v>633</v>
      </c>
      <c r="E1360" s="98" t="s">
        <v>915</v>
      </c>
      <c r="F1360" s="98" t="s">
        <v>1317</v>
      </c>
      <c r="G1360" s="98" t="s">
        <v>1319</v>
      </c>
    </row>
    <row r="1361" spans="1:7" ht="15" thickBot="1" x14ac:dyDescent="0.4">
      <c r="A1361" s="98">
        <v>2005224053</v>
      </c>
      <c r="B1361" s="101" t="s">
        <v>1799</v>
      </c>
      <c r="C1361" s="98" t="s">
        <v>337</v>
      </c>
      <c r="D1361" s="98" t="s">
        <v>633</v>
      </c>
      <c r="E1361" s="98" t="s">
        <v>911</v>
      </c>
      <c r="F1361" s="98" t="s">
        <v>1317</v>
      </c>
      <c r="G1361" s="98" t="s">
        <v>1318</v>
      </c>
    </row>
    <row r="1362" spans="1:7" ht="15" thickBot="1" x14ac:dyDescent="0.4">
      <c r="A1362" s="98">
        <v>2005224053</v>
      </c>
      <c r="B1362" s="101" t="s">
        <v>1800</v>
      </c>
      <c r="C1362" s="98" t="s">
        <v>337</v>
      </c>
      <c r="D1362" s="98" t="s">
        <v>633</v>
      </c>
      <c r="E1362" s="98" t="s">
        <v>913</v>
      </c>
      <c r="F1362" s="98" t="s">
        <v>1317</v>
      </c>
      <c r="G1362" s="98" t="s">
        <v>1318</v>
      </c>
    </row>
    <row r="1363" spans="1:7" ht="15" thickBot="1" x14ac:dyDescent="0.4">
      <c r="A1363" s="98">
        <v>2005224053</v>
      </c>
      <c r="B1363" s="101" t="s">
        <v>1800</v>
      </c>
      <c r="C1363" s="98" t="s">
        <v>337</v>
      </c>
      <c r="D1363" s="98" t="s">
        <v>633</v>
      </c>
      <c r="E1363" s="98" t="s">
        <v>915</v>
      </c>
      <c r="F1363" s="98" t="s">
        <v>1323</v>
      </c>
      <c r="G1363" s="98" t="s">
        <v>1319</v>
      </c>
    </row>
    <row r="1364" spans="1:7" ht="15" thickBot="1" x14ac:dyDescent="0.4">
      <c r="A1364" s="98">
        <v>2005221603</v>
      </c>
      <c r="B1364" s="101" t="s">
        <v>1801</v>
      </c>
      <c r="C1364" s="98" t="s">
        <v>337</v>
      </c>
      <c r="D1364" s="98" t="s">
        <v>633</v>
      </c>
      <c r="E1364" s="98" t="s">
        <v>913</v>
      </c>
      <c r="F1364" s="98" t="s">
        <v>1317</v>
      </c>
      <c r="G1364" s="98" t="s">
        <v>1318</v>
      </c>
    </row>
    <row r="1365" spans="1:7" ht="15" thickBot="1" x14ac:dyDescent="0.4">
      <c r="A1365" s="98">
        <v>2005221603</v>
      </c>
      <c r="B1365" s="101" t="s">
        <v>1801</v>
      </c>
      <c r="C1365" s="98" t="s">
        <v>337</v>
      </c>
      <c r="D1365" s="98" t="s">
        <v>633</v>
      </c>
      <c r="E1365" s="98" t="s">
        <v>915</v>
      </c>
      <c r="F1365" s="98" t="s">
        <v>1323</v>
      </c>
      <c r="G1365" s="98" t="s">
        <v>1319</v>
      </c>
    </row>
    <row r="1366" spans="1:7" ht="15" thickBot="1" x14ac:dyDescent="0.4">
      <c r="A1366" s="98">
        <v>2005220612</v>
      </c>
      <c r="B1366" s="101" t="s">
        <v>1802</v>
      </c>
      <c r="C1366" s="98" t="s">
        <v>337</v>
      </c>
      <c r="D1366" s="98" t="s">
        <v>633</v>
      </c>
      <c r="E1366" s="98" t="s">
        <v>912</v>
      </c>
      <c r="F1366" s="98" t="s">
        <v>1317</v>
      </c>
      <c r="G1366" s="98" t="s">
        <v>1318</v>
      </c>
    </row>
    <row r="1367" spans="1:7" ht="15" thickBot="1" x14ac:dyDescent="0.4">
      <c r="A1367" s="98">
        <v>2005220612</v>
      </c>
      <c r="B1367" s="101" t="s">
        <v>1802</v>
      </c>
      <c r="C1367" s="98" t="s">
        <v>337</v>
      </c>
      <c r="D1367" s="98" t="s">
        <v>633</v>
      </c>
      <c r="E1367" s="98" t="s">
        <v>913</v>
      </c>
      <c r="F1367" s="98" t="s">
        <v>1317</v>
      </c>
      <c r="G1367" s="98" t="s">
        <v>1318</v>
      </c>
    </row>
    <row r="1368" spans="1:7" ht="15" thickBot="1" x14ac:dyDescent="0.4">
      <c r="A1368" s="98">
        <v>2005220612</v>
      </c>
      <c r="B1368" s="101" t="s">
        <v>1802</v>
      </c>
      <c r="C1368" s="98" t="s">
        <v>337</v>
      </c>
      <c r="D1368" s="98" t="s">
        <v>633</v>
      </c>
      <c r="E1368" s="98" t="s">
        <v>915</v>
      </c>
      <c r="F1368" s="98" t="s">
        <v>1317</v>
      </c>
      <c r="G1368" s="98" t="s">
        <v>1319</v>
      </c>
    </row>
    <row r="1369" spans="1:7" ht="15" thickBot="1" x14ac:dyDescent="0.4">
      <c r="A1369" s="98">
        <v>2041225352</v>
      </c>
      <c r="B1369" s="101" t="s">
        <v>1371</v>
      </c>
      <c r="C1369" s="98" t="s">
        <v>132</v>
      </c>
      <c r="D1369" s="98" t="s">
        <v>633</v>
      </c>
      <c r="E1369" s="98" t="s">
        <v>914</v>
      </c>
      <c r="F1369" s="98" t="s">
        <v>1317</v>
      </c>
      <c r="G1369" s="98" t="s">
        <v>1318</v>
      </c>
    </row>
    <row r="1370" spans="1:7" ht="15" thickBot="1" x14ac:dyDescent="0.4">
      <c r="A1370" s="98">
        <v>2005220415</v>
      </c>
      <c r="B1370" s="101" t="s">
        <v>1803</v>
      </c>
      <c r="C1370" s="98" t="s">
        <v>337</v>
      </c>
      <c r="D1370" s="98" t="s">
        <v>633</v>
      </c>
      <c r="E1370" s="98" t="s">
        <v>912</v>
      </c>
      <c r="F1370" s="98" t="s">
        <v>1317</v>
      </c>
      <c r="G1370" s="98" t="s">
        <v>1318</v>
      </c>
    </row>
    <row r="1371" spans="1:7" ht="15" thickBot="1" x14ac:dyDescent="0.4">
      <c r="A1371" s="98">
        <v>2005220415</v>
      </c>
      <c r="B1371" s="101" t="s">
        <v>1803</v>
      </c>
      <c r="C1371" s="98" t="s">
        <v>337</v>
      </c>
      <c r="D1371" s="98" t="s">
        <v>633</v>
      </c>
      <c r="E1371" s="98" t="s">
        <v>914</v>
      </c>
      <c r="F1371" s="98" t="s">
        <v>1317</v>
      </c>
      <c r="G1371" s="98" t="s">
        <v>1318</v>
      </c>
    </row>
    <row r="1372" spans="1:7" ht="15" thickBot="1" x14ac:dyDescent="0.4">
      <c r="A1372" s="98">
        <v>2005220415</v>
      </c>
      <c r="B1372" s="101" t="s">
        <v>1803</v>
      </c>
      <c r="C1372" s="98" t="s">
        <v>337</v>
      </c>
      <c r="D1372" s="98" t="s">
        <v>633</v>
      </c>
      <c r="E1372" s="98" t="s">
        <v>915</v>
      </c>
      <c r="F1372" s="98" t="s">
        <v>1317</v>
      </c>
      <c r="G1372" s="98" t="s">
        <v>1319</v>
      </c>
    </row>
    <row r="1373" spans="1:7" ht="15" thickBot="1" x14ac:dyDescent="0.4">
      <c r="A1373" s="98">
        <v>2005221591</v>
      </c>
      <c r="B1373" s="101" t="s">
        <v>1804</v>
      </c>
      <c r="C1373" s="98" t="s">
        <v>337</v>
      </c>
      <c r="D1373" s="98" t="s">
        <v>633</v>
      </c>
      <c r="E1373" s="98" t="s">
        <v>912</v>
      </c>
      <c r="F1373" s="98" t="s">
        <v>1317</v>
      </c>
      <c r="G1373" s="98" t="s">
        <v>1318</v>
      </c>
    </row>
    <row r="1374" spans="1:7" ht="15" thickBot="1" x14ac:dyDescent="0.4">
      <c r="A1374" s="98">
        <v>2005221591</v>
      </c>
      <c r="B1374" s="101" t="s">
        <v>1804</v>
      </c>
      <c r="C1374" s="98" t="s">
        <v>337</v>
      </c>
      <c r="D1374" s="98" t="s">
        <v>633</v>
      </c>
      <c r="E1374" s="98" t="s">
        <v>911</v>
      </c>
      <c r="F1374" s="98" t="s">
        <v>1317</v>
      </c>
      <c r="G1374" s="98" t="s">
        <v>1318</v>
      </c>
    </row>
    <row r="1375" spans="1:7" ht="15" thickBot="1" x14ac:dyDescent="0.4">
      <c r="A1375" s="98">
        <v>2005221591</v>
      </c>
      <c r="B1375" s="101" t="s">
        <v>1804</v>
      </c>
      <c r="C1375" s="98" t="s">
        <v>337</v>
      </c>
      <c r="D1375" s="98" t="s">
        <v>633</v>
      </c>
      <c r="E1375" s="98" t="s">
        <v>915</v>
      </c>
      <c r="F1375" s="98" t="s">
        <v>1317</v>
      </c>
      <c r="G1375" s="98" t="s">
        <v>1319</v>
      </c>
    </row>
    <row r="1376" spans="1:7" ht="15" thickBot="1" x14ac:dyDescent="0.4">
      <c r="A1376" s="98">
        <v>2005222173</v>
      </c>
      <c r="B1376" s="101" t="s">
        <v>1805</v>
      </c>
      <c r="C1376" s="98" t="s">
        <v>337</v>
      </c>
      <c r="D1376" s="98" t="s">
        <v>633</v>
      </c>
      <c r="E1376" s="98" t="s">
        <v>912</v>
      </c>
      <c r="F1376" s="98" t="s">
        <v>1317</v>
      </c>
      <c r="G1376" s="98" t="s">
        <v>1318</v>
      </c>
    </row>
    <row r="1377" spans="1:7" ht="15" thickBot="1" x14ac:dyDescent="0.4">
      <c r="A1377" s="98">
        <v>2005222173</v>
      </c>
      <c r="B1377" s="101" t="s">
        <v>1805</v>
      </c>
      <c r="C1377" s="98" t="s">
        <v>337</v>
      </c>
      <c r="D1377" s="98" t="s">
        <v>633</v>
      </c>
      <c r="E1377" s="98" t="s">
        <v>913</v>
      </c>
      <c r="F1377" s="98" t="s">
        <v>1317</v>
      </c>
      <c r="G1377" s="98" t="s">
        <v>1318</v>
      </c>
    </row>
    <row r="1378" spans="1:7" ht="15" thickBot="1" x14ac:dyDescent="0.4">
      <c r="A1378" s="98">
        <v>2041221509</v>
      </c>
      <c r="B1378" s="101" t="s">
        <v>1620</v>
      </c>
      <c r="C1378" s="98" t="s">
        <v>444</v>
      </c>
      <c r="D1378" s="98" t="s">
        <v>633</v>
      </c>
      <c r="E1378" s="98" t="s">
        <v>914</v>
      </c>
      <c r="F1378" s="98" t="s">
        <v>1317</v>
      </c>
      <c r="G1378" s="98" t="s">
        <v>1318</v>
      </c>
    </row>
    <row r="1379" spans="1:7" ht="15" thickBot="1" x14ac:dyDescent="0.4">
      <c r="A1379" s="98">
        <v>2005224269</v>
      </c>
      <c r="B1379" s="101" t="s">
        <v>1806</v>
      </c>
      <c r="C1379" s="98" t="s">
        <v>283</v>
      </c>
      <c r="D1379" s="98" t="s">
        <v>633</v>
      </c>
      <c r="E1379" s="98" t="s">
        <v>911</v>
      </c>
      <c r="F1379" s="98" t="s">
        <v>1317</v>
      </c>
      <c r="G1379" s="98" t="s">
        <v>1318</v>
      </c>
    </row>
    <row r="1380" spans="1:7" ht="15" thickBot="1" x14ac:dyDescent="0.4">
      <c r="A1380" s="98">
        <v>2005224269</v>
      </c>
      <c r="B1380" s="101" t="s">
        <v>1806</v>
      </c>
      <c r="C1380" s="98" t="s">
        <v>283</v>
      </c>
      <c r="D1380" s="98" t="s">
        <v>633</v>
      </c>
      <c r="E1380" s="98" t="s">
        <v>914</v>
      </c>
      <c r="F1380" s="98" t="s">
        <v>1317</v>
      </c>
      <c r="G1380" s="98" t="s">
        <v>1318</v>
      </c>
    </row>
    <row r="1381" spans="1:7" ht="15" thickBot="1" x14ac:dyDescent="0.4">
      <c r="A1381" s="98">
        <v>2005224269</v>
      </c>
      <c r="B1381" s="101" t="s">
        <v>1806</v>
      </c>
      <c r="C1381" s="98" t="s">
        <v>283</v>
      </c>
      <c r="D1381" s="98" t="s">
        <v>633</v>
      </c>
      <c r="E1381" s="98" t="s">
        <v>915</v>
      </c>
      <c r="F1381" s="98" t="s">
        <v>1317</v>
      </c>
      <c r="G1381" s="98" t="s">
        <v>1319</v>
      </c>
    </row>
    <row r="1382" spans="1:7" ht="15" thickBot="1" x14ac:dyDescent="0.4">
      <c r="A1382" s="98">
        <v>2005220638</v>
      </c>
      <c r="B1382" s="101" t="s">
        <v>1807</v>
      </c>
      <c r="C1382" s="98" t="s">
        <v>337</v>
      </c>
      <c r="D1382" s="98" t="s">
        <v>633</v>
      </c>
      <c r="E1382" s="98" t="s">
        <v>912</v>
      </c>
      <c r="F1382" s="98" t="s">
        <v>1317</v>
      </c>
      <c r="G1382" s="98" t="s">
        <v>1318</v>
      </c>
    </row>
    <row r="1383" spans="1:7" ht="15" thickBot="1" x14ac:dyDescent="0.4">
      <c r="A1383" s="98">
        <v>2005220638</v>
      </c>
      <c r="B1383" s="101" t="s">
        <v>1807</v>
      </c>
      <c r="C1383" s="98" t="s">
        <v>337</v>
      </c>
      <c r="D1383" s="98" t="s">
        <v>633</v>
      </c>
      <c r="E1383" s="98" t="s">
        <v>913</v>
      </c>
      <c r="F1383" s="98" t="s">
        <v>1317</v>
      </c>
      <c r="G1383" s="98" t="s">
        <v>1318</v>
      </c>
    </row>
    <row r="1384" spans="1:7" ht="15" thickBot="1" x14ac:dyDescent="0.4">
      <c r="A1384" s="98">
        <v>2005220638</v>
      </c>
      <c r="B1384" s="101" t="s">
        <v>1807</v>
      </c>
      <c r="C1384" s="98" t="s">
        <v>337</v>
      </c>
      <c r="D1384" s="98" t="s">
        <v>633</v>
      </c>
      <c r="E1384" s="98" t="s">
        <v>915</v>
      </c>
      <c r="F1384" s="98" t="s">
        <v>1317</v>
      </c>
      <c r="G1384" s="98" t="s">
        <v>1319</v>
      </c>
    </row>
    <row r="1385" spans="1:7" ht="15" thickBot="1" x14ac:dyDescent="0.4">
      <c r="A1385" s="98">
        <v>2005222534</v>
      </c>
      <c r="B1385" s="101" t="s">
        <v>1808</v>
      </c>
      <c r="C1385" s="98" t="s">
        <v>337</v>
      </c>
      <c r="D1385" s="98" t="s">
        <v>633</v>
      </c>
      <c r="E1385" s="98" t="s">
        <v>912</v>
      </c>
      <c r="F1385" s="98" t="s">
        <v>1317</v>
      </c>
      <c r="G1385" s="98" t="s">
        <v>1318</v>
      </c>
    </row>
    <row r="1386" spans="1:7" ht="15" thickBot="1" x14ac:dyDescent="0.4">
      <c r="A1386" s="98">
        <v>2005222534</v>
      </c>
      <c r="B1386" s="101" t="s">
        <v>1808</v>
      </c>
      <c r="C1386" s="98" t="s">
        <v>337</v>
      </c>
      <c r="D1386" s="98" t="s">
        <v>633</v>
      </c>
      <c r="E1386" s="98" t="s">
        <v>913</v>
      </c>
      <c r="F1386" s="98" t="s">
        <v>1317</v>
      </c>
      <c r="G1386" s="98" t="s">
        <v>1318</v>
      </c>
    </row>
    <row r="1387" spans="1:7" ht="15" thickBot="1" x14ac:dyDescent="0.4">
      <c r="A1387" s="98">
        <v>2005222534</v>
      </c>
      <c r="B1387" s="101" t="s">
        <v>1808</v>
      </c>
      <c r="C1387" s="98" t="s">
        <v>337</v>
      </c>
      <c r="D1387" s="98" t="s">
        <v>633</v>
      </c>
      <c r="E1387" s="98" t="s">
        <v>913</v>
      </c>
      <c r="F1387" s="98" t="s">
        <v>1317</v>
      </c>
      <c r="G1387" s="98" t="s">
        <v>1318</v>
      </c>
    </row>
    <row r="1388" spans="1:7" ht="15" thickBot="1" x14ac:dyDescent="0.4">
      <c r="A1388" s="98">
        <v>2005225491</v>
      </c>
      <c r="B1388" s="101" t="s">
        <v>1809</v>
      </c>
      <c r="C1388" s="98" t="s">
        <v>283</v>
      </c>
      <c r="D1388" s="98" t="s">
        <v>633</v>
      </c>
      <c r="E1388" s="98" t="s">
        <v>913</v>
      </c>
      <c r="F1388" s="98" t="s">
        <v>1317</v>
      </c>
      <c r="G1388" s="98" t="s">
        <v>1318</v>
      </c>
    </row>
    <row r="1389" spans="1:7" ht="15" thickBot="1" x14ac:dyDescent="0.4">
      <c r="A1389" s="98">
        <v>2005225491</v>
      </c>
      <c r="B1389" s="101" t="s">
        <v>1809</v>
      </c>
      <c r="C1389" s="98" t="s">
        <v>283</v>
      </c>
      <c r="D1389" s="98" t="s">
        <v>633</v>
      </c>
      <c r="E1389" s="98" t="s">
        <v>911</v>
      </c>
      <c r="F1389" s="98" t="s">
        <v>1317</v>
      </c>
      <c r="G1389" s="98" t="s">
        <v>1318</v>
      </c>
    </row>
    <row r="1390" spans="1:7" ht="15" thickBot="1" x14ac:dyDescent="0.4">
      <c r="A1390" s="98">
        <v>2005225491</v>
      </c>
      <c r="B1390" s="101" t="s">
        <v>1809</v>
      </c>
      <c r="C1390" s="98" t="s">
        <v>283</v>
      </c>
      <c r="D1390" s="98" t="s">
        <v>633</v>
      </c>
      <c r="E1390" s="98" t="s">
        <v>1342</v>
      </c>
      <c r="F1390" s="98" t="s">
        <v>1317</v>
      </c>
      <c r="G1390" s="98" t="s">
        <v>1318</v>
      </c>
    </row>
    <row r="1391" spans="1:7" ht="15" thickBot="1" x14ac:dyDescent="0.4">
      <c r="A1391" s="98">
        <v>2005225346</v>
      </c>
      <c r="B1391" s="101" t="s">
        <v>1810</v>
      </c>
      <c r="C1391" s="98" t="s">
        <v>283</v>
      </c>
      <c r="D1391" s="98" t="s">
        <v>633</v>
      </c>
      <c r="E1391" s="98" t="s">
        <v>912</v>
      </c>
      <c r="F1391" s="98" t="s">
        <v>1317</v>
      </c>
      <c r="G1391" s="98" t="s">
        <v>1318</v>
      </c>
    </row>
    <row r="1392" spans="1:7" ht="15" thickBot="1" x14ac:dyDescent="0.4">
      <c r="A1392" s="98">
        <v>2005225346</v>
      </c>
      <c r="B1392" s="101" t="s">
        <v>1810</v>
      </c>
      <c r="C1392" s="98" t="s">
        <v>283</v>
      </c>
      <c r="D1392" s="98" t="s">
        <v>633</v>
      </c>
      <c r="E1392" s="98" t="s">
        <v>913</v>
      </c>
      <c r="F1392" s="98" t="s">
        <v>1317</v>
      </c>
      <c r="G1392" s="98" t="s">
        <v>1318</v>
      </c>
    </row>
    <row r="1393" spans="1:7" ht="15" thickBot="1" x14ac:dyDescent="0.4">
      <c r="A1393" s="98">
        <v>2005225346</v>
      </c>
      <c r="B1393" s="101" t="s">
        <v>1810</v>
      </c>
      <c r="C1393" s="98" t="s">
        <v>283</v>
      </c>
      <c r="D1393" s="98" t="s">
        <v>633</v>
      </c>
      <c r="E1393" s="98" t="s">
        <v>911</v>
      </c>
      <c r="F1393" s="98" t="s">
        <v>1317</v>
      </c>
      <c r="G1393" s="98" t="s">
        <v>1318</v>
      </c>
    </row>
    <row r="1394" spans="1:7" ht="15" thickBot="1" x14ac:dyDescent="0.4">
      <c r="A1394" s="98">
        <v>2041225705</v>
      </c>
      <c r="B1394" s="101" t="s">
        <v>1811</v>
      </c>
      <c r="C1394" s="98" t="s">
        <v>1812</v>
      </c>
      <c r="D1394" s="98" t="s">
        <v>710</v>
      </c>
      <c r="E1394" s="98" t="s">
        <v>912</v>
      </c>
      <c r="F1394" s="98" t="s">
        <v>1317</v>
      </c>
      <c r="G1394" s="98" t="s">
        <v>1318</v>
      </c>
    </row>
    <row r="1395" spans="1:7" ht="15" thickBot="1" x14ac:dyDescent="0.4">
      <c r="A1395" s="98">
        <v>2041225705</v>
      </c>
      <c r="B1395" s="101" t="s">
        <v>1811</v>
      </c>
      <c r="C1395" s="98" t="s">
        <v>534</v>
      </c>
      <c r="D1395" s="98" t="s">
        <v>710</v>
      </c>
      <c r="E1395" s="98" t="s">
        <v>911</v>
      </c>
      <c r="F1395" s="98" t="s">
        <v>1317</v>
      </c>
      <c r="G1395" s="98" t="s">
        <v>1318</v>
      </c>
    </row>
    <row r="1396" spans="1:7" ht="15" thickBot="1" x14ac:dyDescent="0.4">
      <c r="A1396" s="98">
        <v>2041223473</v>
      </c>
      <c r="B1396" s="101" t="s">
        <v>1813</v>
      </c>
      <c r="C1396" s="98" t="s">
        <v>534</v>
      </c>
      <c r="D1396" s="98" t="s">
        <v>710</v>
      </c>
      <c r="E1396" s="98" t="s">
        <v>913</v>
      </c>
      <c r="F1396" s="98" t="s">
        <v>1317</v>
      </c>
      <c r="G1396" s="98" t="s">
        <v>1318</v>
      </c>
    </row>
    <row r="1397" spans="1:7" ht="15" thickBot="1" x14ac:dyDescent="0.4">
      <c r="A1397" s="98">
        <v>2041225288</v>
      </c>
      <c r="B1397" s="101" t="s">
        <v>1814</v>
      </c>
      <c r="C1397" s="98" t="s">
        <v>534</v>
      </c>
      <c r="D1397" s="98" t="s">
        <v>710</v>
      </c>
      <c r="E1397" s="98" t="s">
        <v>911</v>
      </c>
      <c r="F1397" s="98" t="s">
        <v>1317</v>
      </c>
      <c r="G1397" s="98" t="s">
        <v>1318</v>
      </c>
    </row>
    <row r="1398" spans="1:7" ht="15" thickBot="1" x14ac:dyDescent="0.4">
      <c r="A1398" s="98">
        <v>2041225288</v>
      </c>
      <c r="B1398" s="101" t="s">
        <v>1814</v>
      </c>
      <c r="C1398" s="98" t="s">
        <v>534</v>
      </c>
      <c r="D1398" s="98" t="s">
        <v>710</v>
      </c>
      <c r="E1398" s="98" t="s">
        <v>913</v>
      </c>
      <c r="F1398" s="98" t="s">
        <v>1317</v>
      </c>
      <c r="G1398" s="98" t="s">
        <v>1318</v>
      </c>
    </row>
    <row r="1399" spans="1:7" ht="15" thickBot="1" x14ac:dyDescent="0.4">
      <c r="A1399" s="98">
        <v>2041225288</v>
      </c>
      <c r="B1399" s="101" t="s">
        <v>1814</v>
      </c>
      <c r="C1399" s="98" t="s">
        <v>534</v>
      </c>
      <c r="D1399" s="98" t="s">
        <v>710</v>
      </c>
      <c r="E1399" s="98" t="s">
        <v>915</v>
      </c>
      <c r="F1399" s="98" t="s">
        <v>1317</v>
      </c>
      <c r="G1399" s="98" t="s">
        <v>1319</v>
      </c>
    </row>
    <row r="1400" spans="1:7" ht="15" thickBot="1" x14ac:dyDescent="0.4">
      <c r="A1400" s="98">
        <v>2041225288</v>
      </c>
      <c r="B1400" s="101" t="s">
        <v>1814</v>
      </c>
      <c r="C1400" s="98" t="s">
        <v>534</v>
      </c>
      <c r="D1400" s="98" t="s">
        <v>710</v>
      </c>
      <c r="E1400" s="98" t="s">
        <v>912</v>
      </c>
      <c r="F1400" s="98" t="s">
        <v>1317</v>
      </c>
      <c r="G1400" s="98" t="s">
        <v>1318</v>
      </c>
    </row>
    <row r="1401" spans="1:7" ht="15" thickBot="1" x14ac:dyDescent="0.4">
      <c r="A1401" s="98">
        <v>2041225588</v>
      </c>
      <c r="B1401" s="101" t="s">
        <v>1815</v>
      </c>
      <c r="C1401" s="98" t="s">
        <v>534</v>
      </c>
      <c r="D1401" s="98" t="s">
        <v>710</v>
      </c>
      <c r="E1401" s="98" t="s">
        <v>911</v>
      </c>
      <c r="F1401" s="98" t="s">
        <v>1317</v>
      </c>
      <c r="G1401" s="98" t="s">
        <v>1318</v>
      </c>
    </row>
    <row r="1402" spans="1:7" ht="15" thickBot="1" x14ac:dyDescent="0.4">
      <c r="A1402" s="98">
        <v>2041225588</v>
      </c>
      <c r="B1402" s="101" t="s">
        <v>1815</v>
      </c>
      <c r="C1402" s="98" t="s">
        <v>534</v>
      </c>
      <c r="D1402" s="98" t="s">
        <v>710</v>
      </c>
      <c r="E1402" s="98" t="s">
        <v>912</v>
      </c>
      <c r="F1402" s="98" t="s">
        <v>1317</v>
      </c>
      <c r="G1402" s="98" t="s">
        <v>1318</v>
      </c>
    </row>
    <row r="1403" spans="1:7" ht="15" thickBot="1" x14ac:dyDescent="0.4">
      <c r="A1403" s="98">
        <v>2041225588</v>
      </c>
      <c r="B1403" s="101" t="s">
        <v>1815</v>
      </c>
      <c r="C1403" s="98" t="s">
        <v>534</v>
      </c>
      <c r="D1403" s="98" t="s">
        <v>710</v>
      </c>
      <c r="E1403" s="98" t="s">
        <v>915</v>
      </c>
      <c r="F1403" s="98" t="s">
        <v>1317</v>
      </c>
      <c r="G1403" s="98" t="s">
        <v>1319</v>
      </c>
    </row>
    <row r="1404" spans="1:7" ht="15" thickBot="1" x14ac:dyDescent="0.4">
      <c r="A1404" s="98">
        <v>2041225178</v>
      </c>
      <c r="B1404" s="101" t="s">
        <v>1816</v>
      </c>
      <c r="C1404" s="98" t="s">
        <v>534</v>
      </c>
      <c r="D1404" s="98" t="s">
        <v>710</v>
      </c>
      <c r="E1404" s="98" t="s">
        <v>1321</v>
      </c>
      <c r="F1404" s="98" t="s">
        <v>1317</v>
      </c>
      <c r="G1404" s="98" t="s">
        <v>1318</v>
      </c>
    </row>
    <row r="1405" spans="1:7" ht="15" thickBot="1" x14ac:dyDescent="0.4">
      <c r="A1405" s="98">
        <v>2041225178</v>
      </c>
      <c r="B1405" s="101" t="s">
        <v>1816</v>
      </c>
      <c r="C1405" s="98" t="s">
        <v>534</v>
      </c>
      <c r="D1405" s="98" t="s">
        <v>710</v>
      </c>
      <c r="E1405" s="98" t="s">
        <v>912</v>
      </c>
      <c r="F1405" s="98" t="s">
        <v>1317</v>
      </c>
      <c r="G1405" s="98" t="s">
        <v>1318</v>
      </c>
    </row>
    <row r="1406" spans="1:7" ht="15" thickBot="1" x14ac:dyDescent="0.4">
      <c r="A1406" s="98">
        <v>2041225178</v>
      </c>
      <c r="B1406" s="101" t="s">
        <v>1816</v>
      </c>
      <c r="C1406" s="98" t="s">
        <v>534</v>
      </c>
      <c r="D1406" s="98" t="s">
        <v>710</v>
      </c>
      <c r="E1406" s="98" t="s">
        <v>911</v>
      </c>
      <c r="F1406" s="98" t="s">
        <v>1317</v>
      </c>
      <c r="G1406" s="98" t="s">
        <v>1318</v>
      </c>
    </row>
    <row r="1407" spans="1:7" ht="15" thickBot="1" x14ac:dyDescent="0.4">
      <c r="A1407" s="98">
        <v>2041223368</v>
      </c>
      <c r="B1407" s="101" t="s">
        <v>1817</v>
      </c>
      <c r="C1407" s="98" t="s">
        <v>534</v>
      </c>
      <c r="D1407" s="98" t="s">
        <v>710</v>
      </c>
      <c r="E1407" s="98" t="s">
        <v>911</v>
      </c>
      <c r="F1407" s="98" t="s">
        <v>1317</v>
      </c>
      <c r="G1407" s="98" t="s">
        <v>1318</v>
      </c>
    </row>
    <row r="1408" spans="1:7" ht="15" thickBot="1" x14ac:dyDescent="0.4">
      <c r="A1408" s="98">
        <v>2041223368</v>
      </c>
      <c r="B1408" s="101" t="s">
        <v>1817</v>
      </c>
      <c r="C1408" s="98" t="s">
        <v>534</v>
      </c>
      <c r="D1408" s="98" t="s">
        <v>710</v>
      </c>
      <c r="E1408" s="98" t="s">
        <v>914</v>
      </c>
      <c r="F1408" s="98" t="s">
        <v>1317</v>
      </c>
      <c r="G1408" s="98" t="s">
        <v>1318</v>
      </c>
    </row>
    <row r="1409" spans="1:7" ht="15" thickBot="1" x14ac:dyDescent="0.4">
      <c r="A1409" s="98">
        <v>2041223368</v>
      </c>
      <c r="B1409" s="101" t="s">
        <v>1817</v>
      </c>
      <c r="C1409" s="98" t="s">
        <v>534</v>
      </c>
      <c r="D1409" s="98" t="s">
        <v>710</v>
      </c>
      <c r="E1409" s="98" t="s">
        <v>912</v>
      </c>
      <c r="F1409" s="98" t="s">
        <v>1317</v>
      </c>
      <c r="G1409" s="98" t="s">
        <v>1318</v>
      </c>
    </row>
    <row r="1410" spans="1:7" ht="15" thickBot="1" x14ac:dyDescent="0.4">
      <c r="A1410" s="98">
        <v>2041222093</v>
      </c>
      <c r="B1410" s="101" t="s">
        <v>1818</v>
      </c>
      <c r="C1410" s="98" t="s">
        <v>132</v>
      </c>
      <c r="D1410" s="98" t="s">
        <v>710</v>
      </c>
      <c r="E1410" s="98" t="s">
        <v>912</v>
      </c>
      <c r="F1410" s="98" t="s">
        <v>1317</v>
      </c>
      <c r="G1410" s="98" t="s">
        <v>1318</v>
      </c>
    </row>
    <row r="1411" spans="1:7" ht="15" thickBot="1" x14ac:dyDescent="0.4">
      <c r="A1411" s="98">
        <v>2041222093</v>
      </c>
      <c r="B1411" s="101" t="s">
        <v>1818</v>
      </c>
      <c r="C1411" s="98" t="s">
        <v>132</v>
      </c>
      <c r="D1411" s="98" t="s">
        <v>710</v>
      </c>
      <c r="E1411" s="98" t="s">
        <v>914</v>
      </c>
      <c r="F1411" s="98" t="s">
        <v>1317</v>
      </c>
      <c r="G1411" s="98" t="s">
        <v>1318</v>
      </c>
    </row>
    <row r="1412" spans="1:7" ht="15" thickBot="1" x14ac:dyDescent="0.4">
      <c r="A1412" s="98">
        <v>2041222093</v>
      </c>
      <c r="B1412" s="101" t="s">
        <v>1818</v>
      </c>
      <c r="C1412" s="98" t="s">
        <v>1819</v>
      </c>
      <c r="D1412" s="98" t="s">
        <v>710</v>
      </c>
      <c r="E1412" s="98" t="s">
        <v>911</v>
      </c>
      <c r="F1412" s="98" t="s">
        <v>1317</v>
      </c>
      <c r="G1412" s="98" t="s">
        <v>1318</v>
      </c>
    </row>
    <row r="1413" spans="1:7" ht="15" thickBot="1" x14ac:dyDescent="0.4">
      <c r="A1413" s="98">
        <v>2041222747</v>
      </c>
      <c r="B1413" s="101" t="s">
        <v>1820</v>
      </c>
      <c r="C1413" s="98" t="s">
        <v>132</v>
      </c>
      <c r="D1413" s="98" t="s">
        <v>710</v>
      </c>
      <c r="E1413" s="98" t="s">
        <v>912</v>
      </c>
      <c r="F1413" s="98" t="s">
        <v>1317</v>
      </c>
      <c r="G1413" s="98" t="s">
        <v>1318</v>
      </c>
    </row>
    <row r="1414" spans="1:7" ht="15" thickBot="1" x14ac:dyDescent="0.4">
      <c r="A1414" s="98">
        <v>2041222747</v>
      </c>
      <c r="B1414" s="101" t="s">
        <v>1820</v>
      </c>
      <c r="C1414" s="98" t="s">
        <v>132</v>
      </c>
      <c r="D1414" s="98" t="s">
        <v>710</v>
      </c>
      <c r="E1414" s="98" t="s">
        <v>911</v>
      </c>
      <c r="F1414" s="98" t="s">
        <v>1317</v>
      </c>
      <c r="G1414" s="98" t="s">
        <v>1318</v>
      </c>
    </row>
    <row r="1415" spans="1:7" ht="15" thickBot="1" x14ac:dyDescent="0.4">
      <c r="A1415" s="98">
        <v>2041222747</v>
      </c>
      <c r="B1415" s="101" t="s">
        <v>1820</v>
      </c>
      <c r="C1415" s="98" t="s">
        <v>132</v>
      </c>
      <c r="D1415" s="98" t="s">
        <v>710</v>
      </c>
      <c r="E1415" s="98" t="s">
        <v>915</v>
      </c>
      <c r="F1415" s="98" t="s">
        <v>1317</v>
      </c>
      <c r="G1415" s="98" t="s">
        <v>1319</v>
      </c>
    </row>
    <row r="1416" spans="1:7" ht="15" thickBot="1" x14ac:dyDescent="0.4">
      <c r="A1416" s="98">
        <v>2041221818</v>
      </c>
      <c r="B1416" s="101" t="s">
        <v>1821</v>
      </c>
      <c r="C1416" s="98" t="s">
        <v>132</v>
      </c>
      <c r="D1416" s="98" t="s">
        <v>710</v>
      </c>
      <c r="E1416" s="98" t="s">
        <v>911</v>
      </c>
      <c r="F1416" s="98" t="s">
        <v>1317</v>
      </c>
      <c r="G1416" s="98" t="s">
        <v>1318</v>
      </c>
    </row>
    <row r="1417" spans="1:7" ht="15" thickBot="1" x14ac:dyDescent="0.4">
      <c r="A1417" s="98">
        <v>2041221818</v>
      </c>
      <c r="B1417" s="101" t="s">
        <v>1821</v>
      </c>
      <c r="C1417" s="98" t="s">
        <v>132</v>
      </c>
      <c r="D1417" s="98" t="s">
        <v>710</v>
      </c>
      <c r="E1417" s="98" t="s">
        <v>914</v>
      </c>
      <c r="F1417" s="98" t="s">
        <v>1317</v>
      </c>
      <c r="G1417" s="98" t="s">
        <v>1318</v>
      </c>
    </row>
    <row r="1418" spans="1:7" ht="15" thickBot="1" x14ac:dyDescent="0.4">
      <c r="A1418" s="98">
        <v>2041221818</v>
      </c>
      <c r="B1418" s="101" t="s">
        <v>1821</v>
      </c>
      <c r="C1418" s="98" t="s">
        <v>132</v>
      </c>
      <c r="D1418" s="98" t="s">
        <v>710</v>
      </c>
      <c r="E1418" s="98" t="s">
        <v>916</v>
      </c>
      <c r="F1418" s="98" t="s">
        <v>1323</v>
      </c>
      <c r="G1418" s="98" t="s">
        <v>1319</v>
      </c>
    </row>
    <row r="1419" spans="1:7" ht="15" thickBot="1" x14ac:dyDescent="0.4">
      <c r="A1419" s="98">
        <v>2041223729</v>
      </c>
      <c r="B1419" s="101" t="s">
        <v>1822</v>
      </c>
      <c r="C1419" s="98" t="s">
        <v>1658</v>
      </c>
      <c r="D1419" s="98" t="s">
        <v>710</v>
      </c>
      <c r="E1419" s="98" t="s">
        <v>912</v>
      </c>
      <c r="F1419" s="98" t="s">
        <v>1317</v>
      </c>
      <c r="G1419" s="98" t="s">
        <v>1318</v>
      </c>
    </row>
    <row r="1420" spans="1:7" ht="15" thickBot="1" x14ac:dyDescent="0.4">
      <c r="A1420" s="98">
        <v>2041223729</v>
      </c>
      <c r="B1420" s="101" t="s">
        <v>1822</v>
      </c>
      <c r="C1420" s="98" t="s">
        <v>534</v>
      </c>
      <c r="D1420" s="98" t="s">
        <v>710</v>
      </c>
      <c r="E1420" s="98" t="s">
        <v>1406</v>
      </c>
      <c r="F1420" s="98" t="s">
        <v>1323</v>
      </c>
      <c r="G1420" s="98" t="s">
        <v>1318</v>
      </c>
    </row>
    <row r="1421" spans="1:7" ht="15" thickBot="1" x14ac:dyDescent="0.4">
      <c r="A1421" s="98">
        <v>2041223729</v>
      </c>
      <c r="B1421" s="101" t="s">
        <v>1822</v>
      </c>
      <c r="C1421" s="98" t="s">
        <v>534</v>
      </c>
      <c r="D1421" s="98" t="s">
        <v>710</v>
      </c>
      <c r="E1421" s="98" t="s">
        <v>1395</v>
      </c>
      <c r="F1421" s="98" t="s">
        <v>1317</v>
      </c>
      <c r="G1421" s="98" t="s">
        <v>1318</v>
      </c>
    </row>
    <row r="1422" spans="1:7" ht="15" thickBot="1" x14ac:dyDescent="0.4">
      <c r="A1422" s="98">
        <v>2041225012</v>
      </c>
      <c r="B1422" s="101" t="s">
        <v>1823</v>
      </c>
      <c r="C1422" s="98" t="s">
        <v>534</v>
      </c>
      <c r="D1422" s="98" t="s">
        <v>710</v>
      </c>
      <c r="E1422" s="98" t="s">
        <v>911</v>
      </c>
      <c r="F1422" s="98" t="s">
        <v>1317</v>
      </c>
      <c r="G1422" s="98" t="s">
        <v>1318</v>
      </c>
    </row>
    <row r="1423" spans="1:7" ht="15" thickBot="1" x14ac:dyDescent="0.4">
      <c r="A1423" s="98">
        <v>2041225012</v>
      </c>
      <c r="B1423" s="101" t="s">
        <v>1823</v>
      </c>
      <c r="C1423" s="98" t="s">
        <v>534</v>
      </c>
      <c r="D1423" s="98" t="s">
        <v>710</v>
      </c>
      <c r="E1423" s="98" t="s">
        <v>914</v>
      </c>
      <c r="F1423" s="98" t="s">
        <v>1317</v>
      </c>
      <c r="G1423" s="98" t="s">
        <v>1318</v>
      </c>
    </row>
    <row r="1424" spans="1:7" ht="15" thickBot="1" x14ac:dyDescent="0.4">
      <c r="A1424" s="98">
        <v>2041225012</v>
      </c>
      <c r="B1424" s="101" t="s">
        <v>1823</v>
      </c>
      <c r="C1424" s="98" t="s">
        <v>534</v>
      </c>
      <c r="D1424" s="98" t="s">
        <v>710</v>
      </c>
      <c r="E1424" s="98" t="s">
        <v>912</v>
      </c>
      <c r="F1424" s="98" t="s">
        <v>1317</v>
      </c>
      <c r="G1424" s="98" t="s">
        <v>1318</v>
      </c>
    </row>
    <row r="1425" spans="1:7" ht="15" thickBot="1" x14ac:dyDescent="0.4">
      <c r="A1425" s="98">
        <v>2041223114</v>
      </c>
      <c r="B1425" s="101" t="s">
        <v>1824</v>
      </c>
      <c r="C1425" s="98" t="s">
        <v>534</v>
      </c>
      <c r="D1425" s="98" t="s">
        <v>710</v>
      </c>
      <c r="E1425" s="98" t="s">
        <v>914</v>
      </c>
      <c r="F1425" s="98" t="s">
        <v>1317</v>
      </c>
      <c r="G1425" s="98" t="s">
        <v>1318</v>
      </c>
    </row>
    <row r="1426" spans="1:7" ht="15" thickBot="1" x14ac:dyDescent="0.4">
      <c r="A1426" s="98">
        <v>2041223114</v>
      </c>
      <c r="B1426" s="101" t="s">
        <v>1824</v>
      </c>
      <c r="C1426" s="98" t="s">
        <v>534</v>
      </c>
      <c r="D1426" s="98" t="s">
        <v>710</v>
      </c>
      <c r="E1426" s="98" t="s">
        <v>912</v>
      </c>
      <c r="F1426" s="98" t="s">
        <v>1317</v>
      </c>
      <c r="G1426" s="98" t="s">
        <v>1318</v>
      </c>
    </row>
    <row r="1427" spans="1:7" ht="15" thickBot="1" x14ac:dyDescent="0.4">
      <c r="A1427" s="98">
        <v>2041223879</v>
      </c>
      <c r="B1427" s="101" t="s">
        <v>1825</v>
      </c>
      <c r="C1427" s="98" t="s">
        <v>534</v>
      </c>
      <c r="D1427" s="98" t="s">
        <v>710</v>
      </c>
      <c r="E1427" s="98" t="s">
        <v>911</v>
      </c>
      <c r="F1427" s="98" t="s">
        <v>1317</v>
      </c>
      <c r="G1427" s="98" t="s">
        <v>1318</v>
      </c>
    </row>
    <row r="1428" spans="1:7" ht="15" thickBot="1" x14ac:dyDescent="0.4">
      <c r="A1428" s="98">
        <v>2041223879</v>
      </c>
      <c r="B1428" s="101" t="s">
        <v>1825</v>
      </c>
      <c r="C1428" s="98" t="s">
        <v>534</v>
      </c>
      <c r="D1428" s="98" t="s">
        <v>710</v>
      </c>
      <c r="E1428" s="98" t="s">
        <v>915</v>
      </c>
      <c r="F1428" s="98" t="s">
        <v>1317</v>
      </c>
      <c r="G1428" s="98" t="s">
        <v>1319</v>
      </c>
    </row>
    <row r="1429" spans="1:7" ht="15" thickBot="1" x14ac:dyDescent="0.4">
      <c r="A1429" s="98">
        <v>2041223879</v>
      </c>
      <c r="B1429" s="101" t="s">
        <v>1825</v>
      </c>
      <c r="C1429" s="98" t="s">
        <v>534</v>
      </c>
      <c r="D1429" s="98" t="s">
        <v>710</v>
      </c>
      <c r="E1429" s="98" t="s">
        <v>914</v>
      </c>
      <c r="F1429" s="98" t="s">
        <v>1317</v>
      </c>
      <c r="G1429" s="98" t="s">
        <v>1318</v>
      </c>
    </row>
    <row r="1430" spans="1:7" ht="15" thickBot="1" x14ac:dyDescent="0.4">
      <c r="A1430" s="98">
        <v>2041223879</v>
      </c>
      <c r="B1430" s="101" t="s">
        <v>1825</v>
      </c>
      <c r="C1430" s="98" t="s">
        <v>534</v>
      </c>
      <c r="D1430" s="98" t="s">
        <v>710</v>
      </c>
      <c r="E1430" s="98" t="s">
        <v>916</v>
      </c>
      <c r="F1430" s="98" t="s">
        <v>1317</v>
      </c>
      <c r="G1430" s="98" t="s">
        <v>1319</v>
      </c>
    </row>
    <row r="1431" spans="1:7" ht="15" thickBot="1" x14ac:dyDescent="0.4">
      <c r="A1431" s="98">
        <v>2041222707</v>
      </c>
      <c r="B1431" s="101" t="s">
        <v>1826</v>
      </c>
      <c r="C1431" s="98" t="s">
        <v>534</v>
      </c>
      <c r="D1431" s="98" t="s">
        <v>710</v>
      </c>
      <c r="E1431" s="98" t="s">
        <v>912</v>
      </c>
      <c r="F1431" s="98" t="s">
        <v>1317</v>
      </c>
      <c r="G1431" s="98" t="s">
        <v>1318</v>
      </c>
    </row>
    <row r="1432" spans="1:7" ht="15" thickBot="1" x14ac:dyDescent="0.4">
      <c r="A1432" s="98">
        <v>2041222707</v>
      </c>
      <c r="B1432" s="101" t="s">
        <v>1827</v>
      </c>
      <c r="C1432" s="98" t="s">
        <v>534</v>
      </c>
      <c r="D1432" s="98" t="s">
        <v>710</v>
      </c>
      <c r="E1432" s="98" t="s">
        <v>911</v>
      </c>
      <c r="F1432" s="98" t="s">
        <v>1317</v>
      </c>
      <c r="G1432" s="98" t="s">
        <v>1318</v>
      </c>
    </row>
    <row r="1433" spans="1:7" ht="15" thickBot="1" x14ac:dyDescent="0.4">
      <c r="A1433" s="98">
        <v>2041222707</v>
      </c>
      <c r="B1433" s="101" t="s">
        <v>1827</v>
      </c>
      <c r="C1433" s="98" t="s">
        <v>534</v>
      </c>
      <c r="D1433" s="98" t="s">
        <v>710</v>
      </c>
      <c r="E1433" s="98" t="s">
        <v>1342</v>
      </c>
      <c r="F1433" s="98" t="s">
        <v>1317</v>
      </c>
      <c r="G1433" s="98" t="s">
        <v>1318</v>
      </c>
    </row>
    <row r="1434" spans="1:7" ht="15" thickBot="1" x14ac:dyDescent="0.4">
      <c r="A1434" s="98">
        <v>2041222935</v>
      </c>
      <c r="B1434" s="101" t="s">
        <v>1828</v>
      </c>
      <c r="C1434" s="98" t="s">
        <v>534</v>
      </c>
      <c r="D1434" s="98" t="s">
        <v>710</v>
      </c>
      <c r="E1434" s="98" t="s">
        <v>911</v>
      </c>
      <c r="F1434" s="98" t="s">
        <v>1317</v>
      </c>
      <c r="G1434" s="98" t="s">
        <v>1318</v>
      </c>
    </row>
    <row r="1435" spans="1:7" ht="15" thickBot="1" x14ac:dyDescent="0.4">
      <c r="A1435" s="98">
        <v>2041222935</v>
      </c>
      <c r="B1435" s="101" t="s">
        <v>1828</v>
      </c>
      <c r="C1435" s="98" t="s">
        <v>534</v>
      </c>
      <c r="D1435" s="98" t="s">
        <v>710</v>
      </c>
      <c r="E1435" s="98" t="s">
        <v>912</v>
      </c>
      <c r="F1435" s="98" t="s">
        <v>1317</v>
      </c>
      <c r="G1435" s="98" t="s">
        <v>1318</v>
      </c>
    </row>
    <row r="1436" spans="1:7" ht="15" thickBot="1" x14ac:dyDescent="0.4">
      <c r="A1436" s="98">
        <v>2041222935</v>
      </c>
      <c r="B1436" s="101" t="s">
        <v>1828</v>
      </c>
      <c r="C1436" s="98" t="s">
        <v>534</v>
      </c>
      <c r="D1436" s="98" t="s">
        <v>710</v>
      </c>
      <c r="E1436" s="98" t="s">
        <v>916</v>
      </c>
      <c r="F1436" s="98" t="s">
        <v>1317</v>
      </c>
      <c r="G1436" s="98" t="s">
        <v>1319</v>
      </c>
    </row>
    <row r="1437" spans="1:7" ht="15" thickBot="1" x14ac:dyDescent="0.4">
      <c r="A1437" s="98">
        <v>2041225451</v>
      </c>
      <c r="B1437" s="101" t="s">
        <v>1330</v>
      </c>
      <c r="C1437" s="98" t="s">
        <v>132</v>
      </c>
      <c r="D1437" s="98" t="s">
        <v>710</v>
      </c>
      <c r="E1437" s="98" t="s">
        <v>914</v>
      </c>
      <c r="F1437" s="98" t="s">
        <v>1317</v>
      </c>
      <c r="G1437" s="98" t="s">
        <v>1318</v>
      </c>
    </row>
    <row r="1438" spans="1:7" ht="15" thickBot="1" x14ac:dyDescent="0.4">
      <c r="A1438" s="98">
        <v>2041225846</v>
      </c>
      <c r="B1438" s="101" t="s">
        <v>1331</v>
      </c>
      <c r="C1438" s="98" t="s">
        <v>132</v>
      </c>
      <c r="D1438" s="98" t="s">
        <v>710</v>
      </c>
      <c r="E1438" s="98" t="s">
        <v>914</v>
      </c>
      <c r="F1438" s="98" t="s">
        <v>1317</v>
      </c>
      <c r="G1438" s="98" t="s">
        <v>1318</v>
      </c>
    </row>
    <row r="1439" spans="1:7" ht="15" thickBot="1" x14ac:dyDescent="0.4">
      <c r="A1439" s="98">
        <v>2041221993</v>
      </c>
      <c r="B1439" s="101" t="s">
        <v>1829</v>
      </c>
      <c r="C1439" s="98" t="s">
        <v>132</v>
      </c>
      <c r="D1439" s="98" t="s">
        <v>710</v>
      </c>
      <c r="E1439" s="98" t="s">
        <v>911</v>
      </c>
      <c r="F1439" s="98" t="s">
        <v>1317</v>
      </c>
      <c r="G1439" s="98" t="s">
        <v>1318</v>
      </c>
    </row>
    <row r="1440" spans="1:7" ht="15" thickBot="1" x14ac:dyDescent="0.4">
      <c r="A1440" s="98">
        <v>2041221993</v>
      </c>
      <c r="B1440" s="101" t="s">
        <v>1829</v>
      </c>
      <c r="C1440" s="98" t="s">
        <v>132</v>
      </c>
      <c r="D1440" s="98" t="s">
        <v>710</v>
      </c>
      <c r="E1440" s="98" t="s">
        <v>914</v>
      </c>
      <c r="F1440" s="98" t="s">
        <v>1317</v>
      </c>
      <c r="G1440" s="98" t="s">
        <v>1318</v>
      </c>
    </row>
    <row r="1441" spans="1:7" ht="15" thickBot="1" x14ac:dyDescent="0.4">
      <c r="A1441" s="98">
        <v>2041221993</v>
      </c>
      <c r="B1441" s="101" t="s">
        <v>1829</v>
      </c>
      <c r="C1441" s="98" t="s">
        <v>132</v>
      </c>
      <c r="D1441" s="98" t="s">
        <v>710</v>
      </c>
      <c r="E1441" s="98" t="s">
        <v>915</v>
      </c>
      <c r="F1441" s="98" t="s">
        <v>1317</v>
      </c>
      <c r="G1441" s="98" t="s">
        <v>1319</v>
      </c>
    </row>
    <row r="1442" spans="1:7" ht="15" thickBot="1" x14ac:dyDescent="0.4">
      <c r="A1442" s="98">
        <v>2041222717</v>
      </c>
      <c r="B1442" s="101" t="s">
        <v>1830</v>
      </c>
      <c r="C1442" s="98" t="s">
        <v>132</v>
      </c>
      <c r="D1442" s="98" t="s">
        <v>710</v>
      </c>
      <c r="E1442" s="98" t="s">
        <v>913</v>
      </c>
      <c r="F1442" s="98" t="s">
        <v>1317</v>
      </c>
      <c r="G1442" s="98" t="s">
        <v>1318</v>
      </c>
    </row>
    <row r="1443" spans="1:7" ht="15" thickBot="1" x14ac:dyDescent="0.4">
      <c r="A1443" s="98">
        <v>2041222717</v>
      </c>
      <c r="B1443" s="101" t="s">
        <v>1830</v>
      </c>
      <c r="C1443" s="98" t="s">
        <v>132</v>
      </c>
      <c r="D1443" s="98" t="s">
        <v>710</v>
      </c>
      <c r="E1443" s="98" t="s">
        <v>911</v>
      </c>
      <c r="F1443" s="98" t="s">
        <v>1317</v>
      </c>
      <c r="G1443" s="98" t="s">
        <v>1318</v>
      </c>
    </row>
    <row r="1444" spans="1:7" ht="15" thickBot="1" x14ac:dyDescent="0.4">
      <c r="A1444" s="98">
        <v>2041222717</v>
      </c>
      <c r="B1444" s="101" t="s">
        <v>1830</v>
      </c>
      <c r="C1444" s="98" t="s">
        <v>132</v>
      </c>
      <c r="D1444" s="98" t="s">
        <v>710</v>
      </c>
      <c r="E1444" s="98" t="s">
        <v>915</v>
      </c>
      <c r="F1444" s="98" t="s">
        <v>1317</v>
      </c>
      <c r="G1444" s="98" t="s">
        <v>1319</v>
      </c>
    </row>
    <row r="1445" spans="1:7" ht="15" thickBot="1" x14ac:dyDescent="0.4">
      <c r="A1445" s="98">
        <v>2041223216</v>
      </c>
      <c r="B1445" s="101" t="s">
        <v>1831</v>
      </c>
      <c r="C1445" s="98" t="s">
        <v>534</v>
      </c>
      <c r="D1445" s="98" t="s">
        <v>710</v>
      </c>
      <c r="E1445" s="98" t="s">
        <v>913</v>
      </c>
      <c r="F1445" s="98" t="s">
        <v>1317</v>
      </c>
      <c r="G1445" s="98" t="s">
        <v>1318</v>
      </c>
    </row>
    <row r="1446" spans="1:7" ht="15" thickBot="1" x14ac:dyDescent="0.4">
      <c r="A1446" s="98">
        <v>2041223216</v>
      </c>
      <c r="B1446" s="101" t="s">
        <v>1831</v>
      </c>
      <c r="C1446" s="98" t="s">
        <v>534</v>
      </c>
      <c r="D1446" s="98" t="s">
        <v>710</v>
      </c>
      <c r="E1446" s="98" t="s">
        <v>911</v>
      </c>
      <c r="F1446" s="98" t="s">
        <v>1317</v>
      </c>
      <c r="G1446" s="98" t="s">
        <v>1318</v>
      </c>
    </row>
    <row r="1447" spans="1:7" ht="15" thickBot="1" x14ac:dyDescent="0.4">
      <c r="A1447" s="98">
        <v>2041223216</v>
      </c>
      <c r="B1447" s="101" t="s">
        <v>1831</v>
      </c>
      <c r="C1447" s="98" t="s">
        <v>534</v>
      </c>
      <c r="D1447" s="98" t="s">
        <v>710</v>
      </c>
      <c r="E1447" s="98" t="s">
        <v>916</v>
      </c>
      <c r="F1447" s="98" t="s">
        <v>1317</v>
      </c>
      <c r="G1447" s="98" t="s">
        <v>1319</v>
      </c>
    </row>
    <row r="1448" spans="1:7" ht="15" thickBot="1" x14ac:dyDescent="0.4">
      <c r="A1448" s="98">
        <v>2041225524</v>
      </c>
      <c r="B1448" s="101" t="s">
        <v>1336</v>
      </c>
      <c r="C1448" s="98" t="s">
        <v>148</v>
      </c>
      <c r="D1448" s="98" t="s">
        <v>710</v>
      </c>
      <c r="E1448" s="98" t="s">
        <v>914</v>
      </c>
      <c r="F1448" s="98" t="s">
        <v>1317</v>
      </c>
      <c r="G1448" s="98" t="s">
        <v>1318</v>
      </c>
    </row>
    <row r="1449" spans="1:7" ht="15" thickBot="1" x14ac:dyDescent="0.4">
      <c r="A1449" s="98">
        <v>2041221756</v>
      </c>
      <c r="B1449" s="101" t="s">
        <v>1832</v>
      </c>
      <c r="C1449" s="98" t="s">
        <v>132</v>
      </c>
      <c r="D1449" s="98" t="s">
        <v>710</v>
      </c>
      <c r="E1449" s="98" t="s">
        <v>914</v>
      </c>
      <c r="F1449" s="98" t="s">
        <v>1317</v>
      </c>
      <c r="G1449" s="98" t="s">
        <v>1318</v>
      </c>
    </row>
    <row r="1450" spans="1:7" ht="15" thickBot="1" x14ac:dyDescent="0.4">
      <c r="A1450" s="98">
        <v>2041221756</v>
      </c>
      <c r="B1450" s="101" t="s">
        <v>1832</v>
      </c>
      <c r="C1450" s="98" t="s">
        <v>132</v>
      </c>
      <c r="D1450" s="98" t="s">
        <v>710</v>
      </c>
      <c r="E1450" s="98" t="s">
        <v>912</v>
      </c>
      <c r="F1450" s="98" t="s">
        <v>1317</v>
      </c>
      <c r="G1450" s="98" t="s">
        <v>1318</v>
      </c>
    </row>
    <row r="1451" spans="1:7" ht="15" thickBot="1" x14ac:dyDescent="0.4">
      <c r="A1451" s="98">
        <v>2041221756</v>
      </c>
      <c r="B1451" s="101" t="s">
        <v>1832</v>
      </c>
      <c r="C1451" s="98" t="s">
        <v>132</v>
      </c>
      <c r="D1451" s="98" t="s">
        <v>710</v>
      </c>
      <c r="E1451" s="98" t="s">
        <v>915</v>
      </c>
      <c r="F1451" s="98" t="s">
        <v>1323</v>
      </c>
      <c r="G1451" s="98" t="s">
        <v>1319</v>
      </c>
    </row>
    <row r="1452" spans="1:7" ht="15" thickBot="1" x14ac:dyDescent="0.4">
      <c r="A1452" s="98">
        <v>2005223551</v>
      </c>
      <c r="B1452" s="101" t="s">
        <v>1408</v>
      </c>
      <c r="C1452" s="98" t="s">
        <v>196</v>
      </c>
      <c r="D1452" s="98" t="s">
        <v>710</v>
      </c>
      <c r="E1452" s="98" t="s">
        <v>914</v>
      </c>
      <c r="F1452" s="98" t="s">
        <v>1317</v>
      </c>
      <c r="G1452" s="98" t="s">
        <v>1318</v>
      </c>
    </row>
    <row r="1453" spans="1:7" ht="15" thickBot="1" x14ac:dyDescent="0.4">
      <c r="A1453" s="98">
        <v>2041224357</v>
      </c>
      <c r="B1453" s="101" t="s">
        <v>2083</v>
      </c>
      <c r="C1453" s="98" t="s">
        <v>534</v>
      </c>
      <c r="D1453" s="98" t="s">
        <v>710</v>
      </c>
      <c r="E1453" s="98" t="s">
        <v>915</v>
      </c>
      <c r="F1453" s="98" t="s">
        <v>1323</v>
      </c>
      <c r="G1453" s="98" t="s">
        <v>1319</v>
      </c>
    </row>
    <row r="1454" spans="1:7" ht="15" thickBot="1" x14ac:dyDescent="0.4">
      <c r="A1454" s="98">
        <v>2041225645</v>
      </c>
      <c r="B1454" s="101" t="s">
        <v>1833</v>
      </c>
      <c r="C1454" s="98" t="s">
        <v>534</v>
      </c>
      <c r="D1454" s="98" t="s">
        <v>710</v>
      </c>
      <c r="E1454" s="98" t="s">
        <v>1321</v>
      </c>
      <c r="F1454" s="98" t="s">
        <v>1317</v>
      </c>
      <c r="G1454" s="98" t="s">
        <v>1318</v>
      </c>
    </row>
    <row r="1455" spans="1:7" ht="15" thickBot="1" x14ac:dyDescent="0.4">
      <c r="A1455" s="98">
        <v>2041225645</v>
      </c>
      <c r="B1455" s="101" t="s">
        <v>1834</v>
      </c>
      <c r="C1455" s="98" t="s">
        <v>534</v>
      </c>
      <c r="D1455" s="98" t="s">
        <v>710</v>
      </c>
      <c r="E1455" s="98" t="s">
        <v>912</v>
      </c>
      <c r="F1455" s="98" t="s">
        <v>1317</v>
      </c>
      <c r="G1455" s="98" t="s">
        <v>1318</v>
      </c>
    </row>
    <row r="1456" spans="1:7" ht="15" thickBot="1" x14ac:dyDescent="0.4">
      <c r="A1456" s="98">
        <v>2041225645</v>
      </c>
      <c r="B1456" s="101" t="s">
        <v>1833</v>
      </c>
      <c r="C1456" s="98" t="s">
        <v>534</v>
      </c>
      <c r="D1456" s="98" t="s">
        <v>710</v>
      </c>
      <c r="E1456" s="98" t="s">
        <v>911</v>
      </c>
      <c r="F1456" s="98" t="s">
        <v>1317</v>
      </c>
      <c r="G1456" s="98" t="s">
        <v>1318</v>
      </c>
    </row>
    <row r="1457" spans="1:7" ht="15" thickBot="1" x14ac:dyDescent="0.4">
      <c r="A1457" s="98">
        <v>2041222645</v>
      </c>
      <c r="B1457" s="101" t="s">
        <v>1835</v>
      </c>
      <c r="C1457" s="98" t="s">
        <v>132</v>
      </c>
      <c r="D1457" s="98" t="s">
        <v>710</v>
      </c>
      <c r="E1457" s="98" t="s">
        <v>912</v>
      </c>
      <c r="F1457" s="98" t="s">
        <v>1317</v>
      </c>
      <c r="G1457" s="98" t="s">
        <v>1318</v>
      </c>
    </row>
    <row r="1458" spans="1:7" ht="15" thickBot="1" x14ac:dyDescent="0.4">
      <c r="A1458" s="98">
        <v>2041222645</v>
      </c>
      <c r="B1458" s="101" t="s">
        <v>1835</v>
      </c>
      <c r="C1458" s="98" t="s">
        <v>132</v>
      </c>
      <c r="D1458" s="98" t="s">
        <v>710</v>
      </c>
      <c r="E1458" s="98" t="s">
        <v>1342</v>
      </c>
      <c r="F1458" s="98" t="s">
        <v>1317</v>
      </c>
      <c r="G1458" s="98" t="s">
        <v>1318</v>
      </c>
    </row>
    <row r="1459" spans="1:7" ht="15" thickBot="1" x14ac:dyDescent="0.4">
      <c r="A1459" s="98">
        <v>2041222645</v>
      </c>
      <c r="B1459" s="101" t="s">
        <v>1835</v>
      </c>
      <c r="C1459" s="98" t="s">
        <v>132</v>
      </c>
      <c r="D1459" s="98" t="s">
        <v>710</v>
      </c>
      <c r="E1459" s="98" t="s">
        <v>911</v>
      </c>
      <c r="F1459" s="98" t="s">
        <v>1317</v>
      </c>
      <c r="G1459" s="98" t="s">
        <v>1318</v>
      </c>
    </row>
    <row r="1460" spans="1:7" ht="15" thickBot="1" x14ac:dyDescent="0.4">
      <c r="A1460" s="98">
        <v>2041220564</v>
      </c>
      <c r="B1460" s="101" t="s">
        <v>1836</v>
      </c>
      <c r="C1460" s="98" t="s">
        <v>132</v>
      </c>
      <c r="D1460" s="98" t="s">
        <v>710</v>
      </c>
      <c r="E1460" s="98" t="s">
        <v>911</v>
      </c>
      <c r="F1460" s="98" t="s">
        <v>1317</v>
      </c>
      <c r="G1460" s="98" t="s">
        <v>1318</v>
      </c>
    </row>
    <row r="1461" spans="1:7" ht="15" thickBot="1" x14ac:dyDescent="0.4">
      <c r="A1461" s="98">
        <v>2041220564</v>
      </c>
      <c r="B1461" s="101" t="s">
        <v>1836</v>
      </c>
      <c r="C1461" s="98" t="s">
        <v>132</v>
      </c>
      <c r="D1461" s="98" t="s">
        <v>710</v>
      </c>
      <c r="E1461" s="98" t="s">
        <v>912</v>
      </c>
      <c r="F1461" s="98" t="s">
        <v>1317</v>
      </c>
      <c r="G1461" s="98" t="s">
        <v>1318</v>
      </c>
    </row>
    <row r="1462" spans="1:7" ht="15" thickBot="1" x14ac:dyDescent="0.4">
      <c r="A1462" s="98">
        <v>2041220564</v>
      </c>
      <c r="B1462" s="101" t="s">
        <v>1836</v>
      </c>
      <c r="C1462" s="98" t="s">
        <v>132</v>
      </c>
      <c r="D1462" s="98" t="s">
        <v>710</v>
      </c>
      <c r="E1462" s="98" t="s">
        <v>915</v>
      </c>
      <c r="F1462" s="98" t="s">
        <v>1317</v>
      </c>
      <c r="G1462" s="98" t="s">
        <v>1319</v>
      </c>
    </row>
    <row r="1463" spans="1:7" ht="15" thickBot="1" x14ac:dyDescent="0.4">
      <c r="A1463" s="98">
        <v>2022218183</v>
      </c>
      <c r="B1463" s="101" t="s">
        <v>2049</v>
      </c>
      <c r="C1463" s="98" t="s">
        <v>1484</v>
      </c>
      <c r="D1463" s="98" t="s">
        <v>710</v>
      </c>
      <c r="E1463" s="98" t="s">
        <v>911</v>
      </c>
      <c r="F1463" s="98" t="s">
        <v>1317</v>
      </c>
      <c r="G1463" s="98" t="s">
        <v>1318</v>
      </c>
    </row>
    <row r="1464" spans="1:7" ht="15" thickBot="1" x14ac:dyDescent="0.4">
      <c r="A1464" s="98">
        <v>2041226153</v>
      </c>
      <c r="B1464" s="101" t="s">
        <v>1837</v>
      </c>
      <c r="C1464" s="98" t="s">
        <v>132</v>
      </c>
      <c r="D1464" s="98" t="s">
        <v>710</v>
      </c>
      <c r="E1464" s="98" t="s">
        <v>912</v>
      </c>
      <c r="F1464" s="98" t="s">
        <v>1317</v>
      </c>
      <c r="G1464" s="98" t="s">
        <v>1318</v>
      </c>
    </row>
    <row r="1465" spans="1:7" ht="15" thickBot="1" x14ac:dyDescent="0.4">
      <c r="A1465" s="98">
        <v>2041223143</v>
      </c>
      <c r="B1465" s="101" t="s">
        <v>1838</v>
      </c>
      <c r="C1465" s="98" t="s">
        <v>132</v>
      </c>
      <c r="D1465" s="98" t="s">
        <v>710</v>
      </c>
      <c r="E1465" s="98" t="s">
        <v>914</v>
      </c>
      <c r="F1465" s="98" t="s">
        <v>1317</v>
      </c>
      <c r="G1465" s="98" t="s">
        <v>1318</v>
      </c>
    </row>
    <row r="1466" spans="1:7" ht="15" thickBot="1" x14ac:dyDescent="0.4">
      <c r="A1466" s="98">
        <v>2041223153</v>
      </c>
      <c r="B1466" s="101" t="s">
        <v>1838</v>
      </c>
      <c r="C1466" s="98" t="s">
        <v>132</v>
      </c>
      <c r="D1466" s="98" t="s">
        <v>710</v>
      </c>
      <c r="E1466" s="98" t="s">
        <v>915</v>
      </c>
      <c r="F1466" s="98" t="s">
        <v>1317</v>
      </c>
      <c r="G1466" s="98" t="s">
        <v>1319</v>
      </c>
    </row>
    <row r="1467" spans="1:7" ht="15" thickBot="1" x14ac:dyDescent="0.4">
      <c r="A1467" s="98">
        <v>2041223153</v>
      </c>
      <c r="B1467" s="101" t="s">
        <v>1838</v>
      </c>
      <c r="C1467" s="98" t="s">
        <v>132</v>
      </c>
      <c r="D1467" s="98" t="s">
        <v>710</v>
      </c>
      <c r="E1467" s="98" t="s">
        <v>912</v>
      </c>
      <c r="F1467" s="98" t="s">
        <v>1317</v>
      </c>
      <c r="G1467" s="98" t="s">
        <v>1318</v>
      </c>
    </row>
    <row r="1468" spans="1:7" ht="15" thickBot="1" x14ac:dyDescent="0.4">
      <c r="A1468" s="98">
        <v>2041221426</v>
      </c>
      <c r="B1468" s="101" t="s">
        <v>1839</v>
      </c>
      <c r="C1468" s="98" t="s">
        <v>132</v>
      </c>
      <c r="D1468" s="98" t="s">
        <v>710</v>
      </c>
      <c r="E1468" s="98" t="s">
        <v>911</v>
      </c>
      <c r="F1468" s="98" t="s">
        <v>1317</v>
      </c>
      <c r="G1468" s="98" t="s">
        <v>1318</v>
      </c>
    </row>
    <row r="1469" spans="1:7" ht="15" thickBot="1" x14ac:dyDescent="0.4">
      <c r="A1469" s="98">
        <v>2041221426</v>
      </c>
      <c r="B1469" s="101" t="s">
        <v>1839</v>
      </c>
      <c r="C1469" s="98" t="s">
        <v>132</v>
      </c>
      <c r="D1469" s="98" t="s">
        <v>710</v>
      </c>
      <c r="E1469" s="98" t="s">
        <v>914</v>
      </c>
      <c r="F1469" s="98" t="s">
        <v>1317</v>
      </c>
      <c r="G1469" s="98" t="s">
        <v>1318</v>
      </c>
    </row>
    <row r="1470" spans="1:7" ht="15" thickBot="1" x14ac:dyDescent="0.4">
      <c r="A1470" s="98">
        <v>2041221426</v>
      </c>
      <c r="B1470" s="101" t="s">
        <v>1839</v>
      </c>
      <c r="C1470" s="98" t="s">
        <v>132</v>
      </c>
      <c r="D1470" s="98" t="s">
        <v>710</v>
      </c>
      <c r="E1470" s="98" t="s">
        <v>912</v>
      </c>
      <c r="F1470" s="98" t="s">
        <v>1317</v>
      </c>
      <c r="G1470" s="98" t="s">
        <v>1318</v>
      </c>
    </row>
    <row r="1471" spans="1:7" ht="15" thickBot="1" x14ac:dyDescent="0.4">
      <c r="A1471" s="98">
        <v>2041223620</v>
      </c>
      <c r="B1471" s="101" t="s">
        <v>1840</v>
      </c>
      <c r="C1471" s="98" t="s">
        <v>534</v>
      </c>
      <c r="D1471" s="98" t="s">
        <v>710</v>
      </c>
      <c r="E1471" s="98" t="s">
        <v>1321</v>
      </c>
      <c r="F1471" s="98" t="s">
        <v>1317</v>
      </c>
      <c r="G1471" s="98" t="s">
        <v>1318</v>
      </c>
    </row>
    <row r="1472" spans="1:7" ht="15" thickBot="1" x14ac:dyDescent="0.4">
      <c r="A1472" s="98">
        <v>2041223620</v>
      </c>
      <c r="B1472" s="101" t="s">
        <v>1840</v>
      </c>
      <c r="C1472" s="98" t="s">
        <v>534</v>
      </c>
      <c r="D1472" s="98" t="s">
        <v>710</v>
      </c>
      <c r="E1472" s="98" t="s">
        <v>912</v>
      </c>
      <c r="F1472" s="98" t="s">
        <v>1317</v>
      </c>
      <c r="G1472" s="98" t="s">
        <v>1318</v>
      </c>
    </row>
    <row r="1473" spans="1:7" ht="15" thickBot="1" x14ac:dyDescent="0.4">
      <c r="A1473" s="98">
        <v>2041223620</v>
      </c>
      <c r="B1473" s="101" t="s">
        <v>1840</v>
      </c>
      <c r="C1473" s="98" t="s">
        <v>534</v>
      </c>
      <c r="D1473" s="98" t="s">
        <v>710</v>
      </c>
      <c r="E1473" s="98" t="s">
        <v>914</v>
      </c>
      <c r="F1473" s="98" t="s">
        <v>1317</v>
      </c>
      <c r="G1473" s="98" t="s">
        <v>1318</v>
      </c>
    </row>
    <row r="1474" spans="1:7" ht="15" thickBot="1" x14ac:dyDescent="0.4">
      <c r="A1474" s="98">
        <v>2041222986</v>
      </c>
      <c r="B1474" s="101" t="s">
        <v>1345</v>
      </c>
      <c r="C1474" s="98" t="s">
        <v>132</v>
      </c>
      <c r="D1474" s="98" t="s">
        <v>710</v>
      </c>
      <c r="E1474" s="98" t="s">
        <v>914</v>
      </c>
      <c r="F1474" s="98" t="s">
        <v>1317</v>
      </c>
      <c r="G1474" s="98" t="s">
        <v>1318</v>
      </c>
    </row>
    <row r="1475" spans="1:7" ht="15" thickBot="1" x14ac:dyDescent="0.4">
      <c r="A1475" s="98">
        <v>2041222986</v>
      </c>
      <c r="B1475" s="101" t="s">
        <v>1345</v>
      </c>
      <c r="C1475" s="98" t="s">
        <v>132</v>
      </c>
      <c r="D1475" s="98" t="s">
        <v>710</v>
      </c>
      <c r="E1475" s="98" t="s">
        <v>915</v>
      </c>
      <c r="F1475" s="98" t="s">
        <v>1317</v>
      </c>
      <c r="G1475" s="98" t="s">
        <v>1319</v>
      </c>
    </row>
    <row r="1476" spans="1:7" ht="15" thickBot="1" x14ac:dyDescent="0.4">
      <c r="A1476" s="98">
        <v>2041222131</v>
      </c>
      <c r="B1476" s="101" t="s">
        <v>1841</v>
      </c>
      <c r="C1476" s="98" t="s">
        <v>132</v>
      </c>
      <c r="D1476" s="98" t="s">
        <v>710</v>
      </c>
      <c r="E1476" s="98" t="s">
        <v>912</v>
      </c>
      <c r="F1476" s="98" t="s">
        <v>1317</v>
      </c>
      <c r="G1476" s="98" t="s">
        <v>1318</v>
      </c>
    </row>
    <row r="1477" spans="1:7" ht="15" thickBot="1" x14ac:dyDescent="0.4">
      <c r="A1477" s="98">
        <v>2041222131</v>
      </c>
      <c r="B1477" s="101" t="s">
        <v>1841</v>
      </c>
      <c r="C1477" s="98" t="s">
        <v>132</v>
      </c>
      <c r="D1477" s="98" t="s">
        <v>710</v>
      </c>
      <c r="E1477" s="98" t="s">
        <v>911</v>
      </c>
      <c r="F1477" s="98" t="s">
        <v>1317</v>
      </c>
      <c r="G1477" s="98" t="s">
        <v>1318</v>
      </c>
    </row>
    <row r="1478" spans="1:7" ht="15" thickBot="1" x14ac:dyDescent="0.4">
      <c r="A1478" s="98">
        <v>2041222131</v>
      </c>
      <c r="B1478" s="101" t="s">
        <v>1841</v>
      </c>
      <c r="C1478" s="98" t="s">
        <v>132</v>
      </c>
      <c r="D1478" s="98" t="s">
        <v>710</v>
      </c>
      <c r="E1478" s="98" t="s">
        <v>915</v>
      </c>
      <c r="F1478" s="98" t="s">
        <v>1317</v>
      </c>
      <c r="G1478" s="98" t="s">
        <v>1319</v>
      </c>
    </row>
    <row r="1479" spans="1:7" ht="15" thickBot="1" x14ac:dyDescent="0.4">
      <c r="A1479" s="98">
        <v>2041223007</v>
      </c>
      <c r="B1479" s="101" t="s">
        <v>1842</v>
      </c>
      <c r="C1479" s="98" t="s">
        <v>132</v>
      </c>
      <c r="D1479" s="98" t="s">
        <v>710</v>
      </c>
      <c r="E1479" s="98" t="s">
        <v>911</v>
      </c>
      <c r="F1479" s="98" t="s">
        <v>1317</v>
      </c>
      <c r="G1479" s="98" t="s">
        <v>1318</v>
      </c>
    </row>
    <row r="1480" spans="1:7" ht="15" thickBot="1" x14ac:dyDescent="0.4">
      <c r="A1480" s="98">
        <v>2041224807</v>
      </c>
      <c r="B1480" s="101" t="s">
        <v>1843</v>
      </c>
      <c r="C1480" s="98" t="s">
        <v>534</v>
      </c>
      <c r="D1480" s="98" t="s">
        <v>710</v>
      </c>
      <c r="E1480" s="98" t="s">
        <v>1321</v>
      </c>
      <c r="F1480" s="98" t="s">
        <v>1317</v>
      </c>
      <c r="G1480" s="98" t="s">
        <v>1318</v>
      </c>
    </row>
    <row r="1481" spans="1:7" ht="15" thickBot="1" x14ac:dyDescent="0.4">
      <c r="A1481" s="98">
        <v>2041224807</v>
      </c>
      <c r="B1481" s="101" t="s">
        <v>1843</v>
      </c>
      <c r="C1481" s="98" t="s">
        <v>534</v>
      </c>
      <c r="D1481" s="98" t="s">
        <v>710</v>
      </c>
      <c r="E1481" s="98" t="s">
        <v>911</v>
      </c>
      <c r="F1481" s="98" t="s">
        <v>1317</v>
      </c>
      <c r="G1481" s="98" t="s">
        <v>1318</v>
      </c>
    </row>
    <row r="1482" spans="1:7" ht="15" thickBot="1" x14ac:dyDescent="0.4">
      <c r="A1482" s="98">
        <v>2041224807</v>
      </c>
      <c r="B1482" s="101" t="s">
        <v>1843</v>
      </c>
      <c r="C1482" s="98" t="s">
        <v>534</v>
      </c>
      <c r="D1482" s="98" t="s">
        <v>710</v>
      </c>
      <c r="E1482" s="98" t="s">
        <v>914</v>
      </c>
      <c r="F1482" s="98" t="s">
        <v>1317</v>
      </c>
      <c r="G1482" s="98" t="s">
        <v>1318</v>
      </c>
    </row>
    <row r="1483" spans="1:7" ht="15" thickBot="1" x14ac:dyDescent="0.4">
      <c r="A1483" s="98">
        <v>2041224757</v>
      </c>
      <c r="B1483" s="101" t="s">
        <v>1844</v>
      </c>
      <c r="C1483" s="98" t="s">
        <v>534</v>
      </c>
      <c r="D1483" s="98" t="s">
        <v>710</v>
      </c>
      <c r="E1483" s="98" t="s">
        <v>912</v>
      </c>
      <c r="F1483" s="98" t="s">
        <v>1317</v>
      </c>
      <c r="G1483" s="98" t="s">
        <v>1318</v>
      </c>
    </row>
    <row r="1484" spans="1:7" ht="15" thickBot="1" x14ac:dyDescent="0.4">
      <c r="A1484" s="98">
        <v>2041224757</v>
      </c>
      <c r="B1484" s="101" t="s">
        <v>1844</v>
      </c>
      <c r="C1484" s="98" t="s">
        <v>534</v>
      </c>
      <c r="D1484" s="98" t="s">
        <v>710</v>
      </c>
      <c r="E1484" s="98" t="s">
        <v>911</v>
      </c>
      <c r="F1484" s="98" t="s">
        <v>1317</v>
      </c>
      <c r="G1484" s="98" t="s">
        <v>1318</v>
      </c>
    </row>
    <row r="1485" spans="1:7" ht="15" thickBot="1" x14ac:dyDescent="0.4">
      <c r="A1485" s="98">
        <v>2041226097</v>
      </c>
      <c r="B1485" s="101" t="s">
        <v>1845</v>
      </c>
      <c r="C1485" s="98" t="s">
        <v>1846</v>
      </c>
      <c r="D1485" s="98" t="s">
        <v>710</v>
      </c>
      <c r="E1485" s="98" t="s">
        <v>914</v>
      </c>
      <c r="F1485" s="98" t="s">
        <v>1317</v>
      </c>
      <c r="G1485" s="98" t="s">
        <v>1318</v>
      </c>
    </row>
    <row r="1486" spans="1:7" ht="15" thickBot="1" x14ac:dyDescent="0.4">
      <c r="A1486" s="98">
        <v>2041226097</v>
      </c>
      <c r="B1486" s="101" t="s">
        <v>1845</v>
      </c>
      <c r="C1486" s="98" t="s">
        <v>1846</v>
      </c>
      <c r="D1486" s="98" t="s">
        <v>710</v>
      </c>
      <c r="E1486" s="98" t="s">
        <v>915</v>
      </c>
      <c r="F1486" s="98" t="s">
        <v>1323</v>
      </c>
      <c r="G1486" s="98" t="s">
        <v>1319</v>
      </c>
    </row>
    <row r="1487" spans="1:7" ht="15" thickBot="1" x14ac:dyDescent="0.4">
      <c r="A1487" s="98">
        <v>2041226097</v>
      </c>
      <c r="B1487" s="101" t="s">
        <v>1845</v>
      </c>
      <c r="C1487" s="98" t="s">
        <v>1846</v>
      </c>
      <c r="D1487" s="98" t="s">
        <v>710</v>
      </c>
      <c r="E1487" s="98" t="s">
        <v>911</v>
      </c>
      <c r="F1487" s="98" t="s">
        <v>1317</v>
      </c>
      <c r="G1487" s="98" t="s">
        <v>1318</v>
      </c>
    </row>
    <row r="1488" spans="1:7" ht="15" thickBot="1" x14ac:dyDescent="0.4">
      <c r="A1488" s="98">
        <v>2041226097</v>
      </c>
      <c r="B1488" s="101" t="s">
        <v>1845</v>
      </c>
      <c r="C1488" s="98" t="s">
        <v>1846</v>
      </c>
      <c r="D1488" s="98" t="s">
        <v>710</v>
      </c>
      <c r="E1488" s="98" t="s">
        <v>911</v>
      </c>
      <c r="F1488" s="98" t="s">
        <v>1317</v>
      </c>
      <c r="G1488" s="98" t="s">
        <v>1318</v>
      </c>
    </row>
    <row r="1489" spans="1:7" ht="15" thickBot="1" x14ac:dyDescent="0.4">
      <c r="A1489" s="98">
        <v>2041223935</v>
      </c>
      <c r="B1489" s="101" t="s">
        <v>1847</v>
      </c>
      <c r="C1489" s="98" t="s">
        <v>132</v>
      </c>
      <c r="D1489" s="98" t="s">
        <v>710</v>
      </c>
      <c r="E1489" s="98" t="s">
        <v>912</v>
      </c>
      <c r="F1489" s="98" t="s">
        <v>1317</v>
      </c>
      <c r="G1489" s="98" t="s">
        <v>1318</v>
      </c>
    </row>
    <row r="1490" spans="1:7" ht="15" thickBot="1" x14ac:dyDescent="0.4">
      <c r="A1490" s="98">
        <v>2041223935</v>
      </c>
      <c r="B1490" s="101" t="s">
        <v>1848</v>
      </c>
      <c r="C1490" s="98" t="s">
        <v>132</v>
      </c>
      <c r="D1490" s="98" t="s">
        <v>710</v>
      </c>
      <c r="E1490" s="98" t="s">
        <v>911</v>
      </c>
      <c r="F1490" s="98" t="s">
        <v>1317</v>
      </c>
      <c r="G1490" s="98" t="s">
        <v>1318</v>
      </c>
    </row>
    <row r="1491" spans="1:7" ht="15" thickBot="1" x14ac:dyDescent="0.4">
      <c r="A1491" s="98">
        <v>2041223935</v>
      </c>
      <c r="B1491" s="101" t="s">
        <v>1848</v>
      </c>
      <c r="C1491" s="98" t="s">
        <v>132</v>
      </c>
      <c r="D1491" s="98" t="s">
        <v>710</v>
      </c>
      <c r="E1491" s="98" t="s">
        <v>915</v>
      </c>
      <c r="F1491" s="98" t="s">
        <v>1323</v>
      </c>
      <c r="G1491" s="98" t="s">
        <v>1319</v>
      </c>
    </row>
    <row r="1492" spans="1:7" ht="15" thickBot="1" x14ac:dyDescent="0.4">
      <c r="A1492" s="98">
        <v>2041222462</v>
      </c>
      <c r="B1492" s="101" t="s">
        <v>1849</v>
      </c>
      <c r="C1492" s="98" t="s">
        <v>132</v>
      </c>
      <c r="D1492" s="98" t="s">
        <v>710</v>
      </c>
      <c r="E1492" s="98" t="s">
        <v>912</v>
      </c>
      <c r="F1492" s="98" t="s">
        <v>1317</v>
      </c>
      <c r="G1492" s="98" t="s">
        <v>1318</v>
      </c>
    </row>
    <row r="1493" spans="1:7" ht="15" thickBot="1" x14ac:dyDescent="0.4">
      <c r="A1493" s="98">
        <v>2041222462</v>
      </c>
      <c r="B1493" s="101" t="s">
        <v>1849</v>
      </c>
      <c r="C1493" s="98" t="s">
        <v>132</v>
      </c>
      <c r="D1493" s="98" t="s">
        <v>710</v>
      </c>
      <c r="E1493" s="98" t="s">
        <v>911</v>
      </c>
      <c r="F1493" s="98" t="s">
        <v>1317</v>
      </c>
      <c r="G1493" s="98" t="s">
        <v>1318</v>
      </c>
    </row>
    <row r="1494" spans="1:7" ht="15" thickBot="1" x14ac:dyDescent="0.4">
      <c r="A1494" s="98">
        <v>2041222462</v>
      </c>
      <c r="B1494" s="101" t="s">
        <v>1849</v>
      </c>
      <c r="C1494" s="98" t="s">
        <v>132</v>
      </c>
      <c r="D1494" s="98" t="s">
        <v>710</v>
      </c>
      <c r="E1494" s="98" t="s">
        <v>915</v>
      </c>
      <c r="F1494" s="98" t="s">
        <v>1317</v>
      </c>
      <c r="G1494" s="98" t="s">
        <v>1319</v>
      </c>
    </row>
    <row r="1495" spans="1:7" ht="15" thickBot="1" x14ac:dyDescent="0.4">
      <c r="A1495" s="98">
        <v>2041222174</v>
      </c>
      <c r="B1495" s="101" t="s">
        <v>1850</v>
      </c>
      <c r="C1495" s="98" t="s">
        <v>132</v>
      </c>
      <c r="D1495" s="98" t="s">
        <v>710</v>
      </c>
      <c r="E1495" s="98" t="s">
        <v>914</v>
      </c>
      <c r="F1495" s="98" t="s">
        <v>1317</v>
      </c>
      <c r="G1495" s="98" t="s">
        <v>1318</v>
      </c>
    </row>
    <row r="1496" spans="1:7" ht="15" thickBot="1" x14ac:dyDescent="0.4">
      <c r="A1496" s="98">
        <v>2041222174</v>
      </c>
      <c r="B1496" s="101" t="s">
        <v>1850</v>
      </c>
      <c r="C1496" s="98" t="s">
        <v>132</v>
      </c>
      <c r="D1496" s="98" t="s">
        <v>710</v>
      </c>
      <c r="E1496" s="98" t="s">
        <v>912</v>
      </c>
      <c r="F1496" s="98" t="s">
        <v>1317</v>
      </c>
      <c r="G1496" s="98" t="s">
        <v>1318</v>
      </c>
    </row>
    <row r="1497" spans="1:7" ht="15" thickBot="1" x14ac:dyDescent="0.4">
      <c r="A1497" s="98">
        <v>2041222174</v>
      </c>
      <c r="B1497" s="101" t="s">
        <v>1850</v>
      </c>
      <c r="C1497" s="98" t="s">
        <v>132</v>
      </c>
      <c r="D1497" s="98" t="s">
        <v>710</v>
      </c>
      <c r="E1497" s="98" t="s">
        <v>915</v>
      </c>
      <c r="F1497" s="98" t="s">
        <v>1323</v>
      </c>
      <c r="G1497" s="98" t="s">
        <v>1319</v>
      </c>
    </row>
    <row r="1498" spans="1:7" ht="15" thickBot="1" x14ac:dyDescent="0.4">
      <c r="A1498" s="98">
        <v>2041222894</v>
      </c>
      <c r="B1498" s="101" t="s">
        <v>1851</v>
      </c>
      <c r="C1498" s="98" t="s">
        <v>534</v>
      </c>
      <c r="D1498" s="98" t="s">
        <v>710</v>
      </c>
      <c r="E1498" s="98" t="s">
        <v>912</v>
      </c>
      <c r="F1498" s="98" t="s">
        <v>1317</v>
      </c>
      <c r="G1498" s="98" t="s">
        <v>1318</v>
      </c>
    </row>
    <row r="1499" spans="1:7" ht="15" thickBot="1" x14ac:dyDescent="0.4">
      <c r="A1499" s="98">
        <v>2041222894</v>
      </c>
      <c r="B1499" s="101" t="s">
        <v>1851</v>
      </c>
      <c r="C1499" s="98" t="s">
        <v>534</v>
      </c>
      <c r="D1499" s="98" t="s">
        <v>710</v>
      </c>
      <c r="E1499" s="98" t="s">
        <v>913</v>
      </c>
      <c r="F1499" s="98" t="s">
        <v>1317</v>
      </c>
      <c r="G1499" s="98" t="s">
        <v>1318</v>
      </c>
    </row>
    <row r="1500" spans="1:7" ht="15" thickBot="1" x14ac:dyDescent="0.4">
      <c r="A1500" s="98">
        <v>2041222894</v>
      </c>
      <c r="B1500" s="101" t="s">
        <v>1851</v>
      </c>
      <c r="C1500" s="98" t="s">
        <v>534</v>
      </c>
      <c r="D1500" s="98" t="s">
        <v>710</v>
      </c>
      <c r="E1500" s="98" t="s">
        <v>1342</v>
      </c>
      <c r="F1500" s="98" t="s">
        <v>1317</v>
      </c>
      <c r="G1500" s="98" t="s">
        <v>1318</v>
      </c>
    </row>
    <row r="1501" spans="1:7" ht="15" thickBot="1" x14ac:dyDescent="0.4">
      <c r="A1501" s="98">
        <v>2041222691</v>
      </c>
      <c r="B1501" s="101" t="s">
        <v>1852</v>
      </c>
      <c r="C1501" s="98" t="s">
        <v>132</v>
      </c>
      <c r="D1501" s="98" t="s">
        <v>710</v>
      </c>
      <c r="E1501" s="98" t="s">
        <v>912</v>
      </c>
      <c r="F1501" s="98" t="s">
        <v>1317</v>
      </c>
      <c r="G1501" s="98" t="s">
        <v>1318</v>
      </c>
    </row>
    <row r="1502" spans="1:7" ht="15" thickBot="1" x14ac:dyDescent="0.4">
      <c r="A1502" s="98">
        <v>2041222691</v>
      </c>
      <c r="B1502" s="101" t="s">
        <v>1852</v>
      </c>
      <c r="C1502" s="98" t="s">
        <v>132</v>
      </c>
      <c r="D1502" s="98" t="s">
        <v>710</v>
      </c>
      <c r="E1502" s="98" t="s">
        <v>914</v>
      </c>
      <c r="F1502" s="98" t="s">
        <v>1317</v>
      </c>
      <c r="G1502" s="98" t="s">
        <v>1318</v>
      </c>
    </row>
    <row r="1503" spans="1:7" ht="15" thickBot="1" x14ac:dyDescent="0.4">
      <c r="A1503" s="98">
        <v>2041222691</v>
      </c>
      <c r="B1503" s="101" t="s">
        <v>2085</v>
      </c>
      <c r="C1503" s="98" t="s">
        <v>132</v>
      </c>
      <c r="D1503" s="98" t="s">
        <v>710</v>
      </c>
      <c r="E1503" s="98" t="s">
        <v>915</v>
      </c>
      <c r="F1503" s="98" t="s">
        <v>1317</v>
      </c>
      <c r="G1503" s="98" t="s">
        <v>1319</v>
      </c>
    </row>
    <row r="1504" spans="1:7" ht="15" thickBot="1" x14ac:dyDescent="0.4">
      <c r="A1504" s="98">
        <v>2041225482</v>
      </c>
      <c r="B1504" s="101" t="s">
        <v>1853</v>
      </c>
      <c r="C1504" s="98" t="s">
        <v>534</v>
      </c>
      <c r="D1504" s="98" t="s">
        <v>710</v>
      </c>
      <c r="E1504" s="98" t="s">
        <v>911</v>
      </c>
      <c r="F1504" s="98" t="s">
        <v>1317</v>
      </c>
      <c r="G1504" s="98" t="s">
        <v>1318</v>
      </c>
    </row>
    <row r="1505" spans="1:7" ht="15" thickBot="1" x14ac:dyDescent="0.4">
      <c r="A1505" s="98">
        <v>2041225482</v>
      </c>
      <c r="B1505" s="101" t="s">
        <v>1853</v>
      </c>
      <c r="C1505" s="98" t="s">
        <v>534</v>
      </c>
      <c r="D1505" s="98" t="s">
        <v>710</v>
      </c>
      <c r="E1505" s="98" t="s">
        <v>914</v>
      </c>
      <c r="F1505" s="98" t="s">
        <v>1317</v>
      </c>
      <c r="G1505" s="98" t="s">
        <v>1318</v>
      </c>
    </row>
    <row r="1506" spans="1:7" ht="15" thickBot="1" x14ac:dyDescent="0.4">
      <c r="A1506" s="98">
        <v>2041225482</v>
      </c>
      <c r="B1506" s="101" t="s">
        <v>1853</v>
      </c>
      <c r="C1506" s="98" t="s">
        <v>534</v>
      </c>
      <c r="D1506" s="98" t="s">
        <v>710</v>
      </c>
      <c r="E1506" s="98" t="s">
        <v>915</v>
      </c>
      <c r="F1506" s="98" t="s">
        <v>1323</v>
      </c>
      <c r="G1506" s="98" t="s">
        <v>1319</v>
      </c>
    </row>
    <row r="1507" spans="1:7" ht="15" thickBot="1" x14ac:dyDescent="0.4">
      <c r="A1507" s="98">
        <v>2041222385</v>
      </c>
      <c r="B1507" s="101" t="s">
        <v>1854</v>
      </c>
      <c r="C1507" s="98" t="s">
        <v>132</v>
      </c>
      <c r="D1507" s="98" t="s">
        <v>710</v>
      </c>
      <c r="E1507" s="98" t="s">
        <v>912</v>
      </c>
      <c r="F1507" s="98" t="s">
        <v>1317</v>
      </c>
      <c r="G1507" s="98" t="s">
        <v>1318</v>
      </c>
    </row>
    <row r="1508" spans="1:7" ht="15" thickBot="1" x14ac:dyDescent="0.4">
      <c r="A1508" s="98">
        <v>2041222385</v>
      </c>
      <c r="B1508" s="101" t="s">
        <v>1854</v>
      </c>
      <c r="C1508" s="98" t="s">
        <v>132</v>
      </c>
      <c r="D1508" s="98" t="s">
        <v>710</v>
      </c>
      <c r="E1508" s="98" t="s">
        <v>913</v>
      </c>
      <c r="F1508" s="98" t="s">
        <v>1317</v>
      </c>
      <c r="G1508" s="98" t="s">
        <v>1318</v>
      </c>
    </row>
    <row r="1509" spans="1:7" ht="15" thickBot="1" x14ac:dyDescent="0.4">
      <c r="A1509" s="98">
        <v>2041222385</v>
      </c>
      <c r="B1509" s="101" t="s">
        <v>1854</v>
      </c>
      <c r="C1509" s="98" t="s">
        <v>132</v>
      </c>
      <c r="D1509" s="98" t="s">
        <v>710</v>
      </c>
      <c r="E1509" s="98" t="s">
        <v>911</v>
      </c>
      <c r="F1509" s="98" t="s">
        <v>1317</v>
      </c>
      <c r="G1509" s="98" t="s">
        <v>1318</v>
      </c>
    </row>
    <row r="1510" spans="1:7" ht="15" thickBot="1" x14ac:dyDescent="0.4">
      <c r="A1510" s="98">
        <v>2041222385</v>
      </c>
      <c r="B1510" s="101" t="s">
        <v>1854</v>
      </c>
      <c r="C1510" s="98" t="s">
        <v>132</v>
      </c>
      <c r="D1510" s="98" t="s">
        <v>710</v>
      </c>
      <c r="E1510" s="98" t="s">
        <v>915</v>
      </c>
      <c r="F1510" s="98" t="s">
        <v>1317</v>
      </c>
      <c r="G1510" s="98" t="s">
        <v>1319</v>
      </c>
    </row>
    <row r="1511" spans="1:7" ht="15" thickBot="1" x14ac:dyDescent="0.4">
      <c r="A1511" s="98">
        <v>2041223868</v>
      </c>
      <c r="B1511" s="101" t="s">
        <v>1855</v>
      </c>
      <c r="C1511" s="98" t="s">
        <v>132</v>
      </c>
      <c r="D1511" s="98" t="s">
        <v>710</v>
      </c>
      <c r="E1511" s="98" t="s">
        <v>914</v>
      </c>
      <c r="F1511" s="98" t="s">
        <v>1317</v>
      </c>
      <c r="G1511" s="98" t="s">
        <v>1318</v>
      </c>
    </row>
    <row r="1512" spans="1:7" ht="15" thickBot="1" x14ac:dyDescent="0.4">
      <c r="A1512" s="98">
        <v>2041223868</v>
      </c>
      <c r="B1512" s="101" t="s">
        <v>1855</v>
      </c>
      <c r="C1512" s="98" t="s">
        <v>132</v>
      </c>
      <c r="D1512" s="98" t="s">
        <v>710</v>
      </c>
      <c r="E1512" s="98" t="s">
        <v>911</v>
      </c>
      <c r="F1512" s="98" t="s">
        <v>1317</v>
      </c>
      <c r="G1512" s="98" t="s">
        <v>1318</v>
      </c>
    </row>
    <row r="1513" spans="1:7" ht="15" thickBot="1" x14ac:dyDescent="0.4">
      <c r="A1513" s="98">
        <v>2041224976</v>
      </c>
      <c r="B1513" s="101" t="s">
        <v>1856</v>
      </c>
      <c r="C1513" s="98" t="s">
        <v>534</v>
      </c>
      <c r="D1513" s="98" t="s">
        <v>710</v>
      </c>
      <c r="E1513" s="98" t="s">
        <v>911</v>
      </c>
      <c r="F1513" s="98" t="s">
        <v>1317</v>
      </c>
      <c r="G1513" s="98" t="s">
        <v>1318</v>
      </c>
    </row>
    <row r="1514" spans="1:7" ht="15" thickBot="1" x14ac:dyDescent="0.4">
      <c r="A1514" s="98">
        <v>2041224976</v>
      </c>
      <c r="B1514" s="101" t="s">
        <v>1856</v>
      </c>
      <c r="C1514" s="98" t="s">
        <v>534</v>
      </c>
      <c r="D1514" s="98" t="s">
        <v>710</v>
      </c>
      <c r="E1514" s="98" t="s">
        <v>914</v>
      </c>
      <c r="F1514" s="98" t="s">
        <v>1317</v>
      </c>
      <c r="G1514" s="98" t="s">
        <v>1318</v>
      </c>
    </row>
    <row r="1515" spans="1:7" ht="15" thickBot="1" x14ac:dyDescent="0.4">
      <c r="A1515" s="98">
        <v>2041224976</v>
      </c>
      <c r="B1515" s="101" t="s">
        <v>1856</v>
      </c>
      <c r="C1515" s="98" t="s">
        <v>534</v>
      </c>
      <c r="D1515" s="98" t="s">
        <v>710</v>
      </c>
      <c r="E1515" s="98" t="s">
        <v>912</v>
      </c>
      <c r="F1515" s="98" t="s">
        <v>1317</v>
      </c>
      <c r="G1515" s="98" t="s">
        <v>1318</v>
      </c>
    </row>
    <row r="1516" spans="1:7" ht="15" thickBot="1" x14ac:dyDescent="0.4">
      <c r="A1516" s="98">
        <v>2041225654</v>
      </c>
      <c r="B1516" s="101" t="s">
        <v>1857</v>
      </c>
      <c r="C1516" s="98" t="s">
        <v>534</v>
      </c>
      <c r="D1516" s="98" t="s">
        <v>710</v>
      </c>
      <c r="E1516" s="98" t="s">
        <v>913</v>
      </c>
      <c r="F1516" s="98" t="s">
        <v>1317</v>
      </c>
      <c r="G1516" s="98" t="s">
        <v>1318</v>
      </c>
    </row>
    <row r="1517" spans="1:7" ht="15" thickBot="1" x14ac:dyDescent="0.4">
      <c r="A1517" s="98">
        <v>2041225654</v>
      </c>
      <c r="B1517" s="101" t="s">
        <v>1857</v>
      </c>
      <c r="C1517" s="98" t="s">
        <v>534</v>
      </c>
      <c r="D1517" s="98" t="s">
        <v>710</v>
      </c>
      <c r="E1517" s="98" t="s">
        <v>911</v>
      </c>
      <c r="F1517" s="98" t="s">
        <v>1317</v>
      </c>
      <c r="G1517" s="98" t="s">
        <v>1318</v>
      </c>
    </row>
    <row r="1518" spans="1:7" ht="15" thickBot="1" x14ac:dyDescent="0.4">
      <c r="A1518" s="98">
        <v>2041225654</v>
      </c>
      <c r="B1518" s="101" t="s">
        <v>1857</v>
      </c>
      <c r="C1518" s="98" t="s">
        <v>534</v>
      </c>
      <c r="D1518" s="98" t="s">
        <v>710</v>
      </c>
      <c r="E1518" s="98" t="s">
        <v>915</v>
      </c>
      <c r="F1518" s="98" t="s">
        <v>1317</v>
      </c>
      <c r="G1518" s="98" t="s">
        <v>1319</v>
      </c>
    </row>
    <row r="1519" spans="1:7" ht="15" thickBot="1" x14ac:dyDescent="0.4">
      <c r="A1519" s="98">
        <v>2041225654</v>
      </c>
      <c r="B1519" s="101" t="s">
        <v>1857</v>
      </c>
      <c r="C1519" s="98" t="s">
        <v>534</v>
      </c>
      <c r="D1519" s="98" t="s">
        <v>710</v>
      </c>
      <c r="E1519" s="98" t="s">
        <v>916</v>
      </c>
      <c r="F1519" s="98" t="s">
        <v>1317</v>
      </c>
      <c r="G1519" s="98" t="s">
        <v>1319</v>
      </c>
    </row>
    <row r="1520" spans="1:7" ht="15" thickBot="1" x14ac:dyDescent="0.4">
      <c r="A1520" s="98">
        <v>2041220584</v>
      </c>
      <c r="B1520" s="101" t="s">
        <v>1662</v>
      </c>
      <c r="C1520" s="98" t="s">
        <v>534</v>
      </c>
      <c r="D1520" s="98" t="s">
        <v>710</v>
      </c>
      <c r="E1520" s="98" t="s">
        <v>912</v>
      </c>
      <c r="F1520" s="98" t="s">
        <v>1317</v>
      </c>
      <c r="G1520" s="98" t="s">
        <v>1318</v>
      </c>
    </row>
    <row r="1521" spans="1:7" ht="15" thickBot="1" x14ac:dyDescent="0.4">
      <c r="A1521" s="98">
        <v>2041226029</v>
      </c>
      <c r="B1521" s="101" t="s">
        <v>1858</v>
      </c>
      <c r="C1521" s="98" t="s">
        <v>534</v>
      </c>
      <c r="D1521" s="98" t="s">
        <v>710</v>
      </c>
      <c r="E1521" s="98" t="s">
        <v>911</v>
      </c>
      <c r="F1521" s="98" t="s">
        <v>1317</v>
      </c>
      <c r="G1521" s="98" t="s">
        <v>1318</v>
      </c>
    </row>
    <row r="1522" spans="1:7" ht="15" thickBot="1" x14ac:dyDescent="0.4">
      <c r="A1522" s="98">
        <v>2041226029</v>
      </c>
      <c r="B1522" s="101" t="s">
        <v>1858</v>
      </c>
      <c r="C1522" s="98" t="s">
        <v>534</v>
      </c>
      <c r="D1522" s="98" t="s">
        <v>710</v>
      </c>
      <c r="E1522" s="98" t="s">
        <v>912</v>
      </c>
      <c r="F1522" s="98" t="s">
        <v>1317</v>
      </c>
      <c r="G1522" s="98" t="s">
        <v>1318</v>
      </c>
    </row>
    <row r="1523" spans="1:7" ht="15" thickBot="1" x14ac:dyDescent="0.4">
      <c r="A1523" s="98">
        <v>2041226019</v>
      </c>
      <c r="B1523" s="101" t="s">
        <v>1858</v>
      </c>
      <c r="C1523" s="98" t="s">
        <v>534</v>
      </c>
      <c r="D1523" s="98" t="s">
        <v>710</v>
      </c>
      <c r="E1523" s="98" t="s">
        <v>915</v>
      </c>
      <c r="F1523" s="98" t="s">
        <v>1317</v>
      </c>
      <c r="G1523" s="98" t="s">
        <v>1319</v>
      </c>
    </row>
    <row r="1524" spans="1:7" ht="15" thickBot="1" x14ac:dyDescent="0.4">
      <c r="A1524" s="98">
        <v>2041224915</v>
      </c>
      <c r="B1524" s="101" t="s">
        <v>1859</v>
      </c>
      <c r="C1524" s="98" t="s">
        <v>534</v>
      </c>
      <c r="D1524" s="98" t="s">
        <v>710</v>
      </c>
      <c r="E1524" s="98" t="s">
        <v>1321</v>
      </c>
      <c r="F1524" s="98" t="s">
        <v>1317</v>
      </c>
      <c r="G1524" s="98" t="s">
        <v>1318</v>
      </c>
    </row>
    <row r="1525" spans="1:7" ht="15" thickBot="1" x14ac:dyDescent="0.4">
      <c r="A1525" s="98">
        <v>2041224915</v>
      </c>
      <c r="B1525" s="101" t="s">
        <v>1859</v>
      </c>
      <c r="C1525" s="98" t="s">
        <v>534</v>
      </c>
      <c r="D1525" s="98" t="s">
        <v>710</v>
      </c>
      <c r="E1525" s="98" t="s">
        <v>912</v>
      </c>
      <c r="F1525" s="98" t="s">
        <v>1317</v>
      </c>
      <c r="G1525" s="98" t="s">
        <v>1318</v>
      </c>
    </row>
    <row r="1526" spans="1:7" ht="15" thickBot="1" x14ac:dyDescent="0.4">
      <c r="A1526" s="98">
        <v>2041224915</v>
      </c>
      <c r="B1526" s="101" t="s">
        <v>1859</v>
      </c>
      <c r="C1526" s="98" t="s">
        <v>534</v>
      </c>
      <c r="D1526" s="98" t="s">
        <v>710</v>
      </c>
      <c r="E1526" s="98" t="s">
        <v>911</v>
      </c>
      <c r="F1526" s="98" t="s">
        <v>1317</v>
      </c>
      <c r="G1526" s="98" t="s">
        <v>1318</v>
      </c>
    </row>
    <row r="1527" spans="1:7" ht="15" thickBot="1" x14ac:dyDescent="0.4">
      <c r="A1527" s="98">
        <v>2041221416</v>
      </c>
      <c r="B1527" s="101" t="s">
        <v>1860</v>
      </c>
      <c r="C1527" s="98" t="s">
        <v>132</v>
      </c>
      <c r="D1527" s="98" t="s">
        <v>710</v>
      </c>
      <c r="E1527" s="98" t="s">
        <v>911</v>
      </c>
      <c r="F1527" s="98" t="s">
        <v>1317</v>
      </c>
      <c r="G1527" s="98" t="s">
        <v>1318</v>
      </c>
    </row>
    <row r="1528" spans="1:7" ht="15" thickBot="1" x14ac:dyDescent="0.4">
      <c r="A1528" s="98">
        <v>2041221416</v>
      </c>
      <c r="B1528" s="101" t="s">
        <v>1860</v>
      </c>
      <c r="C1528" s="98" t="s">
        <v>132</v>
      </c>
      <c r="D1528" s="98" t="s">
        <v>710</v>
      </c>
      <c r="E1528" s="98" t="s">
        <v>914</v>
      </c>
      <c r="F1528" s="98" t="s">
        <v>1317</v>
      </c>
      <c r="G1528" s="98" t="s">
        <v>1318</v>
      </c>
    </row>
    <row r="1529" spans="1:7" ht="15" thickBot="1" x14ac:dyDescent="0.4">
      <c r="A1529" s="98">
        <v>2041225180</v>
      </c>
      <c r="B1529" s="101" t="s">
        <v>1861</v>
      </c>
      <c r="C1529" s="98" t="s">
        <v>534</v>
      </c>
      <c r="D1529" s="98" t="s">
        <v>710</v>
      </c>
      <c r="E1529" s="98" t="s">
        <v>1321</v>
      </c>
      <c r="F1529" s="98" t="s">
        <v>1317</v>
      </c>
      <c r="G1529" s="98" t="s">
        <v>1318</v>
      </c>
    </row>
    <row r="1530" spans="1:7" ht="15" thickBot="1" x14ac:dyDescent="0.4">
      <c r="A1530" s="98">
        <v>2041225180</v>
      </c>
      <c r="B1530" s="101" t="s">
        <v>1861</v>
      </c>
      <c r="C1530" s="98" t="s">
        <v>534</v>
      </c>
      <c r="D1530" s="98" t="s">
        <v>710</v>
      </c>
      <c r="E1530" s="98" t="s">
        <v>912</v>
      </c>
      <c r="F1530" s="98" t="s">
        <v>1317</v>
      </c>
      <c r="G1530" s="98" t="s">
        <v>1318</v>
      </c>
    </row>
    <row r="1531" spans="1:7" ht="15" thickBot="1" x14ac:dyDescent="0.4">
      <c r="A1531" s="98">
        <v>2041225180</v>
      </c>
      <c r="B1531" s="101" t="s">
        <v>1862</v>
      </c>
      <c r="C1531" s="98" t="s">
        <v>534</v>
      </c>
      <c r="D1531" s="98" t="s">
        <v>710</v>
      </c>
      <c r="E1531" s="98" t="s">
        <v>914</v>
      </c>
      <c r="F1531" s="98" t="s">
        <v>1317</v>
      </c>
      <c r="G1531" s="98" t="s">
        <v>1318</v>
      </c>
    </row>
    <row r="1532" spans="1:7" ht="15" thickBot="1" x14ac:dyDescent="0.4">
      <c r="A1532" s="98">
        <v>2041222940</v>
      </c>
      <c r="B1532" s="101" t="s">
        <v>1863</v>
      </c>
      <c r="C1532" s="98" t="s">
        <v>534</v>
      </c>
      <c r="D1532" s="98" t="s">
        <v>710</v>
      </c>
      <c r="E1532" s="98" t="s">
        <v>1321</v>
      </c>
      <c r="F1532" s="98" t="s">
        <v>1317</v>
      </c>
      <c r="G1532" s="98" t="s">
        <v>1318</v>
      </c>
    </row>
    <row r="1533" spans="1:7" ht="15" thickBot="1" x14ac:dyDescent="0.4">
      <c r="A1533" s="98">
        <v>2041222940</v>
      </c>
      <c r="B1533" s="101" t="s">
        <v>1863</v>
      </c>
      <c r="C1533" s="98" t="s">
        <v>534</v>
      </c>
      <c r="D1533" s="98" t="s">
        <v>710</v>
      </c>
      <c r="E1533" s="98" t="s">
        <v>915</v>
      </c>
      <c r="F1533" s="98" t="s">
        <v>1317</v>
      </c>
      <c r="G1533" s="98" t="s">
        <v>1319</v>
      </c>
    </row>
    <row r="1534" spans="1:7" ht="15" thickBot="1" x14ac:dyDescent="0.4">
      <c r="A1534" s="98">
        <v>2041222940</v>
      </c>
      <c r="B1534" s="101" t="s">
        <v>1863</v>
      </c>
      <c r="C1534" s="98" t="s">
        <v>534</v>
      </c>
      <c r="D1534" s="98" t="s">
        <v>710</v>
      </c>
      <c r="E1534" s="98" t="s">
        <v>911</v>
      </c>
      <c r="F1534" s="98" t="s">
        <v>1317</v>
      </c>
      <c r="G1534" s="98" t="s">
        <v>1318</v>
      </c>
    </row>
    <row r="1535" spans="1:7" ht="15" thickBot="1" x14ac:dyDescent="0.4">
      <c r="A1535" s="98">
        <v>2041224285</v>
      </c>
      <c r="B1535" s="101" t="s">
        <v>1864</v>
      </c>
      <c r="C1535" s="98" t="s">
        <v>534</v>
      </c>
      <c r="D1535" s="98" t="s">
        <v>710</v>
      </c>
      <c r="E1535" s="98" t="s">
        <v>1321</v>
      </c>
      <c r="F1535" s="98" t="s">
        <v>1317</v>
      </c>
      <c r="G1535" s="98" t="s">
        <v>1318</v>
      </c>
    </row>
    <row r="1536" spans="1:7" ht="15" thickBot="1" x14ac:dyDescent="0.4">
      <c r="A1536" s="98">
        <v>2041224285</v>
      </c>
      <c r="B1536" s="101" t="s">
        <v>1864</v>
      </c>
      <c r="C1536" s="98" t="s">
        <v>534</v>
      </c>
      <c r="D1536" s="98" t="s">
        <v>710</v>
      </c>
      <c r="E1536" s="98" t="s">
        <v>912</v>
      </c>
      <c r="F1536" s="98" t="s">
        <v>1317</v>
      </c>
      <c r="G1536" s="98" t="s">
        <v>1318</v>
      </c>
    </row>
    <row r="1537" spans="1:7" ht="15" thickBot="1" x14ac:dyDescent="0.4">
      <c r="A1537" s="98">
        <v>2041225331</v>
      </c>
      <c r="B1537" s="101" t="s">
        <v>1865</v>
      </c>
      <c r="C1537" s="98" t="s">
        <v>534</v>
      </c>
      <c r="D1537" s="98" t="s">
        <v>710</v>
      </c>
      <c r="E1537" s="98" t="s">
        <v>913</v>
      </c>
      <c r="F1537" s="98" t="s">
        <v>1317</v>
      </c>
      <c r="G1537" s="98" t="s">
        <v>1318</v>
      </c>
    </row>
    <row r="1538" spans="1:7" ht="15" thickBot="1" x14ac:dyDescent="0.4">
      <c r="A1538" s="98">
        <v>2041225331</v>
      </c>
      <c r="B1538" s="101" t="s">
        <v>1865</v>
      </c>
      <c r="C1538" s="98" t="s">
        <v>534</v>
      </c>
      <c r="D1538" s="98" t="s">
        <v>710</v>
      </c>
      <c r="E1538" s="98" t="s">
        <v>911</v>
      </c>
      <c r="F1538" s="98" t="s">
        <v>1317</v>
      </c>
      <c r="G1538" s="98" t="s">
        <v>1318</v>
      </c>
    </row>
    <row r="1539" spans="1:7" ht="15" thickBot="1" x14ac:dyDescent="0.4">
      <c r="A1539" s="98">
        <v>2041225331</v>
      </c>
      <c r="B1539" s="101" t="s">
        <v>1865</v>
      </c>
      <c r="C1539" s="98" t="s">
        <v>534</v>
      </c>
      <c r="D1539" s="98" t="s">
        <v>710</v>
      </c>
      <c r="E1539" s="98" t="s">
        <v>915</v>
      </c>
      <c r="F1539" s="98" t="s">
        <v>1323</v>
      </c>
      <c r="G1539" s="98" t="s">
        <v>1319</v>
      </c>
    </row>
    <row r="1540" spans="1:7" ht="15" thickBot="1" x14ac:dyDescent="0.4">
      <c r="A1540" s="98">
        <v>2041225021</v>
      </c>
      <c r="B1540" s="101" t="s">
        <v>909</v>
      </c>
      <c r="C1540" s="98" t="s">
        <v>534</v>
      </c>
      <c r="D1540" s="98" t="s">
        <v>710</v>
      </c>
      <c r="E1540" s="98" t="s">
        <v>912</v>
      </c>
      <c r="F1540" s="98" t="s">
        <v>1317</v>
      </c>
      <c r="G1540" s="98" t="s">
        <v>1318</v>
      </c>
    </row>
    <row r="1541" spans="1:7" ht="15" thickBot="1" x14ac:dyDescent="0.4">
      <c r="A1541" s="98">
        <v>2041225021</v>
      </c>
      <c r="B1541" s="101" t="s">
        <v>909</v>
      </c>
      <c r="C1541" s="98" t="s">
        <v>1866</v>
      </c>
      <c r="D1541" s="98" t="s">
        <v>710</v>
      </c>
      <c r="E1541" s="98" t="s">
        <v>913</v>
      </c>
      <c r="F1541" s="98" t="s">
        <v>1317</v>
      </c>
      <c r="G1541" s="98" t="s">
        <v>1318</v>
      </c>
    </row>
    <row r="1542" spans="1:7" ht="15" thickBot="1" x14ac:dyDescent="0.4">
      <c r="A1542" s="98">
        <v>2041225021</v>
      </c>
      <c r="B1542" s="101" t="s">
        <v>909</v>
      </c>
      <c r="C1542" s="98" t="s">
        <v>534</v>
      </c>
      <c r="D1542" s="98" t="s">
        <v>710</v>
      </c>
      <c r="E1542" s="98" t="s">
        <v>1342</v>
      </c>
      <c r="F1542" s="98" t="s">
        <v>1317</v>
      </c>
      <c r="G1542" s="98" t="s">
        <v>1318</v>
      </c>
    </row>
    <row r="1543" spans="1:7" ht="15" thickBot="1" x14ac:dyDescent="0.4">
      <c r="A1543" s="98">
        <v>2041225021</v>
      </c>
      <c r="B1543" s="101" t="s">
        <v>909</v>
      </c>
      <c r="C1543" s="98" t="s">
        <v>534</v>
      </c>
      <c r="D1543" s="98" t="s">
        <v>710</v>
      </c>
      <c r="E1543" s="98" t="s">
        <v>1342</v>
      </c>
      <c r="F1543" s="98" t="s">
        <v>1317</v>
      </c>
      <c r="G1543" s="98" t="s">
        <v>1318</v>
      </c>
    </row>
    <row r="1544" spans="1:7" ht="15" thickBot="1" x14ac:dyDescent="0.4">
      <c r="A1544" s="98">
        <v>2041220710</v>
      </c>
      <c r="B1544" s="101" t="s">
        <v>1867</v>
      </c>
      <c r="C1544" s="98" t="s">
        <v>132</v>
      </c>
      <c r="D1544" s="98" t="s">
        <v>710</v>
      </c>
      <c r="E1544" s="98" t="s">
        <v>914</v>
      </c>
      <c r="F1544" s="98" t="s">
        <v>1317</v>
      </c>
      <c r="G1544" s="98" t="s">
        <v>1318</v>
      </c>
    </row>
    <row r="1545" spans="1:7" ht="15" thickBot="1" x14ac:dyDescent="0.4">
      <c r="A1545" s="98">
        <v>2041220710</v>
      </c>
      <c r="B1545" s="101" t="s">
        <v>1867</v>
      </c>
      <c r="C1545" s="98" t="s">
        <v>132</v>
      </c>
      <c r="D1545" s="98" t="s">
        <v>710</v>
      </c>
      <c r="E1545" s="98" t="s">
        <v>911</v>
      </c>
      <c r="F1545" s="98" t="s">
        <v>1317</v>
      </c>
      <c r="G1545" s="98" t="s">
        <v>1318</v>
      </c>
    </row>
    <row r="1546" spans="1:7" ht="15" thickBot="1" x14ac:dyDescent="0.4">
      <c r="A1546" s="98">
        <v>2041224353</v>
      </c>
      <c r="B1546" s="101" t="s">
        <v>1868</v>
      </c>
      <c r="C1546" s="98" t="s">
        <v>534</v>
      </c>
      <c r="D1546" s="98" t="s">
        <v>710</v>
      </c>
      <c r="E1546" s="98" t="s">
        <v>911</v>
      </c>
      <c r="F1546" s="98" t="s">
        <v>1317</v>
      </c>
      <c r="G1546" s="98" t="s">
        <v>1318</v>
      </c>
    </row>
    <row r="1547" spans="1:7" ht="15" thickBot="1" x14ac:dyDescent="0.4">
      <c r="A1547" s="98">
        <v>2041224353</v>
      </c>
      <c r="B1547" s="101" t="s">
        <v>1868</v>
      </c>
      <c r="C1547" s="98" t="s">
        <v>1869</v>
      </c>
      <c r="D1547" s="98" t="s">
        <v>710</v>
      </c>
      <c r="E1547" s="98" t="s">
        <v>916</v>
      </c>
      <c r="F1547" s="98" t="s">
        <v>1317</v>
      </c>
      <c r="G1547" s="98" t="s">
        <v>1319</v>
      </c>
    </row>
    <row r="1548" spans="1:7" ht="15" thickBot="1" x14ac:dyDescent="0.4">
      <c r="A1548" s="98">
        <v>2041224353</v>
      </c>
      <c r="B1548" s="101" t="s">
        <v>1868</v>
      </c>
      <c r="C1548" s="98" t="s">
        <v>534</v>
      </c>
      <c r="D1548" s="98" t="s">
        <v>710</v>
      </c>
      <c r="E1548" s="98" t="s">
        <v>912</v>
      </c>
      <c r="F1548" s="98" t="s">
        <v>1317</v>
      </c>
      <c r="G1548" s="98" t="s">
        <v>1318</v>
      </c>
    </row>
    <row r="1549" spans="1:7" ht="15" thickBot="1" x14ac:dyDescent="0.4">
      <c r="A1549" s="98">
        <v>2041222189</v>
      </c>
      <c r="B1549" s="101" t="s">
        <v>1870</v>
      </c>
      <c r="C1549" s="98" t="s">
        <v>132</v>
      </c>
      <c r="D1549" s="98" t="s">
        <v>710</v>
      </c>
      <c r="E1549" s="98" t="s">
        <v>911</v>
      </c>
      <c r="F1549" s="98" t="s">
        <v>1317</v>
      </c>
      <c r="G1549" s="98" t="s">
        <v>1318</v>
      </c>
    </row>
    <row r="1550" spans="1:7" ht="15" thickBot="1" x14ac:dyDescent="0.4">
      <c r="A1550" s="98">
        <v>2005220171</v>
      </c>
      <c r="B1550" s="101" t="s">
        <v>1734</v>
      </c>
      <c r="C1550" s="98" t="s">
        <v>196</v>
      </c>
      <c r="D1550" s="98" t="s">
        <v>710</v>
      </c>
      <c r="E1550" s="98" t="s">
        <v>912</v>
      </c>
      <c r="F1550" s="98" t="s">
        <v>1317</v>
      </c>
      <c r="G1550" s="98" t="s">
        <v>1318</v>
      </c>
    </row>
    <row r="1551" spans="1:7" ht="15" thickBot="1" x14ac:dyDescent="0.4">
      <c r="A1551" s="98">
        <v>2041222374</v>
      </c>
      <c r="B1551" s="101" t="s">
        <v>1871</v>
      </c>
      <c r="C1551" s="98" t="s">
        <v>534</v>
      </c>
      <c r="D1551" s="98" t="s">
        <v>710</v>
      </c>
      <c r="E1551" s="98" t="s">
        <v>912</v>
      </c>
      <c r="F1551" s="98" t="s">
        <v>1317</v>
      </c>
      <c r="G1551" s="98" t="s">
        <v>1318</v>
      </c>
    </row>
    <row r="1552" spans="1:7" ht="15" thickBot="1" x14ac:dyDescent="0.4">
      <c r="A1552" s="98">
        <v>2041222374</v>
      </c>
      <c r="B1552" s="101" t="s">
        <v>1871</v>
      </c>
      <c r="C1552" s="98" t="s">
        <v>534</v>
      </c>
      <c r="D1552" s="98" t="s">
        <v>710</v>
      </c>
      <c r="E1552" s="98" t="s">
        <v>913</v>
      </c>
      <c r="F1552" s="98" t="s">
        <v>1317</v>
      </c>
      <c r="G1552" s="98" t="s">
        <v>1318</v>
      </c>
    </row>
    <row r="1553" spans="1:7" ht="15" thickBot="1" x14ac:dyDescent="0.4">
      <c r="A1553" s="98">
        <v>2041222374</v>
      </c>
      <c r="B1553" s="101" t="s">
        <v>1871</v>
      </c>
      <c r="C1553" s="98" t="s">
        <v>534</v>
      </c>
      <c r="D1553" s="98" t="s">
        <v>710</v>
      </c>
      <c r="E1553" s="98" t="s">
        <v>911</v>
      </c>
      <c r="F1553" s="98" t="s">
        <v>1317</v>
      </c>
      <c r="G1553" s="98" t="s">
        <v>1318</v>
      </c>
    </row>
    <row r="1554" spans="1:7" ht="15" thickBot="1" x14ac:dyDescent="0.4">
      <c r="A1554" s="98">
        <v>2041224288</v>
      </c>
      <c r="B1554" s="101" t="s">
        <v>1872</v>
      </c>
      <c r="C1554" s="98" t="s">
        <v>2088</v>
      </c>
      <c r="D1554" s="98" t="s">
        <v>710</v>
      </c>
      <c r="E1554" s="98" t="s">
        <v>912</v>
      </c>
      <c r="F1554" s="98" t="s">
        <v>1317</v>
      </c>
      <c r="G1554" s="98" t="s">
        <v>1318</v>
      </c>
    </row>
    <row r="1555" spans="1:7" ht="15" thickBot="1" x14ac:dyDescent="0.4">
      <c r="A1555" s="98">
        <v>2041224288</v>
      </c>
      <c r="B1555" s="101" t="s">
        <v>1872</v>
      </c>
      <c r="C1555" s="98" t="s">
        <v>534</v>
      </c>
      <c r="D1555" s="98" t="s">
        <v>710</v>
      </c>
      <c r="E1555" s="98" t="s">
        <v>1406</v>
      </c>
      <c r="F1555" s="98" t="s">
        <v>1317</v>
      </c>
      <c r="G1555" s="98" t="s">
        <v>1318</v>
      </c>
    </row>
    <row r="1556" spans="1:7" ht="15" thickBot="1" x14ac:dyDescent="0.4">
      <c r="A1556" s="98">
        <v>2041224288</v>
      </c>
      <c r="B1556" s="101" t="s">
        <v>1872</v>
      </c>
      <c r="C1556" s="98" t="s">
        <v>534</v>
      </c>
      <c r="D1556" s="98" t="s">
        <v>710</v>
      </c>
      <c r="E1556" s="98" t="s">
        <v>1395</v>
      </c>
      <c r="F1556" s="98" t="s">
        <v>1317</v>
      </c>
      <c r="G1556" s="98" t="s">
        <v>1318</v>
      </c>
    </row>
    <row r="1557" spans="1:7" ht="15" thickBot="1" x14ac:dyDescent="0.4">
      <c r="A1557" s="98">
        <v>2041224364</v>
      </c>
      <c r="B1557" s="101" t="s">
        <v>1873</v>
      </c>
      <c r="C1557" s="98" t="s">
        <v>534</v>
      </c>
      <c r="D1557" s="98" t="s">
        <v>710</v>
      </c>
      <c r="E1557" s="98" t="s">
        <v>911</v>
      </c>
      <c r="F1557" s="98" t="s">
        <v>1317</v>
      </c>
      <c r="G1557" s="98" t="s">
        <v>1318</v>
      </c>
    </row>
    <row r="1558" spans="1:7" ht="15" thickBot="1" x14ac:dyDescent="0.4">
      <c r="A1558" s="98">
        <v>2041224364</v>
      </c>
      <c r="B1558" s="101" t="s">
        <v>1873</v>
      </c>
      <c r="C1558" s="98" t="s">
        <v>534</v>
      </c>
      <c r="D1558" s="98" t="s">
        <v>710</v>
      </c>
      <c r="E1558" s="98" t="s">
        <v>914</v>
      </c>
      <c r="F1558" s="98" t="s">
        <v>1317</v>
      </c>
      <c r="G1558" s="98" t="s">
        <v>1318</v>
      </c>
    </row>
    <row r="1559" spans="1:7" ht="15" thickBot="1" x14ac:dyDescent="0.4">
      <c r="A1559" s="98">
        <v>2041224364</v>
      </c>
      <c r="B1559" s="101" t="s">
        <v>1873</v>
      </c>
      <c r="C1559" s="98" t="s">
        <v>534</v>
      </c>
      <c r="D1559" s="98" t="s">
        <v>710</v>
      </c>
      <c r="E1559" s="98" t="s">
        <v>915</v>
      </c>
      <c r="F1559" s="98" t="s">
        <v>1317</v>
      </c>
      <c r="G1559" s="98" t="s">
        <v>1319</v>
      </c>
    </row>
    <row r="1560" spans="1:7" ht="15" thickBot="1" x14ac:dyDescent="0.4">
      <c r="A1560" s="98">
        <v>2041221251</v>
      </c>
      <c r="B1560" s="101" t="s">
        <v>1874</v>
      </c>
      <c r="C1560" s="98" t="s">
        <v>132</v>
      </c>
      <c r="D1560" s="98" t="s">
        <v>710</v>
      </c>
      <c r="E1560" s="98" t="s">
        <v>911</v>
      </c>
      <c r="F1560" s="98" t="s">
        <v>1317</v>
      </c>
      <c r="G1560" s="98" t="s">
        <v>1318</v>
      </c>
    </row>
    <row r="1561" spans="1:7" ht="15" thickBot="1" x14ac:dyDescent="0.4">
      <c r="A1561" s="98">
        <v>2041221251</v>
      </c>
      <c r="B1561" s="101" t="s">
        <v>1874</v>
      </c>
      <c r="C1561" s="98" t="s">
        <v>132</v>
      </c>
      <c r="D1561" s="98" t="s">
        <v>710</v>
      </c>
      <c r="E1561" s="98" t="s">
        <v>915</v>
      </c>
      <c r="F1561" s="98" t="s">
        <v>1317</v>
      </c>
      <c r="G1561" s="98" t="s">
        <v>1319</v>
      </c>
    </row>
    <row r="1562" spans="1:7" ht="15" thickBot="1" x14ac:dyDescent="0.4">
      <c r="A1562" s="98">
        <v>2041225946</v>
      </c>
      <c r="B1562" s="101" t="s">
        <v>1875</v>
      </c>
      <c r="C1562" s="98" t="s">
        <v>534</v>
      </c>
      <c r="D1562" s="98" t="s">
        <v>710</v>
      </c>
      <c r="E1562" s="98" t="s">
        <v>913</v>
      </c>
      <c r="F1562" s="98" t="s">
        <v>1317</v>
      </c>
      <c r="G1562" s="98" t="s">
        <v>1318</v>
      </c>
    </row>
    <row r="1563" spans="1:7" ht="15" thickBot="1" x14ac:dyDescent="0.4">
      <c r="A1563" s="98">
        <v>2041225946</v>
      </c>
      <c r="B1563" s="101" t="s">
        <v>1875</v>
      </c>
      <c r="C1563" s="98" t="s">
        <v>534</v>
      </c>
      <c r="D1563" s="98" t="s">
        <v>710</v>
      </c>
      <c r="E1563" s="98" t="s">
        <v>912</v>
      </c>
      <c r="F1563" s="98" t="s">
        <v>1317</v>
      </c>
      <c r="G1563" s="98" t="s">
        <v>1318</v>
      </c>
    </row>
    <row r="1564" spans="1:7" ht="15" thickBot="1" x14ac:dyDescent="0.4">
      <c r="A1564" s="98">
        <v>2041225946</v>
      </c>
      <c r="B1564" s="101" t="s">
        <v>1875</v>
      </c>
      <c r="C1564" s="98" t="s">
        <v>534</v>
      </c>
      <c r="D1564" s="98" t="s">
        <v>710</v>
      </c>
      <c r="E1564" s="98" t="s">
        <v>914</v>
      </c>
      <c r="F1564" s="98" t="s">
        <v>1317</v>
      </c>
      <c r="G1564" s="98" t="s">
        <v>1318</v>
      </c>
    </row>
    <row r="1565" spans="1:7" ht="15" thickBot="1" x14ac:dyDescent="0.4">
      <c r="A1565" s="98">
        <v>2041220439</v>
      </c>
      <c r="B1565" s="101" t="s">
        <v>1876</v>
      </c>
      <c r="C1565" s="98" t="s">
        <v>132</v>
      </c>
      <c r="D1565" s="98" t="s">
        <v>710</v>
      </c>
      <c r="E1565" s="98" t="s">
        <v>911</v>
      </c>
      <c r="F1565" s="98" t="s">
        <v>1317</v>
      </c>
      <c r="G1565" s="98" t="s">
        <v>1318</v>
      </c>
    </row>
    <row r="1566" spans="1:7" ht="15" thickBot="1" x14ac:dyDescent="0.4">
      <c r="A1566" s="98">
        <v>2041220439</v>
      </c>
      <c r="B1566" s="101" t="s">
        <v>1876</v>
      </c>
      <c r="C1566" s="98" t="s">
        <v>132</v>
      </c>
      <c r="D1566" s="98" t="s">
        <v>710</v>
      </c>
      <c r="E1566" s="98" t="s">
        <v>912</v>
      </c>
      <c r="F1566" s="98" t="s">
        <v>1317</v>
      </c>
      <c r="G1566" s="98" t="s">
        <v>1318</v>
      </c>
    </row>
    <row r="1567" spans="1:7" ht="15" thickBot="1" x14ac:dyDescent="0.4">
      <c r="A1567" s="98">
        <v>2041220439</v>
      </c>
      <c r="B1567" s="101" t="s">
        <v>1876</v>
      </c>
      <c r="C1567" s="98" t="s">
        <v>132</v>
      </c>
      <c r="D1567" s="98" t="s">
        <v>710</v>
      </c>
      <c r="E1567" s="98" t="s">
        <v>915</v>
      </c>
      <c r="F1567" s="98" t="s">
        <v>1317</v>
      </c>
      <c r="G1567" s="98" t="s">
        <v>1319</v>
      </c>
    </row>
    <row r="1568" spans="1:7" ht="15" thickBot="1" x14ac:dyDescent="0.4">
      <c r="A1568" s="98">
        <v>2041224072</v>
      </c>
      <c r="B1568" s="101" t="s">
        <v>1877</v>
      </c>
      <c r="C1568" s="98" t="s">
        <v>534</v>
      </c>
      <c r="D1568" s="98" t="s">
        <v>710</v>
      </c>
      <c r="E1568" s="98" t="s">
        <v>913</v>
      </c>
      <c r="F1568" s="98" t="s">
        <v>1317</v>
      </c>
      <c r="G1568" s="98" t="s">
        <v>1318</v>
      </c>
    </row>
    <row r="1569" spans="1:7" ht="15" thickBot="1" x14ac:dyDescent="0.4">
      <c r="A1569" s="98">
        <v>2041224072</v>
      </c>
      <c r="B1569" s="101" t="s">
        <v>1877</v>
      </c>
      <c r="C1569" s="98" t="s">
        <v>534</v>
      </c>
      <c r="D1569" s="98" t="s">
        <v>710</v>
      </c>
      <c r="E1569" s="98" t="s">
        <v>911</v>
      </c>
      <c r="F1569" s="98" t="s">
        <v>1317</v>
      </c>
      <c r="G1569" s="98" t="s">
        <v>1318</v>
      </c>
    </row>
    <row r="1570" spans="1:7" ht="15" thickBot="1" x14ac:dyDescent="0.4">
      <c r="A1570" s="98">
        <v>2041224072</v>
      </c>
      <c r="B1570" s="101" t="s">
        <v>1877</v>
      </c>
      <c r="C1570" s="98" t="s">
        <v>534</v>
      </c>
      <c r="D1570" s="98" t="s">
        <v>710</v>
      </c>
      <c r="E1570" s="98" t="s">
        <v>912</v>
      </c>
      <c r="F1570" s="98" t="s">
        <v>1317</v>
      </c>
      <c r="G1570" s="98" t="s">
        <v>1318</v>
      </c>
    </row>
    <row r="1571" spans="1:7" ht="15" thickBot="1" x14ac:dyDescent="0.4">
      <c r="A1571" s="98">
        <v>2022222955</v>
      </c>
      <c r="B1571" s="101" t="s">
        <v>1878</v>
      </c>
      <c r="C1571" s="98" t="s">
        <v>758</v>
      </c>
      <c r="D1571" s="98" t="s">
        <v>759</v>
      </c>
      <c r="E1571" s="98" t="s">
        <v>912</v>
      </c>
      <c r="F1571" s="98" t="s">
        <v>1317</v>
      </c>
      <c r="G1571" s="98" t="s">
        <v>1318</v>
      </c>
    </row>
    <row r="1572" spans="1:7" ht="15" thickBot="1" x14ac:dyDescent="0.4">
      <c r="A1572" s="98">
        <v>2022222955</v>
      </c>
      <c r="B1572" s="101" t="s">
        <v>1878</v>
      </c>
      <c r="C1572" s="98" t="s">
        <v>758</v>
      </c>
      <c r="D1572" s="98" t="s">
        <v>759</v>
      </c>
      <c r="E1572" s="98" t="s">
        <v>911</v>
      </c>
      <c r="F1572" s="98" t="s">
        <v>1317</v>
      </c>
      <c r="G1572" s="98" t="s">
        <v>1318</v>
      </c>
    </row>
    <row r="1573" spans="1:7" ht="15" thickBot="1" x14ac:dyDescent="0.4">
      <c r="A1573" s="98">
        <v>2022222955</v>
      </c>
      <c r="B1573" s="101" t="s">
        <v>1878</v>
      </c>
      <c r="C1573" s="98" t="s">
        <v>758</v>
      </c>
      <c r="D1573" s="98" t="s">
        <v>759</v>
      </c>
      <c r="E1573" s="98" t="s">
        <v>915</v>
      </c>
      <c r="F1573" s="98" t="s">
        <v>1317</v>
      </c>
      <c r="G1573" s="98" t="s">
        <v>1319</v>
      </c>
    </row>
    <row r="1574" spans="1:7" ht="15" thickBot="1" x14ac:dyDescent="0.4">
      <c r="A1574" s="98">
        <v>2022223101</v>
      </c>
      <c r="B1574" s="101" t="s">
        <v>1879</v>
      </c>
      <c r="C1574" s="98" t="s">
        <v>758</v>
      </c>
      <c r="D1574" s="98" t="s">
        <v>759</v>
      </c>
      <c r="E1574" s="98" t="s">
        <v>915</v>
      </c>
      <c r="F1574" s="98" t="s">
        <v>1317</v>
      </c>
      <c r="G1574" s="98" t="s">
        <v>1319</v>
      </c>
    </row>
    <row r="1575" spans="1:7" ht="15" thickBot="1" x14ac:dyDescent="0.4">
      <c r="A1575" s="98">
        <v>2022223101</v>
      </c>
      <c r="B1575" s="101" t="s">
        <v>1879</v>
      </c>
      <c r="C1575" s="98" t="s">
        <v>758</v>
      </c>
      <c r="D1575" s="98" t="s">
        <v>759</v>
      </c>
      <c r="E1575" s="98" t="s">
        <v>912</v>
      </c>
      <c r="F1575" s="98" t="s">
        <v>1317</v>
      </c>
      <c r="G1575" s="98" t="s">
        <v>1318</v>
      </c>
    </row>
    <row r="1576" spans="1:7" ht="15" thickBot="1" x14ac:dyDescent="0.4">
      <c r="A1576" s="98">
        <v>2022223101</v>
      </c>
      <c r="B1576" s="101" t="s">
        <v>1879</v>
      </c>
      <c r="C1576" s="98" t="s">
        <v>758</v>
      </c>
      <c r="D1576" s="98" t="s">
        <v>759</v>
      </c>
      <c r="E1576" s="98" t="s">
        <v>911</v>
      </c>
      <c r="F1576" s="98" t="s">
        <v>1317</v>
      </c>
      <c r="G1576" s="98" t="s">
        <v>1318</v>
      </c>
    </row>
    <row r="1577" spans="1:7" ht="15" thickBot="1" x14ac:dyDescent="0.4">
      <c r="A1577" s="98">
        <v>2022220553</v>
      </c>
      <c r="B1577" s="101" t="s">
        <v>1880</v>
      </c>
      <c r="C1577" s="98" t="s">
        <v>468</v>
      </c>
      <c r="D1577" s="98" t="s">
        <v>759</v>
      </c>
      <c r="E1577" s="98" t="s">
        <v>912</v>
      </c>
      <c r="F1577" s="98" t="s">
        <v>1317</v>
      </c>
      <c r="G1577" s="98" t="s">
        <v>1318</v>
      </c>
    </row>
    <row r="1578" spans="1:7" ht="15" thickBot="1" x14ac:dyDescent="0.4">
      <c r="A1578" s="98">
        <v>2022220553</v>
      </c>
      <c r="B1578" s="101" t="s">
        <v>1880</v>
      </c>
      <c r="C1578" s="98" t="s">
        <v>468</v>
      </c>
      <c r="D1578" s="98" t="s">
        <v>759</v>
      </c>
      <c r="E1578" s="98" t="s">
        <v>914</v>
      </c>
      <c r="F1578" s="98" t="s">
        <v>1317</v>
      </c>
      <c r="G1578" s="98" t="s">
        <v>1318</v>
      </c>
    </row>
    <row r="1579" spans="1:7" ht="15" thickBot="1" x14ac:dyDescent="0.4">
      <c r="A1579" s="98">
        <v>2022222669</v>
      </c>
      <c r="B1579" s="101" t="s">
        <v>1881</v>
      </c>
      <c r="C1579" s="98" t="s">
        <v>758</v>
      </c>
      <c r="D1579" s="98" t="s">
        <v>759</v>
      </c>
      <c r="E1579" s="98" t="s">
        <v>911</v>
      </c>
      <c r="F1579" s="98" t="s">
        <v>1317</v>
      </c>
      <c r="G1579" s="98" t="s">
        <v>1318</v>
      </c>
    </row>
    <row r="1580" spans="1:7" ht="15" thickBot="1" x14ac:dyDescent="0.4">
      <c r="A1580" s="98">
        <v>2022222669</v>
      </c>
      <c r="B1580" s="101" t="s">
        <v>1881</v>
      </c>
      <c r="C1580" s="98" t="s">
        <v>758</v>
      </c>
      <c r="D1580" s="98" t="s">
        <v>759</v>
      </c>
      <c r="E1580" s="98" t="s">
        <v>912</v>
      </c>
      <c r="F1580" s="98" t="s">
        <v>1317</v>
      </c>
      <c r="G1580" s="98" t="s">
        <v>1318</v>
      </c>
    </row>
    <row r="1581" spans="1:7" ht="15" thickBot="1" x14ac:dyDescent="0.4">
      <c r="A1581" s="98">
        <v>2022220050</v>
      </c>
      <c r="B1581" s="101" t="s">
        <v>1882</v>
      </c>
      <c r="C1581" s="98" t="s">
        <v>758</v>
      </c>
      <c r="D1581" s="98" t="s">
        <v>759</v>
      </c>
      <c r="E1581" s="98" t="s">
        <v>912</v>
      </c>
      <c r="F1581" s="98" t="s">
        <v>1317</v>
      </c>
      <c r="G1581" s="98" t="s">
        <v>1318</v>
      </c>
    </row>
    <row r="1582" spans="1:7" ht="15" thickBot="1" x14ac:dyDescent="0.4">
      <c r="A1582" s="98">
        <v>2022220050</v>
      </c>
      <c r="B1582" s="101" t="s">
        <v>1882</v>
      </c>
      <c r="C1582" s="98" t="s">
        <v>758</v>
      </c>
      <c r="D1582" s="98" t="s">
        <v>759</v>
      </c>
      <c r="E1582" s="98" t="s">
        <v>1342</v>
      </c>
      <c r="F1582" s="98" t="s">
        <v>1317</v>
      </c>
      <c r="G1582" s="98" t="s">
        <v>1318</v>
      </c>
    </row>
    <row r="1583" spans="1:7" ht="15" thickBot="1" x14ac:dyDescent="0.4">
      <c r="A1583" s="98">
        <v>2022220050</v>
      </c>
      <c r="B1583" s="101" t="s">
        <v>1882</v>
      </c>
      <c r="C1583" s="98" t="s">
        <v>758</v>
      </c>
      <c r="D1583" s="98" t="s">
        <v>759</v>
      </c>
      <c r="E1583" s="98" t="s">
        <v>911</v>
      </c>
      <c r="F1583" s="98" t="s">
        <v>1317</v>
      </c>
      <c r="G1583" s="98" t="s">
        <v>1318</v>
      </c>
    </row>
    <row r="1584" spans="1:7" ht="15" thickBot="1" x14ac:dyDescent="0.4">
      <c r="A1584" s="98">
        <v>2022223453</v>
      </c>
      <c r="B1584" s="101" t="s">
        <v>1883</v>
      </c>
      <c r="C1584" s="98" t="s">
        <v>758</v>
      </c>
      <c r="D1584" s="98" t="s">
        <v>759</v>
      </c>
      <c r="E1584" s="98" t="s">
        <v>912</v>
      </c>
      <c r="F1584" s="98" t="s">
        <v>1317</v>
      </c>
      <c r="G1584" s="98" t="s">
        <v>1318</v>
      </c>
    </row>
    <row r="1585" spans="1:7" ht="15" thickBot="1" x14ac:dyDescent="0.4">
      <c r="A1585" s="98">
        <v>2022223453</v>
      </c>
      <c r="B1585" s="101" t="s">
        <v>1883</v>
      </c>
      <c r="C1585" s="98" t="s">
        <v>758</v>
      </c>
      <c r="D1585" s="98" t="s">
        <v>759</v>
      </c>
      <c r="E1585" s="98" t="s">
        <v>911</v>
      </c>
      <c r="F1585" s="98" t="s">
        <v>1317</v>
      </c>
      <c r="G1585" s="98" t="s">
        <v>1318</v>
      </c>
    </row>
    <row r="1586" spans="1:7" ht="15" thickBot="1" x14ac:dyDescent="0.4">
      <c r="A1586" s="98">
        <v>2022223453</v>
      </c>
      <c r="B1586" s="101" t="s">
        <v>1883</v>
      </c>
      <c r="C1586" s="98" t="s">
        <v>758</v>
      </c>
      <c r="D1586" s="98" t="s">
        <v>759</v>
      </c>
      <c r="E1586" s="98" t="s">
        <v>915</v>
      </c>
      <c r="F1586" s="98" t="s">
        <v>1323</v>
      </c>
      <c r="G1586" s="98" t="s">
        <v>1319</v>
      </c>
    </row>
    <row r="1587" spans="1:7" ht="15" thickBot="1" x14ac:dyDescent="0.4">
      <c r="A1587" s="98">
        <v>2022223957</v>
      </c>
      <c r="B1587" s="101" t="s">
        <v>1884</v>
      </c>
      <c r="C1587" s="98" t="s">
        <v>758</v>
      </c>
      <c r="D1587" s="98" t="s">
        <v>759</v>
      </c>
      <c r="E1587" s="98" t="s">
        <v>912</v>
      </c>
      <c r="F1587" s="98" t="s">
        <v>1317</v>
      </c>
      <c r="G1587" s="98" t="s">
        <v>1318</v>
      </c>
    </row>
    <row r="1588" spans="1:7" ht="15" thickBot="1" x14ac:dyDescent="0.4">
      <c r="A1588" s="98">
        <v>2022223957</v>
      </c>
      <c r="B1588" s="101" t="s">
        <v>1884</v>
      </c>
      <c r="C1588" s="98" t="s">
        <v>758</v>
      </c>
      <c r="D1588" s="98" t="s">
        <v>759</v>
      </c>
      <c r="E1588" s="98" t="s">
        <v>913</v>
      </c>
      <c r="F1588" s="98" t="s">
        <v>1317</v>
      </c>
      <c r="G1588" s="98" t="s">
        <v>1318</v>
      </c>
    </row>
    <row r="1589" spans="1:7" ht="15" thickBot="1" x14ac:dyDescent="0.4">
      <c r="A1589" s="98">
        <v>2022223957</v>
      </c>
      <c r="B1589" s="101" t="s">
        <v>1884</v>
      </c>
      <c r="C1589" s="98" t="s">
        <v>758</v>
      </c>
      <c r="D1589" s="98" t="s">
        <v>759</v>
      </c>
      <c r="E1589" s="98" t="s">
        <v>1342</v>
      </c>
      <c r="F1589" s="98" t="s">
        <v>1317</v>
      </c>
      <c r="G1589" s="98" t="s">
        <v>1318</v>
      </c>
    </row>
    <row r="1590" spans="1:7" ht="15" thickBot="1" x14ac:dyDescent="0.4">
      <c r="A1590" s="98">
        <v>2022220369</v>
      </c>
      <c r="B1590" s="101" t="s">
        <v>1885</v>
      </c>
      <c r="C1590" s="98" t="s">
        <v>468</v>
      </c>
      <c r="D1590" s="98" t="s">
        <v>759</v>
      </c>
      <c r="E1590" s="98" t="s">
        <v>911</v>
      </c>
      <c r="F1590" s="98" t="s">
        <v>1317</v>
      </c>
      <c r="G1590" s="98" t="s">
        <v>1318</v>
      </c>
    </row>
    <row r="1591" spans="1:7" ht="15" thickBot="1" x14ac:dyDescent="0.4">
      <c r="A1591" s="98">
        <v>2022220369</v>
      </c>
      <c r="B1591" s="101" t="s">
        <v>1885</v>
      </c>
      <c r="C1591" s="98" t="s">
        <v>468</v>
      </c>
      <c r="D1591" s="98" t="s">
        <v>759</v>
      </c>
      <c r="E1591" s="98" t="s">
        <v>912</v>
      </c>
      <c r="F1591" s="98" t="s">
        <v>1317</v>
      </c>
      <c r="G1591" s="98" t="s">
        <v>1318</v>
      </c>
    </row>
    <row r="1592" spans="1:7" ht="15" thickBot="1" x14ac:dyDescent="0.4">
      <c r="A1592" s="98">
        <v>2022220369</v>
      </c>
      <c r="B1592" s="101" t="s">
        <v>1885</v>
      </c>
      <c r="C1592" s="98" t="s">
        <v>468</v>
      </c>
      <c r="D1592" s="98" t="s">
        <v>759</v>
      </c>
      <c r="E1592" s="98" t="s">
        <v>915</v>
      </c>
      <c r="F1592" s="98" t="s">
        <v>1317</v>
      </c>
      <c r="G1592" s="98" t="s">
        <v>1319</v>
      </c>
    </row>
    <row r="1593" spans="1:7" ht="15" thickBot="1" x14ac:dyDescent="0.4">
      <c r="A1593" s="98">
        <v>2022221300</v>
      </c>
      <c r="B1593" s="101" t="s">
        <v>1886</v>
      </c>
      <c r="C1593" s="98" t="s">
        <v>758</v>
      </c>
      <c r="D1593" s="98" t="s">
        <v>759</v>
      </c>
      <c r="E1593" s="98" t="s">
        <v>911</v>
      </c>
      <c r="F1593" s="98" t="s">
        <v>1317</v>
      </c>
      <c r="G1593" s="98" t="s">
        <v>1318</v>
      </c>
    </row>
    <row r="1594" spans="1:7" ht="15" thickBot="1" x14ac:dyDescent="0.4">
      <c r="A1594" s="98">
        <v>2022221300</v>
      </c>
      <c r="B1594" s="101" t="s">
        <v>1886</v>
      </c>
      <c r="C1594" s="98" t="s">
        <v>758</v>
      </c>
      <c r="D1594" s="98" t="s">
        <v>759</v>
      </c>
      <c r="E1594" s="98" t="s">
        <v>912</v>
      </c>
      <c r="F1594" s="98" t="s">
        <v>1317</v>
      </c>
      <c r="G1594" s="98" t="s">
        <v>1318</v>
      </c>
    </row>
    <row r="1595" spans="1:7" ht="15" thickBot="1" x14ac:dyDescent="0.4">
      <c r="A1595" s="98">
        <v>2022221300</v>
      </c>
      <c r="B1595" s="101" t="s">
        <v>1886</v>
      </c>
      <c r="C1595" s="98" t="s">
        <v>758</v>
      </c>
      <c r="D1595" s="98" t="s">
        <v>759</v>
      </c>
      <c r="E1595" s="98" t="s">
        <v>1342</v>
      </c>
      <c r="F1595" s="98" t="s">
        <v>1317</v>
      </c>
      <c r="G1595" s="98" t="s">
        <v>1318</v>
      </c>
    </row>
    <row r="1596" spans="1:7" ht="15" thickBot="1" x14ac:dyDescent="0.4">
      <c r="A1596" s="98">
        <v>2022223634</v>
      </c>
      <c r="B1596" s="101" t="s">
        <v>1887</v>
      </c>
      <c r="C1596" s="98" t="s">
        <v>758</v>
      </c>
      <c r="D1596" s="98" t="s">
        <v>759</v>
      </c>
      <c r="E1596" s="98" t="s">
        <v>912</v>
      </c>
      <c r="F1596" s="98" t="s">
        <v>1317</v>
      </c>
      <c r="G1596" s="98" t="s">
        <v>1318</v>
      </c>
    </row>
    <row r="1597" spans="1:7" ht="15" thickBot="1" x14ac:dyDescent="0.4">
      <c r="A1597" s="98">
        <v>2022223634</v>
      </c>
      <c r="B1597" s="101" t="s">
        <v>1887</v>
      </c>
      <c r="C1597" s="98" t="s">
        <v>758</v>
      </c>
      <c r="D1597" s="98" t="s">
        <v>759</v>
      </c>
      <c r="E1597" s="98" t="s">
        <v>914</v>
      </c>
      <c r="F1597" s="98" t="s">
        <v>1317</v>
      </c>
      <c r="G1597" s="98" t="s">
        <v>1318</v>
      </c>
    </row>
    <row r="1598" spans="1:7" ht="15" thickBot="1" x14ac:dyDescent="0.4">
      <c r="A1598" s="98">
        <v>2022220980</v>
      </c>
      <c r="B1598" s="101" t="s">
        <v>1888</v>
      </c>
      <c r="C1598" s="98" t="s">
        <v>758</v>
      </c>
      <c r="D1598" s="98" t="s">
        <v>759</v>
      </c>
      <c r="E1598" s="98" t="s">
        <v>912</v>
      </c>
      <c r="F1598" s="98" t="s">
        <v>1317</v>
      </c>
      <c r="G1598" s="98" t="s">
        <v>1318</v>
      </c>
    </row>
    <row r="1599" spans="1:7" ht="15" thickBot="1" x14ac:dyDescent="0.4">
      <c r="A1599" s="98">
        <v>2022220980</v>
      </c>
      <c r="B1599" s="101" t="s">
        <v>1888</v>
      </c>
      <c r="C1599" s="98" t="s">
        <v>758</v>
      </c>
      <c r="D1599" s="98" t="s">
        <v>759</v>
      </c>
      <c r="E1599" s="98" t="s">
        <v>914</v>
      </c>
      <c r="F1599" s="98" t="s">
        <v>1317</v>
      </c>
      <c r="G1599" s="98" t="s">
        <v>1318</v>
      </c>
    </row>
    <row r="1600" spans="1:7" ht="15" thickBot="1" x14ac:dyDescent="0.4">
      <c r="A1600" s="98">
        <v>2022220980</v>
      </c>
      <c r="B1600" s="101" t="s">
        <v>1888</v>
      </c>
      <c r="C1600" s="98" t="s">
        <v>758</v>
      </c>
      <c r="D1600" s="98" t="s">
        <v>759</v>
      </c>
      <c r="E1600" s="98" t="s">
        <v>1342</v>
      </c>
      <c r="F1600" s="98" t="s">
        <v>1317</v>
      </c>
      <c r="G1600" s="98" t="s">
        <v>1318</v>
      </c>
    </row>
    <row r="1601" spans="1:7" ht="15" thickBot="1" x14ac:dyDescent="0.4">
      <c r="A1601" s="98">
        <v>2022221299</v>
      </c>
      <c r="B1601" s="101" t="s">
        <v>1575</v>
      </c>
      <c r="C1601" s="98" t="s">
        <v>758</v>
      </c>
      <c r="D1601" s="98" t="s">
        <v>759</v>
      </c>
      <c r="E1601" s="98" t="s">
        <v>912</v>
      </c>
      <c r="F1601" s="98" t="s">
        <v>1317</v>
      </c>
      <c r="G1601" s="98" t="s">
        <v>1318</v>
      </c>
    </row>
    <row r="1602" spans="1:7" ht="15" thickBot="1" x14ac:dyDescent="0.4">
      <c r="A1602" s="98">
        <v>2022221299</v>
      </c>
      <c r="B1602" s="101" t="s">
        <v>1575</v>
      </c>
      <c r="C1602" s="98" t="s">
        <v>758</v>
      </c>
      <c r="D1602" s="98" t="s">
        <v>759</v>
      </c>
      <c r="E1602" s="98" t="s">
        <v>914</v>
      </c>
      <c r="F1602" s="98" t="s">
        <v>1317</v>
      </c>
      <c r="G1602" s="98" t="s">
        <v>1318</v>
      </c>
    </row>
    <row r="1603" spans="1:7" ht="15" thickBot="1" x14ac:dyDescent="0.4">
      <c r="A1603" s="98">
        <v>2022221299</v>
      </c>
      <c r="B1603" s="101" t="s">
        <v>1575</v>
      </c>
      <c r="C1603" s="98" t="s">
        <v>758</v>
      </c>
      <c r="D1603" s="98" t="s">
        <v>759</v>
      </c>
      <c r="E1603" s="98" t="s">
        <v>915</v>
      </c>
      <c r="F1603" s="98" t="s">
        <v>1323</v>
      </c>
      <c r="G1603" s="98" t="s">
        <v>1319</v>
      </c>
    </row>
    <row r="1604" spans="1:7" ht="15" thickBot="1" x14ac:dyDescent="0.4">
      <c r="A1604" s="98">
        <v>2022221290</v>
      </c>
      <c r="B1604" s="101" t="s">
        <v>1889</v>
      </c>
      <c r="C1604" s="98" t="s">
        <v>758</v>
      </c>
      <c r="D1604" s="98" t="s">
        <v>759</v>
      </c>
      <c r="E1604" s="98" t="s">
        <v>912</v>
      </c>
      <c r="F1604" s="98" t="s">
        <v>1317</v>
      </c>
      <c r="G1604" s="98" t="s">
        <v>1318</v>
      </c>
    </row>
    <row r="1605" spans="1:7" ht="15" thickBot="1" x14ac:dyDescent="0.4">
      <c r="A1605" s="98">
        <v>2022221290</v>
      </c>
      <c r="B1605" s="101" t="s">
        <v>1889</v>
      </c>
      <c r="C1605" s="98" t="s">
        <v>758</v>
      </c>
      <c r="D1605" s="98" t="s">
        <v>759</v>
      </c>
      <c r="E1605" s="98" t="s">
        <v>911</v>
      </c>
      <c r="F1605" s="98" t="s">
        <v>1317</v>
      </c>
      <c r="G1605" s="98" t="s">
        <v>1318</v>
      </c>
    </row>
    <row r="1606" spans="1:7" ht="15" thickBot="1" x14ac:dyDescent="0.4">
      <c r="A1606" s="98">
        <v>2022221290</v>
      </c>
      <c r="B1606" s="101" t="s">
        <v>1889</v>
      </c>
      <c r="C1606" s="98" t="s">
        <v>758</v>
      </c>
      <c r="D1606" s="98" t="s">
        <v>759</v>
      </c>
      <c r="E1606" s="98" t="s">
        <v>915</v>
      </c>
      <c r="F1606" s="98" t="s">
        <v>1317</v>
      </c>
      <c r="G1606" s="98" t="s">
        <v>1318</v>
      </c>
    </row>
    <row r="1607" spans="1:7" ht="15" thickBot="1" x14ac:dyDescent="0.4">
      <c r="A1607" s="98">
        <v>2022226028</v>
      </c>
      <c r="B1607" s="101" t="s">
        <v>1890</v>
      </c>
      <c r="C1607" s="98" t="s">
        <v>758</v>
      </c>
      <c r="D1607" s="98" t="s">
        <v>759</v>
      </c>
      <c r="E1607" s="98" t="s">
        <v>912</v>
      </c>
      <c r="F1607" s="98" t="s">
        <v>1317</v>
      </c>
      <c r="G1607" s="98" t="s">
        <v>1318</v>
      </c>
    </row>
    <row r="1608" spans="1:7" ht="15" thickBot="1" x14ac:dyDescent="0.4">
      <c r="A1608" s="98">
        <v>2022226028</v>
      </c>
      <c r="B1608" s="101" t="s">
        <v>1890</v>
      </c>
      <c r="C1608" s="98" t="s">
        <v>758</v>
      </c>
      <c r="D1608" s="98" t="s">
        <v>759</v>
      </c>
      <c r="E1608" s="98" t="s">
        <v>912</v>
      </c>
      <c r="F1608" s="98" t="s">
        <v>1317</v>
      </c>
      <c r="G1608" s="98" t="s">
        <v>1318</v>
      </c>
    </row>
    <row r="1609" spans="1:7" ht="15" thickBot="1" x14ac:dyDescent="0.4">
      <c r="A1609" s="98">
        <v>2022226028</v>
      </c>
      <c r="B1609" s="101" t="s">
        <v>1890</v>
      </c>
      <c r="C1609" s="98" t="s">
        <v>758</v>
      </c>
      <c r="D1609" s="98" t="s">
        <v>759</v>
      </c>
      <c r="E1609" s="98" t="s">
        <v>914</v>
      </c>
      <c r="F1609" s="98" t="s">
        <v>1317</v>
      </c>
      <c r="G1609" s="98" t="s">
        <v>1318</v>
      </c>
    </row>
    <row r="1610" spans="1:7" ht="15" thickBot="1" x14ac:dyDescent="0.4">
      <c r="A1610" s="98">
        <v>2022226028</v>
      </c>
      <c r="B1610" s="101" t="s">
        <v>1890</v>
      </c>
      <c r="C1610" s="98" t="s">
        <v>1891</v>
      </c>
      <c r="D1610" s="98" t="s">
        <v>759</v>
      </c>
      <c r="E1610" s="98" t="s">
        <v>912</v>
      </c>
      <c r="F1610" s="98" t="s">
        <v>1317</v>
      </c>
      <c r="G1610" s="98" t="s">
        <v>1318</v>
      </c>
    </row>
    <row r="1611" spans="1:7" ht="15" thickBot="1" x14ac:dyDescent="0.4">
      <c r="A1611" s="98">
        <v>2022226028</v>
      </c>
      <c r="B1611" s="101" t="s">
        <v>1890</v>
      </c>
      <c r="C1611" s="98" t="s">
        <v>758</v>
      </c>
      <c r="D1611" s="98" t="s">
        <v>759</v>
      </c>
      <c r="E1611" s="98" t="s">
        <v>915</v>
      </c>
      <c r="F1611" s="98" t="s">
        <v>1323</v>
      </c>
      <c r="G1611" s="98" t="s">
        <v>1319</v>
      </c>
    </row>
    <row r="1612" spans="1:7" ht="15" thickBot="1" x14ac:dyDescent="0.4">
      <c r="A1612" s="98">
        <v>2022220508</v>
      </c>
      <c r="B1612" s="101" t="s">
        <v>1892</v>
      </c>
      <c r="C1612" s="98" t="s">
        <v>468</v>
      </c>
      <c r="D1612" s="98" t="s">
        <v>759</v>
      </c>
      <c r="E1612" s="98" t="s">
        <v>914</v>
      </c>
      <c r="F1612" s="98" t="s">
        <v>1317</v>
      </c>
      <c r="G1612" s="98" t="s">
        <v>1318</v>
      </c>
    </row>
    <row r="1613" spans="1:7" ht="15" thickBot="1" x14ac:dyDescent="0.4">
      <c r="A1613" s="98">
        <v>2022220508</v>
      </c>
      <c r="B1613" s="101" t="s">
        <v>1892</v>
      </c>
      <c r="C1613" s="98" t="s">
        <v>468</v>
      </c>
      <c r="D1613" s="98" t="s">
        <v>759</v>
      </c>
      <c r="E1613" s="98" t="s">
        <v>912</v>
      </c>
      <c r="F1613" s="98" t="s">
        <v>1317</v>
      </c>
      <c r="G1613" s="98" t="s">
        <v>1318</v>
      </c>
    </row>
    <row r="1614" spans="1:7" ht="15" thickBot="1" x14ac:dyDescent="0.4">
      <c r="A1614" s="98">
        <v>2022220508</v>
      </c>
      <c r="B1614" s="101" t="s">
        <v>1892</v>
      </c>
      <c r="C1614" s="98" t="s">
        <v>468</v>
      </c>
      <c r="D1614" s="98" t="s">
        <v>759</v>
      </c>
      <c r="E1614" s="98" t="s">
        <v>913</v>
      </c>
      <c r="F1614" s="98" t="s">
        <v>1317</v>
      </c>
      <c r="G1614" s="98" t="s">
        <v>1318</v>
      </c>
    </row>
    <row r="1615" spans="1:7" ht="15" thickBot="1" x14ac:dyDescent="0.4">
      <c r="A1615" s="98">
        <v>2022221773</v>
      </c>
      <c r="B1615" s="101" t="s">
        <v>1893</v>
      </c>
      <c r="C1615" s="98" t="s">
        <v>758</v>
      </c>
      <c r="D1615" s="98" t="s">
        <v>759</v>
      </c>
      <c r="E1615" s="98" t="s">
        <v>912</v>
      </c>
      <c r="F1615" s="98" t="s">
        <v>1317</v>
      </c>
      <c r="G1615" s="98" t="s">
        <v>1318</v>
      </c>
    </row>
    <row r="1616" spans="1:7" ht="15" thickBot="1" x14ac:dyDescent="0.4">
      <c r="A1616" s="98">
        <v>2022221773</v>
      </c>
      <c r="B1616" s="101" t="s">
        <v>1893</v>
      </c>
      <c r="C1616" s="98" t="s">
        <v>758</v>
      </c>
      <c r="D1616" s="98" t="s">
        <v>759</v>
      </c>
      <c r="E1616" s="98" t="s">
        <v>914</v>
      </c>
      <c r="F1616" s="98" t="s">
        <v>1317</v>
      </c>
      <c r="G1616" s="98" t="s">
        <v>1318</v>
      </c>
    </row>
    <row r="1617" spans="1:7" ht="15" thickBot="1" x14ac:dyDescent="0.4">
      <c r="A1617" s="98">
        <v>2022221773</v>
      </c>
      <c r="B1617" s="101" t="s">
        <v>1893</v>
      </c>
      <c r="C1617" s="98" t="s">
        <v>758</v>
      </c>
      <c r="D1617" s="98" t="s">
        <v>759</v>
      </c>
      <c r="E1617" s="98" t="s">
        <v>915</v>
      </c>
      <c r="F1617" s="98" t="s">
        <v>1317</v>
      </c>
      <c r="G1617" s="98" t="s">
        <v>1319</v>
      </c>
    </row>
    <row r="1618" spans="1:7" ht="15" thickBot="1" x14ac:dyDescent="0.4">
      <c r="A1618" s="98">
        <v>2022221112</v>
      </c>
      <c r="B1618" s="101" t="s">
        <v>1894</v>
      </c>
      <c r="C1618" s="98" t="s">
        <v>758</v>
      </c>
      <c r="D1618" s="98" t="s">
        <v>759</v>
      </c>
      <c r="E1618" s="98" t="s">
        <v>912</v>
      </c>
      <c r="F1618" s="98" t="s">
        <v>1317</v>
      </c>
      <c r="G1618" s="98" t="s">
        <v>1318</v>
      </c>
    </row>
    <row r="1619" spans="1:7" ht="15" thickBot="1" x14ac:dyDescent="0.4">
      <c r="A1619" s="98">
        <v>2022221112</v>
      </c>
      <c r="B1619" s="101" t="s">
        <v>1894</v>
      </c>
      <c r="C1619" s="98" t="s">
        <v>758</v>
      </c>
      <c r="D1619" s="98" t="s">
        <v>759</v>
      </c>
      <c r="E1619" s="98" t="s">
        <v>913</v>
      </c>
      <c r="F1619" s="98" t="s">
        <v>1317</v>
      </c>
      <c r="G1619" s="98" t="s">
        <v>1318</v>
      </c>
    </row>
    <row r="1620" spans="1:7" ht="15" thickBot="1" x14ac:dyDescent="0.4">
      <c r="A1620" s="98">
        <v>2022221112</v>
      </c>
      <c r="B1620" s="101" t="s">
        <v>1894</v>
      </c>
      <c r="C1620" s="98" t="s">
        <v>758</v>
      </c>
      <c r="D1620" s="98" t="s">
        <v>759</v>
      </c>
      <c r="E1620" s="98" t="s">
        <v>912</v>
      </c>
      <c r="F1620" s="98" t="s">
        <v>1317</v>
      </c>
      <c r="G1620" s="98" t="s">
        <v>1318</v>
      </c>
    </row>
    <row r="1621" spans="1:7" ht="15" thickBot="1" x14ac:dyDescent="0.4">
      <c r="A1621" s="98">
        <v>2022221112</v>
      </c>
      <c r="B1621" s="101" t="s">
        <v>1894</v>
      </c>
      <c r="C1621" s="98" t="s">
        <v>758</v>
      </c>
      <c r="D1621" s="98" t="s">
        <v>759</v>
      </c>
      <c r="E1621" s="98" t="s">
        <v>915</v>
      </c>
      <c r="F1621" s="98" t="s">
        <v>1317</v>
      </c>
      <c r="G1621" s="98" t="s">
        <v>1319</v>
      </c>
    </row>
    <row r="1622" spans="1:7" ht="15" thickBot="1" x14ac:dyDescent="0.4">
      <c r="A1622" s="98">
        <v>2022220181</v>
      </c>
      <c r="B1622" s="101" t="s">
        <v>1895</v>
      </c>
      <c r="C1622" s="98" t="s">
        <v>758</v>
      </c>
      <c r="D1622" s="98" t="s">
        <v>759</v>
      </c>
      <c r="E1622" s="98" t="s">
        <v>915</v>
      </c>
      <c r="F1622" s="98" t="s">
        <v>1323</v>
      </c>
      <c r="G1622" s="98" t="s">
        <v>1319</v>
      </c>
    </row>
    <row r="1623" spans="1:7" ht="15" thickBot="1" x14ac:dyDescent="0.4">
      <c r="A1623" s="98">
        <v>2022220181</v>
      </c>
      <c r="B1623" s="101" t="s">
        <v>1895</v>
      </c>
      <c r="C1623" s="98" t="s">
        <v>758</v>
      </c>
      <c r="D1623" s="98" t="s">
        <v>759</v>
      </c>
      <c r="E1623" s="98" t="s">
        <v>911</v>
      </c>
      <c r="F1623" s="98" t="s">
        <v>1317</v>
      </c>
      <c r="G1623" s="98" t="s">
        <v>1318</v>
      </c>
    </row>
    <row r="1624" spans="1:7" ht="15" thickBot="1" x14ac:dyDescent="0.4">
      <c r="A1624" s="98">
        <v>2022220181</v>
      </c>
      <c r="B1624" s="101" t="s">
        <v>1895</v>
      </c>
      <c r="C1624" s="98" t="s">
        <v>758</v>
      </c>
      <c r="D1624" s="98" t="s">
        <v>759</v>
      </c>
      <c r="E1624" s="98" t="s">
        <v>912</v>
      </c>
      <c r="F1624" s="98" t="s">
        <v>1317</v>
      </c>
      <c r="G1624" s="98" t="s">
        <v>1318</v>
      </c>
    </row>
    <row r="1625" spans="1:7" ht="15" thickBot="1" x14ac:dyDescent="0.4">
      <c r="A1625" s="98">
        <v>2005230690</v>
      </c>
      <c r="B1625" s="101" t="s">
        <v>1896</v>
      </c>
      <c r="C1625" s="98" t="s">
        <v>439</v>
      </c>
      <c r="D1625" s="98" t="s">
        <v>759</v>
      </c>
      <c r="E1625" s="98" t="s">
        <v>1406</v>
      </c>
      <c r="F1625" s="98" t="s">
        <v>1317</v>
      </c>
      <c r="G1625" s="98" t="s">
        <v>1318</v>
      </c>
    </row>
    <row r="1626" spans="1:7" ht="15" thickBot="1" x14ac:dyDescent="0.4">
      <c r="A1626" s="98">
        <v>2022225251</v>
      </c>
      <c r="B1626" s="101" t="s">
        <v>1897</v>
      </c>
      <c r="C1626" s="98" t="s">
        <v>758</v>
      </c>
      <c r="D1626" s="98" t="s">
        <v>759</v>
      </c>
      <c r="E1626" s="98" t="s">
        <v>912</v>
      </c>
      <c r="F1626" s="98" t="s">
        <v>1317</v>
      </c>
      <c r="G1626" s="98" t="s">
        <v>1318</v>
      </c>
    </row>
    <row r="1627" spans="1:7" ht="15" thickBot="1" x14ac:dyDescent="0.4">
      <c r="A1627" s="98">
        <v>2022225251</v>
      </c>
      <c r="B1627" s="101" t="s">
        <v>1897</v>
      </c>
      <c r="C1627" s="98" t="s">
        <v>758</v>
      </c>
      <c r="D1627" s="98" t="s">
        <v>759</v>
      </c>
      <c r="E1627" s="98" t="s">
        <v>912</v>
      </c>
      <c r="F1627" s="98" t="s">
        <v>1317</v>
      </c>
      <c r="G1627" s="98" t="s">
        <v>1318</v>
      </c>
    </row>
    <row r="1628" spans="1:7" ht="15" thickBot="1" x14ac:dyDescent="0.4">
      <c r="A1628" s="98">
        <v>2022225251</v>
      </c>
      <c r="B1628" s="101" t="s">
        <v>1897</v>
      </c>
      <c r="C1628" s="98" t="s">
        <v>758</v>
      </c>
      <c r="D1628" s="98" t="s">
        <v>759</v>
      </c>
      <c r="E1628" s="98" t="s">
        <v>911</v>
      </c>
      <c r="F1628" s="98" t="s">
        <v>1317</v>
      </c>
      <c r="G1628" s="98" t="s">
        <v>1318</v>
      </c>
    </row>
    <row r="1629" spans="1:7" ht="15" thickBot="1" x14ac:dyDescent="0.4">
      <c r="A1629" s="98">
        <v>2022225251</v>
      </c>
      <c r="B1629" s="101" t="s">
        <v>1897</v>
      </c>
      <c r="C1629" s="98" t="s">
        <v>758</v>
      </c>
      <c r="D1629" s="98" t="s">
        <v>759</v>
      </c>
      <c r="E1629" s="98" t="s">
        <v>915</v>
      </c>
      <c r="F1629" s="98" t="s">
        <v>1317</v>
      </c>
      <c r="G1629" s="98" t="s">
        <v>1319</v>
      </c>
    </row>
    <row r="1630" spans="1:7" ht="15" thickBot="1" x14ac:dyDescent="0.4">
      <c r="A1630" s="98">
        <v>2022225251</v>
      </c>
      <c r="B1630" s="101" t="s">
        <v>1897</v>
      </c>
      <c r="C1630" s="98" t="s">
        <v>758</v>
      </c>
      <c r="D1630" s="98" t="s">
        <v>759</v>
      </c>
      <c r="E1630" s="98" t="s">
        <v>915</v>
      </c>
      <c r="F1630" s="98" t="s">
        <v>1317</v>
      </c>
      <c r="G1630" s="98" t="s">
        <v>1319</v>
      </c>
    </row>
    <row r="1631" spans="1:7" ht="15" thickBot="1" x14ac:dyDescent="0.4">
      <c r="A1631" s="98">
        <v>2022225251</v>
      </c>
      <c r="B1631" s="101" t="s">
        <v>1897</v>
      </c>
      <c r="C1631" s="98" t="s">
        <v>758</v>
      </c>
      <c r="D1631" s="98" t="s">
        <v>759</v>
      </c>
      <c r="E1631" s="98" t="s">
        <v>915</v>
      </c>
      <c r="F1631" s="98" t="s">
        <v>1317</v>
      </c>
      <c r="G1631" s="98" t="s">
        <v>1319</v>
      </c>
    </row>
    <row r="1632" spans="1:7" ht="15" thickBot="1" x14ac:dyDescent="0.4">
      <c r="A1632" s="98">
        <v>2022221231</v>
      </c>
      <c r="B1632" s="101" t="s">
        <v>1898</v>
      </c>
      <c r="C1632" s="98" t="s">
        <v>758</v>
      </c>
      <c r="D1632" s="98" t="s">
        <v>759</v>
      </c>
      <c r="E1632" s="98" t="s">
        <v>914</v>
      </c>
      <c r="F1632" s="98" t="s">
        <v>1317</v>
      </c>
      <c r="G1632" s="98" t="s">
        <v>1318</v>
      </c>
    </row>
    <row r="1633" spans="1:7" ht="15" thickBot="1" x14ac:dyDescent="0.4">
      <c r="A1633" s="98">
        <v>2022221231</v>
      </c>
      <c r="B1633" s="101" t="s">
        <v>1898</v>
      </c>
      <c r="C1633" s="98" t="s">
        <v>758</v>
      </c>
      <c r="D1633" s="98" t="s">
        <v>759</v>
      </c>
      <c r="E1633" s="98" t="s">
        <v>913</v>
      </c>
      <c r="F1633" s="98" t="s">
        <v>1317</v>
      </c>
      <c r="G1633" s="98" t="s">
        <v>1318</v>
      </c>
    </row>
    <row r="1634" spans="1:7" ht="15" thickBot="1" x14ac:dyDescent="0.4">
      <c r="A1634" s="98">
        <v>2022223529</v>
      </c>
      <c r="B1634" s="101" t="s">
        <v>1899</v>
      </c>
      <c r="C1634" s="98" t="s">
        <v>758</v>
      </c>
      <c r="D1634" s="98" t="s">
        <v>759</v>
      </c>
      <c r="E1634" s="98" t="s">
        <v>912</v>
      </c>
      <c r="F1634" s="98" t="s">
        <v>1317</v>
      </c>
      <c r="G1634" s="98" t="s">
        <v>1318</v>
      </c>
    </row>
    <row r="1635" spans="1:7" ht="15" thickBot="1" x14ac:dyDescent="0.4">
      <c r="A1635" s="98">
        <v>2022223529</v>
      </c>
      <c r="B1635" s="101" t="s">
        <v>1899</v>
      </c>
      <c r="C1635" s="98" t="s">
        <v>758</v>
      </c>
      <c r="D1635" s="98" t="s">
        <v>759</v>
      </c>
      <c r="E1635" s="98" t="s">
        <v>913</v>
      </c>
      <c r="F1635" s="98" t="s">
        <v>1317</v>
      </c>
      <c r="G1635" s="98" t="s">
        <v>1318</v>
      </c>
    </row>
    <row r="1636" spans="1:7" ht="15" thickBot="1" x14ac:dyDescent="0.4">
      <c r="A1636" s="98">
        <v>2022223529</v>
      </c>
      <c r="B1636" s="101" t="s">
        <v>1899</v>
      </c>
      <c r="C1636" s="98" t="s">
        <v>758</v>
      </c>
      <c r="D1636" s="98" t="s">
        <v>759</v>
      </c>
      <c r="E1636" s="98" t="s">
        <v>915</v>
      </c>
      <c r="F1636" s="98" t="s">
        <v>1323</v>
      </c>
      <c r="G1636" s="98" t="s">
        <v>1319</v>
      </c>
    </row>
    <row r="1637" spans="1:7" ht="15" thickBot="1" x14ac:dyDescent="0.4">
      <c r="A1637" s="98">
        <v>2022222537</v>
      </c>
      <c r="B1637" s="101" t="s">
        <v>1900</v>
      </c>
      <c r="C1637" s="98" t="s">
        <v>758</v>
      </c>
      <c r="D1637" s="98" t="s">
        <v>759</v>
      </c>
      <c r="E1637" s="98" t="s">
        <v>912</v>
      </c>
      <c r="F1637" s="98" t="s">
        <v>1317</v>
      </c>
      <c r="G1637" s="98" t="s">
        <v>1319</v>
      </c>
    </row>
    <row r="1638" spans="1:7" ht="15" thickBot="1" x14ac:dyDescent="0.4">
      <c r="A1638" s="98">
        <v>2022222537</v>
      </c>
      <c r="B1638" s="101" t="s">
        <v>1900</v>
      </c>
      <c r="C1638" s="98" t="s">
        <v>758</v>
      </c>
      <c r="D1638" s="98" t="s">
        <v>759</v>
      </c>
      <c r="E1638" s="98" t="s">
        <v>914</v>
      </c>
      <c r="F1638" s="98" t="s">
        <v>1317</v>
      </c>
      <c r="G1638" s="98" t="s">
        <v>1318</v>
      </c>
    </row>
    <row r="1639" spans="1:7" ht="15" thickBot="1" x14ac:dyDescent="0.4">
      <c r="A1639" s="98">
        <v>2022222537</v>
      </c>
      <c r="B1639" s="101" t="s">
        <v>1900</v>
      </c>
      <c r="C1639" s="98" t="s">
        <v>758</v>
      </c>
      <c r="D1639" s="98" t="s">
        <v>759</v>
      </c>
      <c r="E1639" s="98" t="s">
        <v>915</v>
      </c>
      <c r="F1639" s="98" t="s">
        <v>1317</v>
      </c>
      <c r="G1639" s="98" t="s">
        <v>1319</v>
      </c>
    </row>
    <row r="1640" spans="1:7" ht="15" thickBot="1" x14ac:dyDescent="0.4">
      <c r="A1640" s="98">
        <v>2022220464</v>
      </c>
      <c r="B1640" s="101" t="s">
        <v>1901</v>
      </c>
      <c r="C1640" s="98" t="s">
        <v>758</v>
      </c>
      <c r="D1640" s="98" t="s">
        <v>759</v>
      </c>
      <c r="E1640" s="98" t="s">
        <v>912</v>
      </c>
      <c r="F1640" s="98" t="s">
        <v>1317</v>
      </c>
      <c r="G1640" s="98" t="s">
        <v>1318</v>
      </c>
    </row>
    <row r="1641" spans="1:7" ht="15" thickBot="1" x14ac:dyDescent="0.4">
      <c r="A1641" s="98">
        <v>2022220464</v>
      </c>
      <c r="B1641" s="101" t="s">
        <v>1901</v>
      </c>
      <c r="C1641" s="98" t="s">
        <v>758</v>
      </c>
      <c r="D1641" s="98" t="s">
        <v>759</v>
      </c>
      <c r="E1641" s="98" t="s">
        <v>911</v>
      </c>
      <c r="F1641" s="98" t="s">
        <v>1317</v>
      </c>
      <c r="G1641" s="98" t="s">
        <v>1318</v>
      </c>
    </row>
    <row r="1642" spans="1:7" ht="15" thickBot="1" x14ac:dyDescent="0.4">
      <c r="A1642" s="98">
        <v>2022220464</v>
      </c>
      <c r="B1642" s="101" t="s">
        <v>1901</v>
      </c>
      <c r="C1642" s="98" t="s">
        <v>758</v>
      </c>
      <c r="D1642" s="98" t="s">
        <v>759</v>
      </c>
      <c r="E1642" s="98" t="s">
        <v>915</v>
      </c>
      <c r="F1642" s="98" t="s">
        <v>1317</v>
      </c>
      <c r="G1642" s="98" t="s">
        <v>1319</v>
      </c>
    </row>
    <row r="1643" spans="1:7" ht="15" thickBot="1" x14ac:dyDescent="0.4">
      <c r="A1643" s="98">
        <v>2022220211</v>
      </c>
      <c r="B1643" s="101" t="s">
        <v>1902</v>
      </c>
      <c r="C1643" s="98" t="s">
        <v>758</v>
      </c>
      <c r="D1643" s="98" t="s">
        <v>759</v>
      </c>
      <c r="E1643" s="98" t="s">
        <v>912</v>
      </c>
      <c r="F1643" s="98" t="s">
        <v>1317</v>
      </c>
      <c r="G1643" s="98" t="s">
        <v>1318</v>
      </c>
    </row>
    <row r="1644" spans="1:7" ht="15" thickBot="1" x14ac:dyDescent="0.4">
      <c r="A1644" s="98">
        <v>2022220211</v>
      </c>
      <c r="B1644" s="101" t="s">
        <v>1902</v>
      </c>
      <c r="C1644" s="98" t="s">
        <v>758</v>
      </c>
      <c r="D1644" s="98" t="s">
        <v>759</v>
      </c>
      <c r="E1644" s="98" t="s">
        <v>914</v>
      </c>
      <c r="F1644" s="98" t="s">
        <v>1317</v>
      </c>
      <c r="G1644" s="98" t="s">
        <v>1318</v>
      </c>
    </row>
    <row r="1645" spans="1:7" ht="15" thickBot="1" x14ac:dyDescent="0.4">
      <c r="A1645" s="98">
        <v>2022220211</v>
      </c>
      <c r="B1645" s="101" t="s">
        <v>1902</v>
      </c>
      <c r="C1645" s="98" t="s">
        <v>758</v>
      </c>
      <c r="D1645" s="98" t="s">
        <v>759</v>
      </c>
      <c r="E1645" s="98" t="s">
        <v>911</v>
      </c>
      <c r="F1645" s="98" t="s">
        <v>1317</v>
      </c>
      <c r="G1645" s="98" t="s">
        <v>1318</v>
      </c>
    </row>
    <row r="1646" spans="1:7" ht="15" thickBot="1" x14ac:dyDescent="0.4">
      <c r="A1646" s="98">
        <v>2022221306</v>
      </c>
      <c r="B1646" s="101" t="s">
        <v>1649</v>
      </c>
      <c r="C1646" s="98" t="s">
        <v>468</v>
      </c>
      <c r="D1646" s="98" t="s">
        <v>759</v>
      </c>
      <c r="E1646" s="98" t="s">
        <v>913</v>
      </c>
      <c r="F1646" s="98" t="s">
        <v>1317</v>
      </c>
      <c r="G1646" s="98" t="s">
        <v>1318</v>
      </c>
    </row>
    <row r="1647" spans="1:7" ht="15" thickBot="1" x14ac:dyDescent="0.4">
      <c r="A1647" s="98">
        <v>2022221306</v>
      </c>
      <c r="B1647" s="101" t="s">
        <v>1649</v>
      </c>
      <c r="C1647" s="98" t="s">
        <v>468</v>
      </c>
      <c r="D1647" s="98" t="s">
        <v>759</v>
      </c>
      <c r="E1647" s="98" t="s">
        <v>915</v>
      </c>
      <c r="F1647" s="98" t="s">
        <v>1317</v>
      </c>
      <c r="G1647" s="98" t="s">
        <v>1319</v>
      </c>
    </row>
    <row r="1648" spans="1:7" ht="15" thickBot="1" x14ac:dyDescent="0.4">
      <c r="A1648" s="98">
        <v>2022221306</v>
      </c>
      <c r="B1648" s="101" t="s">
        <v>1649</v>
      </c>
      <c r="C1648" s="98" t="s">
        <v>468</v>
      </c>
      <c r="D1648" s="98" t="s">
        <v>759</v>
      </c>
      <c r="E1648" s="98" t="s">
        <v>915</v>
      </c>
      <c r="F1648" s="98" t="s">
        <v>1317</v>
      </c>
      <c r="G1648" s="98" t="s">
        <v>1319</v>
      </c>
    </row>
    <row r="1649" spans="1:7" ht="15" thickBot="1" x14ac:dyDescent="0.4">
      <c r="A1649" s="98">
        <v>2022223171</v>
      </c>
      <c r="B1649" s="101" t="s">
        <v>1903</v>
      </c>
      <c r="C1649" s="98" t="s">
        <v>758</v>
      </c>
      <c r="D1649" s="98" t="s">
        <v>759</v>
      </c>
      <c r="E1649" s="98" t="s">
        <v>915</v>
      </c>
      <c r="F1649" s="98" t="s">
        <v>1317</v>
      </c>
      <c r="G1649" s="98" t="s">
        <v>1319</v>
      </c>
    </row>
    <row r="1650" spans="1:7" ht="15" thickBot="1" x14ac:dyDescent="0.4">
      <c r="A1650" s="98">
        <v>2022223171</v>
      </c>
      <c r="B1650" s="101" t="s">
        <v>1903</v>
      </c>
      <c r="C1650" s="98" t="s">
        <v>758</v>
      </c>
      <c r="D1650" s="98" t="s">
        <v>759</v>
      </c>
      <c r="E1650" s="98" t="s">
        <v>912</v>
      </c>
      <c r="F1650" s="98" t="s">
        <v>1317</v>
      </c>
      <c r="G1650" s="98" t="s">
        <v>1318</v>
      </c>
    </row>
    <row r="1651" spans="1:7" ht="15" thickBot="1" x14ac:dyDescent="0.4">
      <c r="A1651" s="98">
        <v>2022223171</v>
      </c>
      <c r="B1651" s="101" t="s">
        <v>1903</v>
      </c>
      <c r="C1651" s="98" t="s">
        <v>758</v>
      </c>
      <c r="D1651" s="98" t="s">
        <v>759</v>
      </c>
      <c r="E1651" s="98" t="s">
        <v>911</v>
      </c>
      <c r="F1651" s="98" t="s">
        <v>1317</v>
      </c>
      <c r="G1651" s="98" t="s">
        <v>1318</v>
      </c>
    </row>
    <row r="1652" spans="1:7" ht="15" thickBot="1" x14ac:dyDescent="0.4">
      <c r="A1652" s="98">
        <v>2022223260</v>
      </c>
      <c r="B1652" s="101" t="s">
        <v>1904</v>
      </c>
      <c r="C1652" s="98" t="s">
        <v>758</v>
      </c>
      <c r="D1652" s="98" t="s">
        <v>759</v>
      </c>
      <c r="E1652" s="98" t="s">
        <v>1342</v>
      </c>
      <c r="F1652" s="98" t="s">
        <v>1317</v>
      </c>
      <c r="G1652" s="98" t="s">
        <v>1318</v>
      </c>
    </row>
    <row r="1653" spans="1:7" ht="15" thickBot="1" x14ac:dyDescent="0.4">
      <c r="A1653" s="98">
        <v>2022223260</v>
      </c>
      <c r="B1653" s="101" t="s">
        <v>1904</v>
      </c>
      <c r="C1653" s="98" t="s">
        <v>1905</v>
      </c>
      <c r="D1653" s="98" t="s">
        <v>759</v>
      </c>
      <c r="E1653" s="98" t="s">
        <v>911</v>
      </c>
      <c r="F1653" s="98" t="s">
        <v>1317</v>
      </c>
      <c r="G1653" s="98" t="s">
        <v>1318</v>
      </c>
    </row>
    <row r="1654" spans="1:7" ht="15" thickBot="1" x14ac:dyDescent="0.4">
      <c r="A1654" s="98">
        <v>2022223409</v>
      </c>
      <c r="B1654" s="101" t="s">
        <v>1906</v>
      </c>
      <c r="C1654" s="98" t="s">
        <v>758</v>
      </c>
      <c r="D1654" s="98" t="s">
        <v>759</v>
      </c>
      <c r="E1654" s="98" t="s">
        <v>912</v>
      </c>
      <c r="F1654" s="98" t="s">
        <v>1317</v>
      </c>
      <c r="G1654" s="98" t="s">
        <v>1318</v>
      </c>
    </row>
    <row r="1655" spans="1:7" ht="15" thickBot="1" x14ac:dyDescent="0.4">
      <c r="A1655" s="98">
        <v>2022223409</v>
      </c>
      <c r="B1655" s="101" t="s">
        <v>1906</v>
      </c>
      <c r="C1655" s="98" t="s">
        <v>758</v>
      </c>
      <c r="D1655" s="98" t="s">
        <v>759</v>
      </c>
      <c r="E1655" s="98" t="s">
        <v>911</v>
      </c>
      <c r="F1655" s="98" t="s">
        <v>1317</v>
      </c>
      <c r="G1655" s="98" t="s">
        <v>1318</v>
      </c>
    </row>
    <row r="1656" spans="1:7" ht="15" thickBot="1" x14ac:dyDescent="0.4">
      <c r="A1656" s="98">
        <v>2022223409</v>
      </c>
      <c r="B1656" s="101" t="s">
        <v>1906</v>
      </c>
      <c r="C1656" s="98" t="s">
        <v>758</v>
      </c>
      <c r="D1656" s="98" t="s">
        <v>759</v>
      </c>
      <c r="E1656" s="98" t="s">
        <v>915</v>
      </c>
      <c r="F1656" s="98" t="s">
        <v>1317</v>
      </c>
      <c r="G1656" s="98" t="s">
        <v>1319</v>
      </c>
    </row>
    <row r="1657" spans="1:7" ht="15" thickBot="1" x14ac:dyDescent="0.4">
      <c r="A1657" s="98">
        <v>2022220787</v>
      </c>
      <c r="B1657" s="101" t="s">
        <v>1907</v>
      </c>
      <c r="C1657" s="98" t="s">
        <v>468</v>
      </c>
      <c r="D1657" s="98" t="s">
        <v>759</v>
      </c>
      <c r="E1657" s="98" t="s">
        <v>914</v>
      </c>
      <c r="F1657" s="98" t="s">
        <v>1317</v>
      </c>
      <c r="G1657" s="98" t="s">
        <v>1318</v>
      </c>
    </row>
    <row r="1658" spans="1:7" ht="15" thickBot="1" x14ac:dyDescent="0.4">
      <c r="A1658" s="98">
        <v>2022220787</v>
      </c>
      <c r="B1658" s="101" t="s">
        <v>1907</v>
      </c>
      <c r="C1658" s="98" t="s">
        <v>468</v>
      </c>
      <c r="D1658" s="98" t="s">
        <v>759</v>
      </c>
      <c r="E1658" s="98" t="s">
        <v>912</v>
      </c>
      <c r="F1658" s="98" t="s">
        <v>1317</v>
      </c>
      <c r="G1658" s="98" t="s">
        <v>1318</v>
      </c>
    </row>
    <row r="1659" spans="1:7" ht="15" thickBot="1" x14ac:dyDescent="0.4">
      <c r="A1659" s="98">
        <v>2022224892</v>
      </c>
      <c r="B1659" s="101" t="s">
        <v>1908</v>
      </c>
      <c r="C1659" s="98" t="s">
        <v>758</v>
      </c>
      <c r="D1659" s="98" t="s">
        <v>759</v>
      </c>
      <c r="E1659" s="98" t="s">
        <v>912</v>
      </c>
      <c r="F1659" s="98" t="s">
        <v>1317</v>
      </c>
      <c r="G1659" s="98" t="s">
        <v>1318</v>
      </c>
    </row>
    <row r="1660" spans="1:7" ht="15" thickBot="1" x14ac:dyDescent="0.4">
      <c r="A1660" s="98">
        <v>2022224892</v>
      </c>
      <c r="B1660" s="101" t="s">
        <v>1908</v>
      </c>
      <c r="C1660" s="98" t="s">
        <v>758</v>
      </c>
      <c r="D1660" s="98" t="s">
        <v>759</v>
      </c>
      <c r="E1660" s="98" t="s">
        <v>914</v>
      </c>
      <c r="F1660" s="98" t="s">
        <v>1317</v>
      </c>
      <c r="G1660" s="98" t="s">
        <v>1318</v>
      </c>
    </row>
    <row r="1661" spans="1:7" ht="15" thickBot="1" x14ac:dyDescent="0.4">
      <c r="A1661" s="98">
        <v>2022224892</v>
      </c>
      <c r="B1661" s="101" t="s">
        <v>1908</v>
      </c>
      <c r="C1661" s="98" t="s">
        <v>758</v>
      </c>
      <c r="D1661" s="98" t="s">
        <v>759</v>
      </c>
      <c r="E1661" s="98" t="s">
        <v>911</v>
      </c>
      <c r="F1661" s="98" t="s">
        <v>1317</v>
      </c>
      <c r="G1661" s="98" t="s">
        <v>1318</v>
      </c>
    </row>
    <row r="1662" spans="1:7" ht="15" thickBot="1" x14ac:dyDescent="0.4">
      <c r="A1662" s="98">
        <v>2022223013</v>
      </c>
      <c r="B1662" s="101" t="s">
        <v>1909</v>
      </c>
      <c r="C1662" s="98" t="s">
        <v>758</v>
      </c>
      <c r="D1662" s="98" t="s">
        <v>759</v>
      </c>
      <c r="E1662" s="98" t="s">
        <v>912</v>
      </c>
      <c r="F1662" s="98" t="s">
        <v>1317</v>
      </c>
      <c r="G1662" s="98" t="s">
        <v>1318</v>
      </c>
    </row>
    <row r="1663" spans="1:7" ht="15" thickBot="1" x14ac:dyDescent="0.4">
      <c r="A1663" s="98">
        <v>2022223013</v>
      </c>
      <c r="B1663" s="101" t="s">
        <v>1909</v>
      </c>
      <c r="C1663" s="98" t="s">
        <v>758</v>
      </c>
      <c r="D1663" s="98" t="s">
        <v>759</v>
      </c>
      <c r="E1663" s="98" t="s">
        <v>914</v>
      </c>
      <c r="F1663" s="98" t="s">
        <v>1317</v>
      </c>
      <c r="G1663" s="98" t="s">
        <v>1318</v>
      </c>
    </row>
    <row r="1664" spans="1:7" ht="15" thickBot="1" x14ac:dyDescent="0.4">
      <c r="A1664" s="98">
        <v>2022223013</v>
      </c>
      <c r="B1664" s="101" t="s">
        <v>1909</v>
      </c>
      <c r="C1664" s="98" t="s">
        <v>758</v>
      </c>
      <c r="D1664" s="98" t="s">
        <v>759</v>
      </c>
      <c r="E1664" s="98" t="s">
        <v>911</v>
      </c>
      <c r="F1664" s="98" t="s">
        <v>1317</v>
      </c>
      <c r="G1664" s="98" t="s">
        <v>1318</v>
      </c>
    </row>
    <row r="1665" spans="1:7" ht="15" thickBot="1" x14ac:dyDescent="0.4">
      <c r="A1665" s="98">
        <v>2022221536</v>
      </c>
      <c r="B1665" s="101" t="s">
        <v>223</v>
      </c>
      <c r="C1665" s="98" t="s">
        <v>758</v>
      </c>
      <c r="D1665" s="98" t="s">
        <v>759</v>
      </c>
      <c r="E1665" s="98" t="s">
        <v>914</v>
      </c>
      <c r="F1665" s="98" t="s">
        <v>1317</v>
      </c>
      <c r="G1665" s="98" t="s">
        <v>1318</v>
      </c>
    </row>
    <row r="1666" spans="1:7" ht="15" thickBot="1" x14ac:dyDescent="0.4">
      <c r="A1666" s="98">
        <v>2022221536</v>
      </c>
      <c r="B1666" s="101" t="s">
        <v>223</v>
      </c>
      <c r="C1666" s="98" t="s">
        <v>758</v>
      </c>
      <c r="D1666" s="98" t="s">
        <v>759</v>
      </c>
      <c r="E1666" s="98" t="s">
        <v>912</v>
      </c>
      <c r="F1666" s="98" t="s">
        <v>1317</v>
      </c>
      <c r="G1666" s="98" t="s">
        <v>1318</v>
      </c>
    </row>
    <row r="1667" spans="1:7" ht="15" thickBot="1" x14ac:dyDescent="0.4">
      <c r="A1667" s="98">
        <v>2022221536</v>
      </c>
      <c r="B1667" s="101" t="s">
        <v>223</v>
      </c>
      <c r="C1667" s="98" t="s">
        <v>758</v>
      </c>
      <c r="D1667" s="98" t="s">
        <v>759</v>
      </c>
      <c r="E1667" s="98" t="s">
        <v>912</v>
      </c>
      <c r="F1667" s="98" t="s">
        <v>1317</v>
      </c>
      <c r="G1667" s="98" t="s">
        <v>1318</v>
      </c>
    </row>
    <row r="1668" spans="1:7" ht="15" thickBot="1" x14ac:dyDescent="0.4">
      <c r="A1668" s="98">
        <v>2022222260</v>
      </c>
      <c r="B1668" s="101" t="s">
        <v>1910</v>
      </c>
      <c r="C1668" s="98" t="s">
        <v>758</v>
      </c>
      <c r="D1668" s="98" t="s">
        <v>759</v>
      </c>
      <c r="E1668" s="98" t="s">
        <v>912</v>
      </c>
      <c r="F1668" s="98" t="s">
        <v>1317</v>
      </c>
      <c r="G1668" s="98" t="s">
        <v>1318</v>
      </c>
    </row>
    <row r="1669" spans="1:7" ht="15" thickBot="1" x14ac:dyDescent="0.4">
      <c r="A1669" s="98">
        <v>2022222260</v>
      </c>
      <c r="B1669" s="101" t="s">
        <v>1910</v>
      </c>
      <c r="C1669" s="98" t="s">
        <v>758</v>
      </c>
      <c r="D1669" s="98" t="s">
        <v>759</v>
      </c>
      <c r="E1669" s="98" t="s">
        <v>911</v>
      </c>
      <c r="F1669" s="98" t="s">
        <v>1317</v>
      </c>
      <c r="G1669" s="98" t="s">
        <v>1318</v>
      </c>
    </row>
    <row r="1670" spans="1:7" ht="15" thickBot="1" x14ac:dyDescent="0.4">
      <c r="A1670" s="98">
        <v>2022222952</v>
      </c>
      <c r="B1670" s="101" t="s">
        <v>1417</v>
      </c>
      <c r="C1670" s="98" t="s">
        <v>758</v>
      </c>
      <c r="D1670" s="98" t="s">
        <v>759</v>
      </c>
      <c r="E1670" s="98" t="s">
        <v>912</v>
      </c>
      <c r="F1670" s="98" t="s">
        <v>1317</v>
      </c>
      <c r="G1670" s="98" t="s">
        <v>1318</v>
      </c>
    </row>
    <row r="1671" spans="1:7" ht="15" thickBot="1" x14ac:dyDescent="0.4">
      <c r="A1671" s="98">
        <v>2022222952</v>
      </c>
      <c r="B1671" s="101" t="s">
        <v>1417</v>
      </c>
      <c r="C1671" s="98" t="s">
        <v>758</v>
      </c>
      <c r="D1671" s="98" t="s">
        <v>759</v>
      </c>
      <c r="E1671" s="98" t="s">
        <v>911</v>
      </c>
      <c r="F1671" s="98" t="s">
        <v>1317</v>
      </c>
      <c r="G1671" s="98" t="s">
        <v>1318</v>
      </c>
    </row>
    <row r="1672" spans="1:7" ht="15" thickBot="1" x14ac:dyDescent="0.4">
      <c r="A1672" s="98">
        <v>2022222952</v>
      </c>
      <c r="B1672" s="101" t="s">
        <v>1417</v>
      </c>
      <c r="C1672" s="98" t="s">
        <v>758</v>
      </c>
      <c r="D1672" s="98" t="s">
        <v>759</v>
      </c>
      <c r="E1672" s="98" t="s">
        <v>915</v>
      </c>
      <c r="F1672" s="98" t="s">
        <v>1317</v>
      </c>
      <c r="G1672" s="98" t="s">
        <v>1319</v>
      </c>
    </row>
    <row r="1673" spans="1:7" ht="15" thickBot="1" x14ac:dyDescent="0.4">
      <c r="A1673" s="98">
        <v>2022222952</v>
      </c>
      <c r="B1673" s="101" t="s">
        <v>1417</v>
      </c>
      <c r="C1673" s="98" t="s">
        <v>758</v>
      </c>
      <c r="D1673" s="98" t="s">
        <v>759</v>
      </c>
      <c r="E1673" s="98" t="s">
        <v>915</v>
      </c>
      <c r="F1673" s="98" t="s">
        <v>1317</v>
      </c>
      <c r="G1673" s="98" t="s">
        <v>1319</v>
      </c>
    </row>
    <row r="1674" spans="1:7" ht="15" thickBot="1" x14ac:dyDescent="0.4">
      <c r="A1674" s="98">
        <v>2022221072</v>
      </c>
      <c r="B1674" s="101" t="s">
        <v>2065</v>
      </c>
      <c r="C1674" s="98" t="s">
        <v>758</v>
      </c>
      <c r="D1674" s="98" t="s">
        <v>759</v>
      </c>
      <c r="E1674" s="98" t="s">
        <v>913</v>
      </c>
      <c r="F1674" s="98" t="s">
        <v>1317</v>
      </c>
      <c r="G1674" s="98" t="s">
        <v>1318</v>
      </c>
    </row>
    <row r="1675" spans="1:7" ht="15" thickBot="1" x14ac:dyDescent="0.4">
      <c r="A1675" s="98">
        <v>2022221072</v>
      </c>
      <c r="B1675" s="101" t="s">
        <v>2065</v>
      </c>
      <c r="C1675" s="98" t="s">
        <v>758</v>
      </c>
      <c r="D1675" s="98" t="s">
        <v>759</v>
      </c>
      <c r="E1675" s="98" t="s">
        <v>912</v>
      </c>
      <c r="F1675" s="98" t="s">
        <v>1317</v>
      </c>
      <c r="G1675" s="98" t="s">
        <v>1318</v>
      </c>
    </row>
    <row r="1676" spans="1:7" ht="15" thickBot="1" x14ac:dyDescent="0.4">
      <c r="A1676" s="98">
        <v>2022221072</v>
      </c>
      <c r="B1676" s="101" t="s">
        <v>2065</v>
      </c>
      <c r="C1676" s="98" t="s">
        <v>758</v>
      </c>
      <c r="D1676" s="98" t="s">
        <v>759</v>
      </c>
      <c r="E1676" s="98" t="s">
        <v>915</v>
      </c>
      <c r="F1676" s="98" t="s">
        <v>1317</v>
      </c>
      <c r="G1676" s="98" t="s">
        <v>1319</v>
      </c>
    </row>
    <row r="1677" spans="1:7" ht="15" thickBot="1" x14ac:dyDescent="0.4">
      <c r="A1677" s="98">
        <v>2022225466</v>
      </c>
      <c r="B1677" s="101" t="s">
        <v>1911</v>
      </c>
      <c r="C1677" s="98" t="s">
        <v>758</v>
      </c>
      <c r="D1677" s="98" t="s">
        <v>759</v>
      </c>
      <c r="E1677" s="98" t="s">
        <v>914</v>
      </c>
      <c r="F1677" s="98" t="s">
        <v>1317</v>
      </c>
      <c r="G1677" s="98" t="s">
        <v>1318</v>
      </c>
    </row>
    <row r="1678" spans="1:7" ht="15" thickBot="1" x14ac:dyDescent="0.4">
      <c r="A1678" s="98">
        <v>2022225466</v>
      </c>
      <c r="B1678" s="101" t="s">
        <v>1911</v>
      </c>
      <c r="C1678" s="98" t="s">
        <v>758</v>
      </c>
      <c r="D1678" s="98" t="s">
        <v>759</v>
      </c>
      <c r="E1678" s="98" t="s">
        <v>913</v>
      </c>
      <c r="F1678" s="98" t="s">
        <v>1317</v>
      </c>
      <c r="G1678" s="98" t="s">
        <v>1318</v>
      </c>
    </row>
    <row r="1679" spans="1:7" ht="15" thickBot="1" x14ac:dyDescent="0.4">
      <c r="A1679" s="98">
        <v>2022225466</v>
      </c>
      <c r="B1679" s="101" t="s">
        <v>1911</v>
      </c>
      <c r="C1679" s="98" t="s">
        <v>758</v>
      </c>
      <c r="D1679" s="98" t="s">
        <v>759</v>
      </c>
      <c r="E1679" s="98" t="s">
        <v>915</v>
      </c>
      <c r="F1679" s="98" t="s">
        <v>1317</v>
      </c>
      <c r="G1679" s="98" t="s">
        <v>1319</v>
      </c>
    </row>
    <row r="1680" spans="1:7" ht="15" thickBot="1" x14ac:dyDescent="0.4">
      <c r="A1680" s="98">
        <v>2022222721</v>
      </c>
      <c r="B1680" s="101" t="s">
        <v>1912</v>
      </c>
      <c r="C1680" s="98" t="s">
        <v>1913</v>
      </c>
      <c r="D1680" s="98" t="s">
        <v>759</v>
      </c>
      <c r="E1680" s="98" t="s">
        <v>912</v>
      </c>
      <c r="F1680" s="98" t="s">
        <v>1317</v>
      </c>
      <c r="G1680" s="98" t="s">
        <v>1318</v>
      </c>
    </row>
    <row r="1681" spans="1:7" ht="15" thickBot="1" x14ac:dyDescent="0.4">
      <c r="A1681" s="98">
        <v>2022222721</v>
      </c>
      <c r="B1681" s="101" t="s">
        <v>1912</v>
      </c>
      <c r="C1681" s="98" t="s">
        <v>1913</v>
      </c>
      <c r="D1681" s="98" t="s">
        <v>759</v>
      </c>
      <c r="E1681" s="98" t="s">
        <v>911</v>
      </c>
      <c r="F1681" s="98" t="s">
        <v>1317</v>
      </c>
      <c r="G1681" s="98" t="s">
        <v>1318</v>
      </c>
    </row>
    <row r="1682" spans="1:7" ht="15" thickBot="1" x14ac:dyDescent="0.4">
      <c r="A1682" s="98">
        <v>2022222721</v>
      </c>
      <c r="B1682" s="101" t="s">
        <v>1912</v>
      </c>
      <c r="C1682" s="98" t="s">
        <v>758</v>
      </c>
      <c r="D1682" s="98" t="s">
        <v>759</v>
      </c>
      <c r="E1682" s="98" t="s">
        <v>916</v>
      </c>
      <c r="F1682" s="98" t="s">
        <v>1323</v>
      </c>
      <c r="G1682" s="98" t="s">
        <v>1319</v>
      </c>
    </row>
    <row r="1683" spans="1:7" ht="15" thickBot="1" x14ac:dyDescent="0.4">
      <c r="A1683" s="98">
        <v>2022222151</v>
      </c>
      <c r="B1683" s="101" t="s">
        <v>1914</v>
      </c>
      <c r="C1683" s="98" t="s">
        <v>758</v>
      </c>
      <c r="D1683" s="98" t="s">
        <v>759</v>
      </c>
      <c r="E1683" s="98" t="s">
        <v>912</v>
      </c>
      <c r="F1683" s="98" t="s">
        <v>1317</v>
      </c>
      <c r="G1683" s="98" t="s">
        <v>1318</v>
      </c>
    </row>
    <row r="1684" spans="1:7" ht="15" thickBot="1" x14ac:dyDescent="0.4">
      <c r="A1684" s="98">
        <v>2022222151</v>
      </c>
      <c r="B1684" s="101" t="s">
        <v>1914</v>
      </c>
      <c r="C1684" s="98" t="s">
        <v>758</v>
      </c>
      <c r="D1684" s="98" t="s">
        <v>759</v>
      </c>
      <c r="E1684" s="98" t="s">
        <v>914</v>
      </c>
      <c r="F1684" s="98" t="s">
        <v>1317</v>
      </c>
      <c r="G1684" s="98" t="s">
        <v>1318</v>
      </c>
    </row>
    <row r="1685" spans="1:7" ht="15" thickBot="1" x14ac:dyDescent="0.4">
      <c r="A1685" s="98">
        <v>2022222151</v>
      </c>
      <c r="B1685" s="101" t="s">
        <v>1914</v>
      </c>
      <c r="C1685" s="98" t="s">
        <v>758</v>
      </c>
      <c r="D1685" s="98" t="s">
        <v>759</v>
      </c>
      <c r="E1685" s="98" t="s">
        <v>914</v>
      </c>
      <c r="F1685" s="98" t="s">
        <v>1317</v>
      </c>
      <c r="G1685" s="98" t="s">
        <v>1318</v>
      </c>
    </row>
    <row r="1686" spans="1:7" ht="15" thickBot="1" x14ac:dyDescent="0.4">
      <c r="A1686" s="98">
        <v>2022222151</v>
      </c>
      <c r="B1686" s="101" t="s">
        <v>1914</v>
      </c>
      <c r="C1686" s="98" t="s">
        <v>758</v>
      </c>
      <c r="D1686" s="98" t="s">
        <v>759</v>
      </c>
      <c r="E1686" s="98" t="s">
        <v>911</v>
      </c>
      <c r="F1686" s="98" t="s">
        <v>1317</v>
      </c>
      <c r="G1686" s="98" t="s">
        <v>1318</v>
      </c>
    </row>
    <row r="1687" spans="1:7" ht="15" thickBot="1" x14ac:dyDescent="0.4">
      <c r="A1687" s="98">
        <v>2022224187</v>
      </c>
      <c r="B1687" s="101" t="s">
        <v>2055</v>
      </c>
      <c r="C1687" s="98" t="s">
        <v>758</v>
      </c>
      <c r="D1687" s="98" t="s">
        <v>759</v>
      </c>
      <c r="E1687" s="98" t="s">
        <v>912</v>
      </c>
      <c r="F1687" s="98" t="s">
        <v>1317</v>
      </c>
      <c r="G1687" s="98" t="s">
        <v>1318</v>
      </c>
    </row>
    <row r="1688" spans="1:7" ht="15" thickBot="1" x14ac:dyDescent="0.4">
      <c r="A1688" s="98">
        <v>2022224187</v>
      </c>
      <c r="B1688" s="101" t="s">
        <v>2055</v>
      </c>
      <c r="C1688" s="98" t="s">
        <v>758</v>
      </c>
      <c r="D1688" s="98" t="s">
        <v>759</v>
      </c>
      <c r="E1688" s="98" t="s">
        <v>912</v>
      </c>
      <c r="F1688" s="98" t="s">
        <v>1317</v>
      </c>
      <c r="G1688" s="98" t="s">
        <v>1318</v>
      </c>
    </row>
    <row r="1689" spans="1:7" ht="15" thickBot="1" x14ac:dyDescent="0.4">
      <c r="A1689" s="98">
        <v>2022224187</v>
      </c>
      <c r="B1689" s="101" t="s">
        <v>2055</v>
      </c>
      <c r="C1689" s="98" t="s">
        <v>758</v>
      </c>
      <c r="D1689" s="98" t="s">
        <v>759</v>
      </c>
      <c r="E1689" s="98" t="s">
        <v>911</v>
      </c>
      <c r="F1689" s="98" t="s">
        <v>1317</v>
      </c>
      <c r="G1689" s="98" t="s">
        <v>1318</v>
      </c>
    </row>
    <row r="1690" spans="1:7" ht="15" thickBot="1" x14ac:dyDescent="0.4">
      <c r="A1690" s="98">
        <v>2022223251</v>
      </c>
      <c r="B1690" s="101" t="s">
        <v>1915</v>
      </c>
      <c r="C1690" s="98" t="s">
        <v>758</v>
      </c>
      <c r="D1690" s="98" t="s">
        <v>759</v>
      </c>
      <c r="E1690" s="98" t="s">
        <v>912</v>
      </c>
      <c r="F1690" s="98" t="s">
        <v>1317</v>
      </c>
      <c r="G1690" s="98" t="s">
        <v>1318</v>
      </c>
    </row>
    <row r="1691" spans="1:7" ht="15" thickBot="1" x14ac:dyDescent="0.4">
      <c r="A1691" s="98">
        <v>2022223251</v>
      </c>
      <c r="B1691" s="101" t="s">
        <v>1915</v>
      </c>
      <c r="C1691" s="98" t="s">
        <v>758</v>
      </c>
      <c r="D1691" s="98" t="s">
        <v>759</v>
      </c>
      <c r="E1691" s="98" t="s">
        <v>914</v>
      </c>
      <c r="F1691" s="98" t="s">
        <v>1317</v>
      </c>
      <c r="G1691" s="98" t="s">
        <v>1318</v>
      </c>
    </row>
    <row r="1692" spans="1:7" ht="15" thickBot="1" x14ac:dyDescent="0.4">
      <c r="A1692" s="98">
        <v>2022223251</v>
      </c>
      <c r="B1692" s="101" t="s">
        <v>1915</v>
      </c>
      <c r="C1692" s="98" t="s">
        <v>758</v>
      </c>
      <c r="D1692" s="98" t="s">
        <v>759</v>
      </c>
      <c r="E1692" s="98" t="s">
        <v>911</v>
      </c>
      <c r="F1692" s="98" t="s">
        <v>1317</v>
      </c>
      <c r="G1692" s="98" t="s">
        <v>1318</v>
      </c>
    </row>
    <row r="1693" spans="1:7" ht="15" thickBot="1" x14ac:dyDescent="0.4">
      <c r="A1693" s="98">
        <v>2022226009</v>
      </c>
      <c r="B1693" s="101" t="s">
        <v>1523</v>
      </c>
      <c r="C1693" s="98" t="s">
        <v>758</v>
      </c>
      <c r="D1693" s="98" t="s">
        <v>759</v>
      </c>
      <c r="E1693" s="98" t="s">
        <v>912</v>
      </c>
      <c r="F1693" s="98" t="s">
        <v>1317</v>
      </c>
      <c r="G1693" s="98" t="s">
        <v>1318</v>
      </c>
    </row>
    <row r="1694" spans="1:7" ht="15" thickBot="1" x14ac:dyDescent="0.4">
      <c r="A1694" s="98">
        <v>2022226009</v>
      </c>
      <c r="B1694" s="101" t="s">
        <v>1523</v>
      </c>
      <c r="C1694" s="98" t="s">
        <v>758</v>
      </c>
      <c r="D1694" s="98" t="s">
        <v>759</v>
      </c>
      <c r="E1694" s="98" t="s">
        <v>911</v>
      </c>
      <c r="F1694" s="98" t="s">
        <v>1317</v>
      </c>
      <c r="G1694" s="98" t="s">
        <v>1318</v>
      </c>
    </row>
    <row r="1695" spans="1:7" ht="15" thickBot="1" x14ac:dyDescent="0.4">
      <c r="A1695" s="98">
        <v>2022220068</v>
      </c>
      <c r="B1695" s="101" t="s">
        <v>1916</v>
      </c>
      <c r="C1695" s="98" t="s">
        <v>758</v>
      </c>
      <c r="D1695" s="98" t="s">
        <v>759</v>
      </c>
      <c r="E1695" s="98" t="s">
        <v>912</v>
      </c>
      <c r="F1695" s="98" t="s">
        <v>1317</v>
      </c>
      <c r="G1695" s="98" t="s">
        <v>1318</v>
      </c>
    </row>
    <row r="1696" spans="1:7" ht="15" thickBot="1" x14ac:dyDescent="0.4">
      <c r="A1696" s="98">
        <v>2022220068</v>
      </c>
      <c r="B1696" s="101" t="s">
        <v>1916</v>
      </c>
      <c r="C1696" s="98" t="s">
        <v>758</v>
      </c>
      <c r="D1696" s="98" t="s">
        <v>759</v>
      </c>
      <c r="E1696" s="98" t="s">
        <v>913</v>
      </c>
      <c r="F1696" s="98" t="s">
        <v>1317</v>
      </c>
      <c r="G1696" s="98" t="s">
        <v>1318</v>
      </c>
    </row>
    <row r="1697" spans="1:7" ht="15" thickBot="1" x14ac:dyDescent="0.4">
      <c r="A1697" s="98">
        <v>2022220068</v>
      </c>
      <c r="B1697" s="101" t="s">
        <v>1916</v>
      </c>
      <c r="C1697" s="98" t="s">
        <v>758</v>
      </c>
      <c r="D1697" s="98" t="s">
        <v>759</v>
      </c>
      <c r="E1697" s="98" t="s">
        <v>1342</v>
      </c>
      <c r="F1697" s="98" t="s">
        <v>1317</v>
      </c>
      <c r="G1697" s="98" t="s">
        <v>1318</v>
      </c>
    </row>
    <row r="1698" spans="1:7" ht="15" thickBot="1" x14ac:dyDescent="0.4">
      <c r="A1698" s="98">
        <v>2022221227</v>
      </c>
      <c r="B1698" s="101" t="s">
        <v>1917</v>
      </c>
      <c r="C1698" s="98" t="s">
        <v>758</v>
      </c>
      <c r="D1698" s="98" t="s">
        <v>759</v>
      </c>
      <c r="E1698" s="98" t="s">
        <v>913</v>
      </c>
      <c r="F1698" s="98" t="s">
        <v>1317</v>
      </c>
      <c r="G1698" s="98" t="s">
        <v>1318</v>
      </c>
    </row>
    <row r="1699" spans="1:7" ht="15" thickBot="1" x14ac:dyDescent="0.4">
      <c r="A1699" s="98">
        <v>2022221227</v>
      </c>
      <c r="B1699" s="101" t="s">
        <v>1917</v>
      </c>
      <c r="C1699" s="98" t="s">
        <v>758</v>
      </c>
      <c r="D1699" s="98" t="s">
        <v>759</v>
      </c>
      <c r="E1699" s="98" t="s">
        <v>911</v>
      </c>
      <c r="F1699" s="98" t="s">
        <v>1317</v>
      </c>
      <c r="G1699" s="98" t="s">
        <v>1318</v>
      </c>
    </row>
    <row r="1700" spans="1:7" ht="15" thickBot="1" x14ac:dyDescent="0.4">
      <c r="A1700" s="98">
        <v>2022221227</v>
      </c>
      <c r="B1700" s="101" t="s">
        <v>1917</v>
      </c>
      <c r="C1700" s="98" t="s">
        <v>758</v>
      </c>
      <c r="D1700" s="98" t="s">
        <v>759</v>
      </c>
      <c r="E1700" s="98" t="s">
        <v>916</v>
      </c>
      <c r="F1700" s="98" t="s">
        <v>1317</v>
      </c>
      <c r="G1700" s="98" t="s">
        <v>1319</v>
      </c>
    </row>
    <row r="1701" spans="1:7" ht="15" thickBot="1" x14ac:dyDescent="0.4">
      <c r="A1701" s="98">
        <v>2022220170</v>
      </c>
      <c r="B1701" s="101" t="s">
        <v>1918</v>
      </c>
      <c r="C1701" s="98" t="s">
        <v>758</v>
      </c>
      <c r="D1701" s="98" t="s">
        <v>759</v>
      </c>
      <c r="E1701" s="98" t="s">
        <v>912</v>
      </c>
      <c r="F1701" s="98" t="s">
        <v>1317</v>
      </c>
      <c r="G1701" s="98" t="s">
        <v>1318</v>
      </c>
    </row>
    <row r="1702" spans="1:7" ht="15" thickBot="1" x14ac:dyDescent="0.4">
      <c r="A1702" s="98">
        <v>2022220170</v>
      </c>
      <c r="B1702" s="101" t="s">
        <v>1918</v>
      </c>
      <c r="C1702" s="98" t="s">
        <v>758</v>
      </c>
      <c r="D1702" s="98" t="s">
        <v>759</v>
      </c>
      <c r="E1702" s="98" t="s">
        <v>914</v>
      </c>
      <c r="F1702" s="98" t="s">
        <v>1317</v>
      </c>
      <c r="G1702" s="98" t="s">
        <v>1318</v>
      </c>
    </row>
    <row r="1703" spans="1:7" ht="15" thickBot="1" x14ac:dyDescent="0.4">
      <c r="A1703" s="98">
        <v>2022220170</v>
      </c>
      <c r="B1703" s="101" t="s">
        <v>1918</v>
      </c>
      <c r="C1703" s="98" t="s">
        <v>758</v>
      </c>
      <c r="D1703" s="98" t="s">
        <v>759</v>
      </c>
      <c r="E1703" s="98" t="s">
        <v>911</v>
      </c>
      <c r="F1703" s="98" t="s">
        <v>1317</v>
      </c>
      <c r="G1703" s="98" t="s">
        <v>1318</v>
      </c>
    </row>
    <row r="1704" spans="1:7" ht="15" thickBot="1" x14ac:dyDescent="0.4">
      <c r="A1704" s="98">
        <v>2022222956</v>
      </c>
      <c r="B1704" s="101" t="s">
        <v>1919</v>
      </c>
      <c r="C1704" s="98" t="s">
        <v>758</v>
      </c>
      <c r="D1704" s="98" t="s">
        <v>759</v>
      </c>
      <c r="E1704" s="98" t="s">
        <v>912</v>
      </c>
      <c r="F1704" s="98" t="s">
        <v>1317</v>
      </c>
      <c r="G1704" s="98" t="s">
        <v>1318</v>
      </c>
    </row>
    <row r="1705" spans="1:7" ht="15" thickBot="1" x14ac:dyDescent="0.4">
      <c r="A1705" s="98">
        <v>2022222956</v>
      </c>
      <c r="B1705" s="101" t="s">
        <v>1919</v>
      </c>
      <c r="C1705" s="98" t="s">
        <v>758</v>
      </c>
      <c r="D1705" s="98" t="s">
        <v>759</v>
      </c>
      <c r="E1705" s="98" t="s">
        <v>911</v>
      </c>
      <c r="F1705" s="98" t="s">
        <v>1317</v>
      </c>
      <c r="G1705" s="98" t="s">
        <v>1318</v>
      </c>
    </row>
    <row r="1706" spans="1:7" ht="15" thickBot="1" x14ac:dyDescent="0.4">
      <c r="A1706" s="98">
        <v>2022222956</v>
      </c>
      <c r="B1706" s="101" t="s">
        <v>1919</v>
      </c>
      <c r="C1706" s="98" t="s">
        <v>758</v>
      </c>
      <c r="D1706" s="98" t="s">
        <v>759</v>
      </c>
      <c r="E1706" s="98" t="s">
        <v>915</v>
      </c>
      <c r="F1706" s="98" t="s">
        <v>1317</v>
      </c>
      <c r="G1706" s="98" t="s">
        <v>1319</v>
      </c>
    </row>
    <row r="1707" spans="1:7" ht="15" thickBot="1" x14ac:dyDescent="0.4">
      <c r="A1707" s="98">
        <v>2022222956</v>
      </c>
      <c r="B1707" s="101" t="s">
        <v>1919</v>
      </c>
      <c r="C1707" s="98" t="s">
        <v>758</v>
      </c>
      <c r="D1707" s="98" t="s">
        <v>759</v>
      </c>
      <c r="E1707" s="98" t="s">
        <v>915</v>
      </c>
      <c r="F1707" s="98" t="s">
        <v>1317</v>
      </c>
      <c r="G1707" s="98" t="s">
        <v>1319</v>
      </c>
    </row>
    <row r="1708" spans="1:7" ht="15" thickBot="1" x14ac:dyDescent="0.4">
      <c r="A1708" s="98">
        <v>2022226027</v>
      </c>
      <c r="B1708" s="101" t="s">
        <v>1920</v>
      </c>
      <c r="C1708" s="98" t="s">
        <v>758</v>
      </c>
      <c r="D1708" s="98" t="s">
        <v>759</v>
      </c>
      <c r="E1708" s="98" t="s">
        <v>914</v>
      </c>
      <c r="F1708" s="98" t="s">
        <v>1317</v>
      </c>
      <c r="G1708" s="98" t="s">
        <v>1318</v>
      </c>
    </row>
    <row r="1709" spans="1:7" ht="15" thickBot="1" x14ac:dyDescent="0.4">
      <c r="A1709" s="98">
        <v>2022226027</v>
      </c>
      <c r="B1709" s="101" t="s">
        <v>1920</v>
      </c>
      <c r="C1709" s="98" t="s">
        <v>758</v>
      </c>
      <c r="D1709" s="98" t="s">
        <v>759</v>
      </c>
      <c r="E1709" s="98" t="s">
        <v>911</v>
      </c>
      <c r="F1709" s="98" t="s">
        <v>1317</v>
      </c>
      <c r="G1709" s="98" t="s">
        <v>1318</v>
      </c>
    </row>
    <row r="1710" spans="1:7" ht="15" thickBot="1" x14ac:dyDescent="0.4">
      <c r="A1710" s="98">
        <v>2022225607</v>
      </c>
      <c r="B1710" s="101" t="s">
        <v>1921</v>
      </c>
      <c r="C1710" s="98" t="s">
        <v>758</v>
      </c>
      <c r="D1710" s="98" t="s">
        <v>759</v>
      </c>
      <c r="E1710" s="98" t="s">
        <v>912</v>
      </c>
      <c r="F1710" s="98" t="s">
        <v>1317</v>
      </c>
      <c r="G1710" s="98" t="s">
        <v>1318</v>
      </c>
    </row>
    <row r="1711" spans="1:7" ht="15" thickBot="1" x14ac:dyDescent="0.4">
      <c r="A1711" s="98">
        <v>2022225607</v>
      </c>
      <c r="B1711" s="101" t="s">
        <v>1921</v>
      </c>
      <c r="C1711" s="98" t="s">
        <v>758</v>
      </c>
      <c r="D1711" s="98" t="s">
        <v>759</v>
      </c>
      <c r="E1711" s="98" t="s">
        <v>911</v>
      </c>
      <c r="F1711" s="98" t="s">
        <v>1317</v>
      </c>
      <c r="G1711" s="98" t="s">
        <v>1318</v>
      </c>
    </row>
    <row r="1712" spans="1:7" ht="15" thickBot="1" x14ac:dyDescent="0.4">
      <c r="A1712" s="98">
        <v>2022225607</v>
      </c>
      <c r="B1712" s="101" t="s">
        <v>1921</v>
      </c>
      <c r="C1712" s="98" t="s">
        <v>758</v>
      </c>
      <c r="D1712" s="98" t="s">
        <v>759</v>
      </c>
      <c r="E1712" s="98" t="s">
        <v>915</v>
      </c>
      <c r="F1712" s="98" t="s">
        <v>1323</v>
      </c>
      <c r="G1712" s="98" t="s">
        <v>1319</v>
      </c>
    </row>
    <row r="1713" spans="1:7" ht="15" thickBot="1" x14ac:dyDescent="0.4">
      <c r="A1713" s="98">
        <v>2022222954</v>
      </c>
      <c r="B1713" s="101" t="s">
        <v>1668</v>
      </c>
      <c r="C1713" s="98" t="s">
        <v>758</v>
      </c>
      <c r="D1713" s="98" t="s">
        <v>759</v>
      </c>
      <c r="E1713" s="98" t="s">
        <v>911</v>
      </c>
      <c r="F1713" s="98" t="s">
        <v>1317</v>
      </c>
      <c r="G1713" s="98" t="s">
        <v>1318</v>
      </c>
    </row>
    <row r="1714" spans="1:7" ht="15" thickBot="1" x14ac:dyDescent="0.4">
      <c r="A1714" s="98">
        <v>2022222954</v>
      </c>
      <c r="B1714" s="101" t="s">
        <v>1668</v>
      </c>
      <c r="C1714" s="98" t="s">
        <v>758</v>
      </c>
      <c r="D1714" s="98" t="s">
        <v>759</v>
      </c>
      <c r="E1714" s="98" t="s">
        <v>915</v>
      </c>
      <c r="F1714" s="98" t="s">
        <v>1323</v>
      </c>
      <c r="G1714" s="98" t="s">
        <v>1319</v>
      </c>
    </row>
    <row r="1715" spans="1:7" ht="15" thickBot="1" x14ac:dyDescent="0.4">
      <c r="A1715" s="98">
        <v>2022220199</v>
      </c>
      <c r="B1715" s="101" t="s">
        <v>1922</v>
      </c>
      <c r="C1715" s="98" t="s">
        <v>758</v>
      </c>
      <c r="D1715" s="98" t="s">
        <v>759</v>
      </c>
      <c r="E1715" s="98" t="s">
        <v>912</v>
      </c>
      <c r="F1715" s="98" t="s">
        <v>1317</v>
      </c>
      <c r="G1715" s="98" t="s">
        <v>1318</v>
      </c>
    </row>
    <row r="1716" spans="1:7" ht="15" thickBot="1" x14ac:dyDescent="0.4">
      <c r="A1716" s="98">
        <v>2022220199</v>
      </c>
      <c r="B1716" s="101" t="s">
        <v>1922</v>
      </c>
      <c r="C1716" s="98" t="s">
        <v>758</v>
      </c>
      <c r="D1716" s="98" t="s">
        <v>759</v>
      </c>
      <c r="E1716" s="98" t="s">
        <v>913</v>
      </c>
      <c r="F1716" s="98" t="s">
        <v>1317</v>
      </c>
      <c r="G1716" s="98" t="s">
        <v>1318</v>
      </c>
    </row>
    <row r="1717" spans="1:7" ht="15" thickBot="1" x14ac:dyDescent="0.4">
      <c r="A1717" s="98">
        <v>2022220199</v>
      </c>
      <c r="B1717" s="101" t="s">
        <v>1922</v>
      </c>
      <c r="C1717" s="98" t="s">
        <v>758</v>
      </c>
      <c r="D1717" s="98" t="s">
        <v>759</v>
      </c>
      <c r="E1717" s="98" t="s">
        <v>913</v>
      </c>
      <c r="F1717" s="98" t="s">
        <v>1317</v>
      </c>
      <c r="G1717" s="98" t="s">
        <v>1318</v>
      </c>
    </row>
    <row r="1718" spans="1:7" ht="15" thickBot="1" x14ac:dyDescent="0.4">
      <c r="A1718" s="98">
        <v>2022220199</v>
      </c>
      <c r="B1718" s="101" t="s">
        <v>1922</v>
      </c>
      <c r="C1718" s="98" t="s">
        <v>758</v>
      </c>
      <c r="D1718" s="98" t="s">
        <v>759</v>
      </c>
      <c r="E1718" s="98" t="s">
        <v>916</v>
      </c>
      <c r="F1718" s="98" t="s">
        <v>1323</v>
      </c>
      <c r="G1718" s="98" t="s">
        <v>1319</v>
      </c>
    </row>
    <row r="1719" spans="1:7" ht="15" thickBot="1" x14ac:dyDescent="0.4">
      <c r="A1719" s="98">
        <v>2022220505</v>
      </c>
      <c r="B1719" s="101" t="s">
        <v>1923</v>
      </c>
      <c r="C1719" s="98" t="s">
        <v>468</v>
      </c>
      <c r="D1719" s="98" t="s">
        <v>759</v>
      </c>
      <c r="E1719" s="98" t="s">
        <v>914</v>
      </c>
      <c r="F1719" s="98" t="s">
        <v>1317</v>
      </c>
      <c r="G1719" s="98" t="s">
        <v>1318</v>
      </c>
    </row>
    <row r="1720" spans="1:7" ht="15" thickBot="1" x14ac:dyDescent="0.4">
      <c r="A1720" s="98">
        <v>2022220504</v>
      </c>
      <c r="B1720" s="101" t="s">
        <v>1923</v>
      </c>
      <c r="C1720" s="98" t="s">
        <v>468</v>
      </c>
      <c r="D1720" s="98" t="s">
        <v>759</v>
      </c>
      <c r="E1720" s="98" t="s">
        <v>914</v>
      </c>
      <c r="F1720" s="98" t="s">
        <v>1317</v>
      </c>
      <c r="G1720" s="98" t="s">
        <v>1318</v>
      </c>
    </row>
    <row r="1721" spans="1:7" ht="15" thickBot="1" x14ac:dyDescent="0.4">
      <c r="A1721" s="98">
        <v>2022220505</v>
      </c>
      <c r="B1721" s="101" t="s">
        <v>1923</v>
      </c>
      <c r="C1721" s="98" t="s">
        <v>468</v>
      </c>
      <c r="D1721" s="98" t="s">
        <v>759</v>
      </c>
      <c r="E1721" s="98" t="s">
        <v>912</v>
      </c>
      <c r="F1721" s="98" t="s">
        <v>1317</v>
      </c>
      <c r="G1721" s="98" t="s">
        <v>1318</v>
      </c>
    </row>
    <row r="1722" spans="1:7" ht="15" thickBot="1" x14ac:dyDescent="0.4">
      <c r="A1722" s="98">
        <v>2022220505</v>
      </c>
      <c r="B1722" s="101" t="s">
        <v>1923</v>
      </c>
      <c r="C1722" s="98" t="s">
        <v>468</v>
      </c>
      <c r="D1722" s="98" t="s">
        <v>759</v>
      </c>
      <c r="E1722" s="98" t="s">
        <v>1387</v>
      </c>
      <c r="F1722" s="98" t="s">
        <v>1323</v>
      </c>
      <c r="G1722" s="98" t="s">
        <v>1319</v>
      </c>
    </row>
    <row r="1723" spans="1:7" ht="15" thickBot="1" x14ac:dyDescent="0.4">
      <c r="A1723" s="98">
        <v>2022220505</v>
      </c>
      <c r="B1723" s="101" t="s">
        <v>1923</v>
      </c>
      <c r="C1723" s="98" t="s">
        <v>468</v>
      </c>
      <c r="D1723" s="98" t="s">
        <v>759</v>
      </c>
      <c r="E1723" s="98" t="s">
        <v>916</v>
      </c>
      <c r="F1723" s="98" t="s">
        <v>1323</v>
      </c>
      <c r="G1723" s="98" t="s">
        <v>1319</v>
      </c>
    </row>
    <row r="1724" spans="1:7" ht="15" thickBot="1" x14ac:dyDescent="0.4">
      <c r="A1724" s="98">
        <v>2022221149</v>
      </c>
      <c r="B1724" s="101" t="s">
        <v>2079</v>
      </c>
      <c r="C1724" s="98" t="s">
        <v>758</v>
      </c>
      <c r="D1724" s="98" t="s">
        <v>759</v>
      </c>
      <c r="E1724" s="98" t="s">
        <v>911</v>
      </c>
      <c r="F1724" s="98" t="s">
        <v>1317</v>
      </c>
      <c r="G1724" s="98" t="s">
        <v>1318</v>
      </c>
    </row>
    <row r="1725" spans="1:7" ht="15" thickBot="1" x14ac:dyDescent="0.4">
      <c r="A1725" s="98">
        <v>2022222838</v>
      </c>
      <c r="B1725" s="101" t="s">
        <v>1924</v>
      </c>
      <c r="C1725" s="98" t="s">
        <v>758</v>
      </c>
      <c r="D1725" s="98" t="s">
        <v>759</v>
      </c>
      <c r="E1725" s="98" t="s">
        <v>915</v>
      </c>
      <c r="F1725" s="98" t="s">
        <v>1323</v>
      </c>
      <c r="G1725" s="98" t="s">
        <v>1319</v>
      </c>
    </row>
    <row r="1726" spans="1:7" ht="15" thickBot="1" x14ac:dyDescent="0.4">
      <c r="A1726" s="98">
        <v>2022222838</v>
      </c>
      <c r="B1726" s="101" t="s">
        <v>1924</v>
      </c>
      <c r="C1726" s="98" t="s">
        <v>758</v>
      </c>
      <c r="D1726" s="98" t="s">
        <v>759</v>
      </c>
      <c r="E1726" s="98" t="s">
        <v>911</v>
      </c>
      <c r="F1726" s="98" t="s">
        <v>1317</v>
      </c>
      <c r="G1726" s="98" t="s">
        <v>1318</v>
      </c>
    </row>
    <row r="1727" spans="1:7" ht="15" thickBot="1" x14ac:dyDescent="0.4">
      <c r="A1727" s="98">
        <v>2022222838</v>
      </c>
      <c r="B1727" s="101" t="s">
        <v>1924</v>
      </c>
      <c r="C1727" s="98" t="s">
        <v>758</v>
      </c>
      <c r="D1727" s="98" t="s">
        <v>759</v>
      </c>
      <c r="E1727" s="98" t="s">
        <v>912</v>
      </c>
      <c r="F1727" s="98" t="s">
        <v>1317</v>
      </c>
      <c r="G1727" s="98" t="s">
        <v>1318</v>
      </c>
    </row>
    <row r="1728" spans="1:7" ht="15" thickBot="1" x14ac:dyDescent="0.4">
      <c r="A1728" s="98">
        <v>2022222221</v>
      </c>
      <c r="B1728" s="101" t="s">
        <v>1925</v>
      </c>
      <c r="C1728" s="98" t="s">
        <v>758</v>
      </c>
      <c r="D1728" s="98" t="s">
        <v>759</v>
      </c>
      <c r="E1728" s="98" t="s">
        <v>912</v>
      </c>
      <c r="F1728" s="98" t="s">
        <v>1317</v>
      </c>
      <c r="G1728" s="98" t="s">
        <v>1318</v>
      </c>
    </row>
    <row r="1729" spans="1:7" ht="15" thickBot="1" x14ac:dyDescent="0.4">
      <c r="A1729" s="98">
        <v>2022222221</v>
      </c>
      <c r="B1729" s="101" t="s">
        <v>1925</v>
      </c>
      <c r="C1729" s="98" t="s">
        <v>758</v>
      </c>
      <c r="D1729" s="98" t="s">
        <v>759</v>
      </c>
      <c r="E1729" s="98" t="s">
        <v>911</v>
      </c>
      <c r="F1729" s="98" t="s">
        <v>1317</v>
      </c>
      <c r="G1729" s="98" t="s">
        <v>1318</v>
      </c>
    </row>
    <row r="1730" spans="1:7" ht="15" thickBot="1" x14ac:dyDescent="0.4">
      <c r="A1730" s="98">
        <v>2022222221</v>
      </c>
      <c r="B1730" s="101" t="s">
        <v>1925</v>
      </c>
      <c r="C1730" s="98" t="s">
        <v>758</v>
      </c>
      <c r="D1730" s="98" t="s">
        <v>759</v>
      </c>
      <c r="E1730" s="98" t="s">
        <v>915</v>
      </c>
      <c r="F1730" s="98" t="s">
        <v>1317</v>
      </c>
      <c r="G1730" s="98" t="s">
        <v>1319</v>
      </c>
    </row>
    <row r="1731" spans="1:7" ht="15" thickBot="1" x14ac:dyDescent="0.4">
      <c r="A1731" s="98">
        <v>2022225891</v>
      </c>
      <c r="B1731" s="101" t="s">
        <v>1926</v>
      </c>
      <c r="C1731" s="98" t="s">
        <v>758</v>
      </c>
      <c r="D1731" s="98" t="s">
        <v>759</v>
      </c>
      <c r="E1731" s="98" t="s">
        <v>911</v>
      </c>
      <c r="F1731" s="98" t="s">
        <v>1317</v>
      </c>
      <c r="G1731" s="98" t="s">
        <v>1318</v>
      </c>
    </row>
    <row r="1732" spans="1:7" ht="15" thickBot="1" x14ac:dyDescent="0.4">
      <c r="A1732" s="98">
        <v>2022225891</v>
      </c>
      <c r="B1732" s="101" t="s">
        <v>1926</v>
      </c>
      <c r="C1732" s="98" t="s">
        <v>758</v>
      </c>
      <c r="D1732" s="98" t="s">
        <v>759</v>
      </c>
      <c r="E1732" s="98" t="s">
        <v>912</v>
      </c>
      <c r="F1732" s="98" t="s">
        <v>1317</v>
      </c>
      <c r="G1732" s="98" t="s">
        <v>1318</v>
      </c>
    </row>
    <row r="1733" spans="1:7" ht="15" thickBot="1" x14ac:dyDescent="0.4">
      <c r="A1733" s="98">
        <v>2022225891</v>
      </c>
      <c r="B1733" s="101" t="s">
        <v>1926</v>
      </c>
      <c r="C1733" s="98" t="s">
        <v>758</v>
      </c>
      <c r="D1733" s="98" t="s">
        <v>759</v>
      </c>
      <c r="E1733" s="98" t="s">
        <v>915</v>
      </c>
      <c r="F1733" s="98" t="s">
        <v>1323</v>
      </c>
      <c r="G1733" s="98" t="s">
        <v>1319</v>
      </c>
    </row>
    <row r="1734" spans="1:7" ht="15" thickBot="1" x14ac:dyDescent="0.4">
      <c r="A1734" s="98">
        <v>2022221841</v>
      </c>
      <c r="B1734" s="101" t="s">
        <v>1927</v>
      </c>
      <c r="C1734" s="98" t="s">
        <v>758</v>
      </c>
      <c r="D1734" s="98" t="s">
        <v>759</v>
      </c>
      <c r="E1734" s="98" t="s">
        <v>911</v>
      </c>
      <c r="F1734" s="98" t="s">
        <v>1317</v>
      </c>
      <c r="G1734" s="98" t="s">
        <v>1318</v>
      </c>
    </row>
    <row r="1735" spans="1:7" ht="15" thickBot="1" x14ac:dyDescent="0.4">
      <c r="A1735" s="98">
        <v>2022224110</v>
      </c>
      <c r="B1735" s="101" t="s">
        <v>1928</v>
      </c>
      <c r="C1735" s="98" t="s">
        <v>758</v>
      </c>
      <c r="D1735" s="98" t="s">
        <v>759</v>
      </c>
      <c r="E1735" s="98" t="s">
        <v>914</v>
      </c>
      <c r="F1735" s="98" t="s">
        <v>1317</v>
      </c>
      <c r="G1735" s="98" t="s">
        <v>1318</v>
      </c>
    </row>
    <row r="1736" spans="1:7" ht="15" thickBot="1" x14ac:dyDescent="0.4">
      <c r="A1736" s="98">
        <v>2022224110</v>
      </c>
      <c r="B1736" s="101" t="s">
        <v>1928</v>
      </c>
      <c r="C1736" s="98" t="s">
        <v>758</v>
      </c>
      <c r="D1736" s="98" t="s">
        <v>759</v>
      </c>
      <c r="E1736" s="98" t="s">
        <v>911</v>
      </c>
      <c r="F1736" s="98" t="s">
        <v>1317</v>
      </c>
      <c r="G1736" s="98" t="s">
        <v>1318</v>
      </c>
    </row>
    <row r="1737" spans="1:7" ht="15" thickBot="1" x14ac:dyDescent="0.4">
      <c r="A1737" s="98">
        <v>2022224110</v>
      </c>
      <c r="B1737" s="101" t="s">
        <v>1928</v>
      </c>
      <c r="C1737" s="98" t="s">
        <v>758</v>
      </c>
      <c r="D1737" s="98" t="s">
        <v>759</v>
      </c>
      <c r="E1737" s="98" t="s">
        <v>1342</v>
      </c>
      <c r="F1737" s="98" t="s">
        <v>1317</v>
      </c>
      <c r="G1737" s="98" t="s">
        <v>1318</v>
      </c>
    </row>
    <row r="1738" spans="1:7" ht="15" thickBot="1" x14ac:dyDescent="0.4">
      <c r="A1738" s="98">
        <v>2022224567</v>
      </c>
      <c r="B1738" s="101" t="s">
        <v>1929</v>
      </c>
      <c r="C1738" s="98" t="s">
        <v>758</v>
      </c>
      <c r="D1738" s="98" t="s">
        <v>759</v>
      </c>
      <c r="E1738" s="98" t="s">
        <v>912</v>
      </c>
      <c r="F1738" s="98" t="s">
        <v>1317</v>
      </c>
      <c r="G1738" s="98" t="s">
        <v>1318</v>
      </c>
    </row>
    <row r="1739" spans="1:7" ht="15" thickBot="1" x14ac:dyDescent="0.4">
      <c r="A1739" s="98">
        <v>2022224567</v>
      </c>
      <c r="B1739" s="101" t="s">
        <v>1929</v>
      </c>
      <c r="C1739" s="98" t="s">
        <v>758</v>
      </c>
      <c r="D1739" s="98" t="s">
        <v>759</v>
      </c>
      <c r="E1739" s="98" t="s">
        <v>911</v>
      </c>
      <c r="F1739" s="98" t="s">
        <v>1317</v>
      </c>
      <c r="G1739" s="98" t="s">
        <v>1318</v>
      </c>
    </row>
    <row r="1740" spans="1:7" ht="15" thickBot="1" x14ac:dyDescent="0.4">
      <c r="A1740" s="98">
        <v>2022224567</v>
      </c>
      <c r="B1740" s="101" t="s">
        <v>1929</v>
      </c>
      <c r="C1740" s="98" t="s">
        <v>758</v>
      </c>
      <c r="D1740" s="98" t="s">
        <v>759</v>
      </c>
      <c r="E1740" s="98" t="s">
        <v>1342</v>
      </c>
      <c r="F1740" s="98" t="s">
        <v>1317</v>
      </c>
      <c r="G1740" s="98" t="s">
        <v>1318</v>
      </c>
    </row>
    <row r="1741" spans="1:7" ht="15" thickBot="1" x14ac:dyDescent="0.4">
      <c r="A1741" s="98">
        <v>2022226039</v>
      </c>
      <c r="B1741" s="101" t="s">
        <v>2080</v>
      </c>
      <c r="C1741" s="98" t="s">
        <v>758</v>
      </c>
      <c r="D1741" s="98" t="s">
        <v>759</v>
      </c>
      <c r="E1741" s="98" t="s">
        <v>915</v>
      </c>
      <c r="F1741" s="98" t="s">
        <v>1317</v>
      </c>
      <c r="G1741" s="98" t="s">
        <v>1319</v>
      </c>
    </row>
    <row r="1742" spans="1:7" ht="15" thickBot="1" x14ac:dyDescent="0.4">
      <c r="A1742" s="98">
        <v>2022226039</v>
      </c>
      <c r="B1742" s="101" t="s">
        <v>1675</v>
      </c>
      <c r="C1742" s="98" t="s">
        <v>758</v>
      </c>
      <c r="D1742" s="98" t="s">
        <v>759</v>
      </c>
      <c r="E1742" s="98" t="s">
        <v>914</v>
      </c>
      <c r="F1742" s="98" t="s">
        <v>1317</v>
      </c>
      <c r="G1742" s="98" t="s">
        <v>1318</v>
      </c>
    </row>
    <row r="1743" spans="1:7" ht="15" thickBot="1" x14ac:dyDescent="0.4">
      <c r="A1743" s="98">
        <v>2022226039</v>
      </c>
      <c r="B1743" s="101" t="s">
        <v>1675</v>
      </c>
      <c r="C1743" s="98" t="s">
        <v>758</v>
      </c>
      <c r="D1743" s="98" t="s">
        <v>759</v>
      </c>
      <c r="E1743" s="98" t="s">
        <v>911</v>
      </c>
      <c r="F1743" s="98" t="s">
        <v>1317</v>
      </c>
      <c r="G1743" s="98" t="s">
        <v>1318</v>
      </c>
    </row>
    <row r="1744" spans="1:7" ht="15" thickBot="1" x14ac:dyDescent="0.4">
      <c r="A1744" s="98">
        <v>2022220619</v>
      </c>
      <c r="B1744" s="101" t="s">
        <v>1930</v>
      </c>
      <c r="C1744" s="98" t="s">
        <v>758</v>
      </c>
      <c r="D1744" s="98" t="s">
        <v>759</v>
      </c>
      <c r="E1744" s="98" t="s">
        <v>915</v>
      </c>
      <c r="F1744" s="98" t="s">
        <v>1323</v>
      </c>
      <c r="G1744" s="98" t="s">
        <v>1319</v>
      </c>
    </row>
    <row r="1745" spans="1:7" ht="15" thickBot="1" x14ac:dyDescent="0.4">
      <c r="A1745" s="98">
        <v>2022220619</v>
      </c>
      <c r="B1745" s="101" t="s">
        <v>1930</v>
      </c>
      <c r="C1745" s="98" t="s">
        <v>758</v>
      </c>
      <c r="D1745" s="98" t="s">
        <v>759</v>
      </c>
      <c r="E1745" s="98" t="s">
        <v>912</v>
      </c>
      <c r="F1745" s="98" t="s">
        <v>1317</v>
      </c>
      <c r="G1745" s="98" t="s">
        <v>1318</v>
      </c>
    </row>
    <row r="1746" spans="1:7" ht="15" thickBot="1" x14ac:dyDescent="0.4">
      <c r="A1746" s="98">
        <v>2022220619</v>
      </c>
      <c r="B1746" s="101" t="s">
        <v>1930</v>
      </c>
      <c r="C1746" s="98" t="s">
        <v>758</v>
      </c>
      <c r="D1746" s="98" t="s">
        <v>759</v>
      </c>
      <c r="E1746" s="98" t="s">
        <v>911</v>
      </c>
      <c r="F1746" s="98" t="s">
        <v>1317</v>
      </c>
      <c r="G1746" s="98" t="s">
        <v>1318</v>
      </c>
    </row>
    <row r="1747" spans="1:7" ht="15" thickBot="1" x14ac:dyDescent="0.4">
      <c r="A1747" s="98">
        <v>2022226088</v>
      </c>
      <c r="B1747" s="101" t="s">
        <v>1931</v>
      </c>
      <c r="C1747" s="98" t="s">
        <v>758</v>
      </c>
      <c r="D1747" s="98" t="s">
        <v>759</v>
      </c>
      <c r="E1747" s="98" t="s">
        <v>912</v>
      </c>
      <c r="F1747" s="98" t="s">
        <v>1317</v>
      </c>
      <c r="G1747" s="98" t="s">
        <v>1318</v>
      </c>
    </row>
    <row r="1748" spans="1:7" ht="15" thickBot="1" x14ac:dyDescent="0.4">
      <c r="A1748" s="98">
        <v>2022226088</v>
      </c>
      <c r="B1748" s="101" t="s">
        <v>1931</v>
      </c>
      <c r="C1748" s="98" t="s">
        <v>758</v>
      </c>
      <c r="D1748" s="98" t="s">
        <v>759</v>
      </c>
      <c r="E1748" s="98" t="s">
        <v>911</v>
      </c>
      <c r="F1748" s="98" t="s">
        <v>1317</v>
      </c>
      <c r="G1748" s="98" t="s">
        <v>1318</v>
      </c>
    </row>
    <row r="1749" spans="1:7" ht="15" thickBot="1" x14ac:dyDescent="0.4">
      <c r="A1749" s="98">
        <v>2022226088</v>
      </c>
      <c r="B1749" s="101" t="s">
        <v>1931</v>
      </c>
      <c r="C1749" s="98" t="s">
        <v>758</v>
      </c>
      <c r="D1749" s="98" t="s">
        <v>759</v>
      </c>
      <c r="E1749" s="98" t="s">
        <v>1342</v>
      </c>
      <c r="F1749" s="98" t="s">
        <v>1317</v>
      </c>
      <c r="G1749" s="98" t="s">
        <v>1318</v>
      </c>
    </row>
    <row r="1750" spans="1:7" ht="15" thickBot="1" x14ac:dyDescent="0.4">
      <c r="A1750" s="98">
        <v>2005222337</v>
      </c>
      <c r="B1750" s="101" t="s">
        <v>1932</v>
      </c>
      <c r="C1750" s="98" t="s">
        <v>546</v>
      </c>
      <c r="D1750" s="98" t="s">
        <v>759</v>
      </c>
      <c r="E1750" s="98" t="s">
        <v>911</v>
      </c>
      <c r="F1750" s="98" t="s">
        <v>1317</v>
      </c>
      <c r="G1750" s="98" t="s">
        <v>1318</v>
      </c>
    </row>
    <row r="1751" spans="1:7" ht="15" thickBot="1" x14ac:dyDescent="0.4">
      <c r="A1751" s="98">
        <v>2022220692</v>
      </c>
      <c r="B1751" s="101" t="s">
        <v>1933</v>
      </c>
      <c r="C1751" s="98" t="s">
        <v>758</v>
      </c>
      <c r="D1751" s="98" t="s">
        <v>759</v>
      </c>
      <c r="E1751" s="98" t="s">
        <v>913</v>
      </c>
      <c r="F1751" s="98" t="s">
        <v>1317</v>
      </c>
      <c r="G1751" s="98" t="s">
        <v>1318</v>
      </c>
    </row>
    <row r="1752" spans="1:7" ht="15" thickBot="1" x14ac:dyDescent="0.4">
      <c r="A1752" s="98">
        <v>2022220692</v>
      </c>
      <c r="B1752" s="101" t="s">
        <v>1933</v>
      </c>
      <c r="C1752" s="98" t="s">
        <v>758</v>
      </c>
      <c r="D1752" s="98" t="s">
        <v>759</v>
      </c>
      <c r="E1752" s="98" t="s">
        <v>911</v>
      </c>
      <c r="F1752" s="98" t="s">
        <v>1317</v>
      </c>
      <c r="G1752" s="98" t="s">
        <v>1318</v>
      </c>
    </row>
    <row r="1753" spans="1:7" ht="15" thickBot="1" x14ac:dyDescent="0.4">
      <c r="A1753" s="98">
        <v>2022221018</v>
      </c>
      <c r="B1753" s="101" t="s">
        <v>1934</v>
      </c>
      <c r="C1753" s="98" t="s">
        <v>758</v>
      </c>
      <c r="D1753" s="98" t="s">
        <v>759</v>
      </c>
      <c r="E1753" s="98" t="s">
        <v>912</v>
      </c>
      <c r="F1753" s="98" t="s">
        <v>1317</v>
      </c>
      <c r="G1753" s="98" t="s">
        <v>1318</v>
      </c>
    </row>
    <row r="1754" spans="1:7" ht="15" thickBot="1" x14ac:dyDescent="0.4">
      <c r="A1754" s="98">
        <v>2022221018</v>
      </c>
      <c r="B1754" s="101" t="s">
        <v>1934</v>
      </c>
      <c r="C1754" s="98" t="s">
        <v>758</v>
      </c>
      <c r="D1754" s="98" t="s">
        <v>759</v>
      </c>
      <c r="E1754" s="98" t="s">
        <v>914</v>
      </c>
      <c r="F1754" s="98" t="s">
        <v>1317</v>
      </c>
      <c r="G1754" s="98" t="s">
        <v>1318</v>
      </c>
    </row>
    <row r="1755" spans="1:7" ht="15" thickBot="1" x14ac:dyDescent="0.4">
      <c r="A1755" s="98">
        <v>2022221018</v>
      </c>
      <c r="B1755" s="101" t="s">
        <v>2077</v>
      </c>
      <c r="C1755" s="98" t="s">
        <v>758</v>
      </c>
      <c r="D1755" s="98" t="s">
        <v>759</v>
      </c>
      <c r="E1755" s="98" t="s">
        <v>911</v>
      </c>
      <c r="F1755" s="98" t="s">
        <v>1317</v>
      </c>
      <c r="G1755" s="98" t="s">
        <v>1318</v>
      </c>
    </row>
    <row r="1756" spans="1:7" ht="15" thickBot="1" x14ac:dyDescent="0.4">
      <c r="A1756" s="98">
        <v>2022221801</v>
      </c>
      <c r="B1756" s="101" t="s">
        <v>1935</v>
      </c>
      <c r="C1756" s="98" t="s">
        <v>758</v>
      </c>
      <c r="D1756" s="98" t="s">
        <v>759</v>
      </c>
      <c r="E1756" s="98" t="s">
        <v>912</v>
      </c>
      <c r="F1756" s="98" t="s">
        <v>1317</v>
      </c>
      <c r="G1756" s="98" t="s">
        <v>1318</v>
      </c>
    </row>
    <row r="1757" spans="1:7" ht="15" thickBot="1" x14ac:dyDescent="0.4">
      <c r="A1757" s="98">
        <v>2022221801</v>
      </c>
      <c r="B1757" s="101" t="s">
        <v>1935</v>
      </c>
      <c r="C1757" s="98" t="s">
        <v>758</v>
      </c>
      <c r="D1757" s="98" t="s">
        <v>759</v>
      </c>
      <c r="E1757" s="98" t="s">
        <v>914</v>
      </c>
      <c r="F1757" s="98" t="s">
        <v>1317</v>
      </c>
      <c r="G1757" s="98" t="s">
        <v>1318</v>
      </c>
    </row>
    <row r="1758" spans="1:7" ht="15" thickBot="1" x14ac:dyDescent="0.4">
      <c r="A1758" s="98">
        <v>2022221801</v>
      </c>
      <c r="B1758" s="101" t="s">
        <v>1935</v>
      </c>
      <c r="C1758" s="98" t="s">
        <v>758</v>
      </c>
      <c r="D1758" s="98" t="s">
        <v>759</v>
      </c>
      <c r="E1758" s="98" t="s">
        <v>914</v>
      </c>
      <c r="F1758" s="98" t="s">
        <v>1317</v>
      </c>
      <c r="G1758" s="98" t="s">
        <v>1318</v>
      </c>
    </row>
    <row r="1759" spans="1:7" ht="15" thickBot="1" x14ac:dyDescent="0.4">
      <c r="A1759" s="98">
        <v>2022221801</v>
      </c>
      <c r="B1759" s="101" t="s">
        <v>1935</v>
      </c>
      <c r="C1759" s="98" t="s">
        <v>758</v>
      </c>
      <c r="D1759" s="98" t="s">
        <v>759</v>
      </c>
      <c r="E1759" s="98" t="s">
        <v>911</v>
      </c>
      <c r="F1759" s="98" t="s">
        <v>1317</v>
      </c>
      <c r="G1759" s="98" t="s">
        <v>1318</v>
      </c>
    </row>
    <row r="1760" spans="1:7" ht="15" thickBot="1" x14ac:dyDescent="0.4">
      <c r="A1760" s="98">
        <v>2022221801</v>
      </c>
      <c r="B1760" s="101" t="s">
        <v>1935</v>
      </c>
      <c r="C1760" s="98" t="s">
        <v>758</v>
      </c>
      <c r="D1760" s="98" t="s">
        <v>759</v>
      </c>
      <c r="E1760" s="98" t="s">
        <v>914</v>
      </c>
      <c r="F1760" s="98" t="s">
        <v>1317</v>
      </c>
      <c r="G1760" s="98" t="s">
        <v>1318</v>
      </c>
    </row>
    <row r="1761" spans="1:7" ht="15" thickBot="1" x14ac:dyDescent="0.4">
      <c r="A1761" s="98">
        <v>2022225134</v>
      </c>
      <c r="B1761" s="101" t="s">
        <v>1936</v>
      </c>
      <c r="C1761" s="98" t="s">
        <v>758</v>
      </c>
      <c r="D1761" s="98" t="s">
        <v>759</v>
      </c>
      <c r="E1761" s="98" t="s">
        <v>912</v>
      </c>
      <c r="F1761" s="98" t="s">
        <v>1317</v>
      </c>
      <c r="G1761" s="98" t="s">
        <v>1318</v>
      </c>
    </row>
    <row r="1762" spans="1:7" ht="15" thickBot="1" x14ac:dyDescent="0.4">
      <c r="A1762" s="98">
        <v>2022225134</v>
      </c>
      <c r="B1762" s="101" t="s">
        <v>1936</v>
      </c>
      <c r="C1762" s="98" t="s">
        <v>758</v>
      </c>
      <c r="D1762" s="98" t="s">
        <v>759</v>
      </c>
      <c r="E1762" s="98" t="s">
        <v>911</v>
      </c>
      <c r="F1762" s="98" t="s">
        <v>1317</v>
      </c>
      <c r="G1762" s="98" t="s">
        <v>1318</v>
      </c>
    </row>
    <row r="1763" spans="1:7" ht="15" thickBot="1" x14ac:dyDescent="0.4">
      <c r="A1763" s="98">
        <v>2022225134</v>
      </c>
      <c r="B1763" s="101" t="s">
        <v>1936</v>
      </c>
      <c r="C1763" s="98" t="s">
        <v>758</v>
      </c>
      <c r="D1763" s="98" t="s">
        <v>759</v>
      </c>
      <c r="E1763" s="98" t="s">
        <v>915</v>
      </c>
      <c r="F1763" s="98" t="s">
        <v>1323</v>
      </c>
      <c r="G1763" s="98" t="s">
        <v>1319</v>
      </c>
    </row>
    <row r="1764" spans="1:7" ht="15" thickBot="1" x14ac:dyDescent="0.4">
      <c r="A1764" s="98">
        <v>2022226018</v>
      </c>
      <c r="B1764" s="101" t="s">
        <v>1937</v>
      </c>
      <c r="C1764" s="98" t="s">
        <v>758</v>
      </c>
      <c r="D1764" s="98" t="s">
        <v>759</v>
      </c>
      <c r="E1764" s="98" t="s">
        <v>912</v>
      </c>
      <c r="F1764" s="98" t="s">
        <v>1317</v>
      </c>
      <c r="G1764" s="98" t="s">
        <v>1318</v>
      </c>
    </row>
    <row r="1765" spans="1:7" ht="15" thickBot="1" x14ac:dyDescent="0.4">
      <c r="A1765" s="98">
        <v>2022226018</v>
      </c>
      <c r="B1765" s="101" t="s">
        <v>1937</v>
      </c>
      <c r="C1765" s="98" t="s">
        <v>758</v>
      </c>
      <c r="D1765" s="98" t="s">
        <v>759</v>
      </c>
      <c r="E1765" s="98" t="s">
        <v>911</v>
      </c>
      <c r="F1765" s="98" t="s">
        <v>1317</v>
      </c>
      <c r="G1765" s="98" t="s">
        <v>1318</v>
      </c>
    </row>
    <row r="1766" spans="1:7" ht="15" thickBot="1" x14ac:dyDescent="0.4">
      <c r="A1766" s="98">
        <v>2022226018</v>
      </c>
      <c r="B1766" s="101" t="s">
        <v>1937</v>
      </c>
      <c r="C1766" s="98" t="s">
        <v>758</v>
      </c>
      <c r="D1766" s="98" t="s">
        <v>759</v>
      </c>
      <c r="E1766" s="98" t="s">
        <v>915</v>
      </c>
      <c r="F1766" s="98" t="s">
        <v>1317</v>
      </c>
      <c r="G1766" s="98" t="s">
        <v>1319</v>
      </c>
    </row>
    <row r="1767" spans="1:7" ht="15" thickBot="1" x14ac:dyDescent="0.4">
      <c r="A1767" s="98">
        <v>2022226018</v>
      </c>
      <c r="B1767" s="101" t="s">
        <v>1937</v>
      </c>
      <c r="C1767" s="98" t="s">
        <v>758</v>
      </c>
      <c r="D1767" s="98" t="s">
        <v>759</v>
      </c>
      <c r="E1767" s="98" t="s">
        <v>915</v>
      </c>
      <c r="F1767" s="98" t="s">
        <v>1323</v>
      </c>
      <c r="G1767" s="98" t="s">
        <v>1319</v>
      </c>
    </row>
    <row r="1768" spans="1:7" ht="15" thickBot="1" x14ac:dyDescent="0.4">
      <c r="A1768" s="98">
        <v>2022222474</v>
      </c>
      <c r="B1768" s="101" t="s">
        <v>1938</v>
      </c>
      <c r="C1768" s="98" t="s">
        <v>758</v>
      </c>
      <c r="D1768" s="98" t="s">
        <v>759</v>
      </c>
      <c r="E1768" s="98" t="s">
        <v>912</v>
      </c>
      <c r="F1768" s="98" t="s">
        <v>1317</v>
      </c>
      <c r="G1768" s="98" t="s">
        <v>1318</v>
      </c>
    </row>
    <row r="1769" spans="1:7" ht="15" thickBot="1" x14ac:dyDescent="0.4">
      <c r="A1769" s="98">
        <v>2022222474</v>
      </c>
      <c r="B1769" s="101" t="s">
        <v>1938</v>
      </c>
      <c r="C1769" s="98" t="s">
        <v>758</v>
      </c>
      <c r="D1769" s="98" t="s">
        <v>759</v>
      </c>
      <c r="E1769" s="98" t="s">
        <v>911</v>
      </c>
      <c r="F1769" s="98" t="s">
        <v>1317</v>
      </c>
      <c r="G1769" s="98" t="s">
        <v>1318</v>
      </c>
    </row>
    <row r="1770" spans="1:7" ht="15" thickBot="1" x14ac:dyDescent="0.4">
      <c r="A1770" s="98">
        <v>2022222474</v>
      </c>
      <c r="B1770" s="101" t="s">
        <v>1938</v>
      </c>
      <c r="C1770" s="98" t="s">
        <v>758</v>
      </c>
      <c r="D1770" s="98" t="s">
        <v>759</v>
      </c>
      <c r="E1770" s="98" t="s">
        <v>1342</v>
      </c>
      <c r="F1770" s="98" t="s">
        <v>1317</v>
      </c>
      <c r="G1770" s="98" t="s">
        <v>1318</v>
      </c>
    </row>
    <row r="1771" spans="1:7" ht="15" thickBot="1" x14ac:dyDescent="0.4">
      <c r="A1771" s="98">
        <v>2022220182</v>
      </c>
      <c r="B1771" s="101" t="s">
        <v>1939</v>
      </c>
      <c r="C1771" s="98" t="s">
        <v>758</v>
      </c>
      <c r="D1771" s="98" t="s">
        <v>759</v>
      </c>
      <c r="E1771" s="98" t="s">
        <v>912</v>
      </c>
      <c r="F1771" s="98" t="s">
        <v>1317</v>
      </c>
      <c r="G1771" s="98" t="s">
        <v>1318</v>
      </c>
    </row>
    <row r="1772" spans="1:7" ht="15" thickBot="1" x14ac:dyDescent="0.4">
      <c r="A1772" s="98">
        <v>2022220182</v>
      </c>
      <c r="B1772" s="101" t="s">
        <v>1939</v>
      </c>
      <c r="C1772" s="98" t="s">
        <v>758</v>
      </c>
      <c r="D1772" s="98" t="s">
        <v>759</v>
      </c>
      <c r="E1772" s="98" t="s">
        <v>914</v>
      </c>
      <c r="F1772" s="98" t="s">
        <v>1317</v>
      </c>
      <c r="G1772" s="98" t="s">
        <v>1318</v>
      </c>
    </row>
    <row r="1773" spans="1:7" ht="15" thickBot="1" x14ac:dyDescent="0.4">
      <c r="A1773" s="98">
        <v>2022220182</v>
      </c>
      <c r="B1773" s="101" t="s">
        <v>1939</v>
      </c>
      <c r="C1773" s="98" t="s">
        <v>758</v>
      </c>
      <c r="D1773" s="98" t="s">
        <v>759</v>
      </c>
      <c r="E1773" s="98" t="s">
        <v>911</v>
      </c>
      <c r="F1773" s="98" t="s">
        <v>1317</v>
      </c>
      <c r="G1773" s="98" t="s">
        <v>1318</v>
      </c>
    </row>
    <row r="1774" spans="1:7" ht="15" thickBot="1" x14ac:dyDescent="0.4">
      <c r="A1774" s="98">
        <v>2022225798</v>
      </c>
      <c r="B1774" s="101" t="s">
        <v>2067</v>
      </c>
      <c r="C1774" s="98" t="s">
        <v>758</v>
      </c>
      <c r="D1774" s="98" t="s">
        <v>759</v>
      </c>
      <c r="E1774" s="98" t="s">
        <v>912</v>
      </c>
      <c r="F1774" s="98" t="s">
        <v>1317</v>
      </c>
      <c r="G1774" s="98" t="s">
        <v>1318</v>
      </c>
    </row>
    <row r="1775" spans="1:7" ht="15" thickBot="1" x14ac:dyDescent="0.4">
      <c r="A1775" s="98">
        <v>2022225798</v>
      </c>
      <c r="B1775" s="101" t="s">
        <v>2067</v>
      </c>
      <c r="C1775" s="98" t="s">
        <v>758</v>
      </c>
      <c r="D1775" s="98" t="s">
        <v>759</v>
      </c>
      <c r="E1775" s="98" t="s">
        <v>911</v>
      </c>
      <c r="F1775" s="98" t="s">
        <v>1317</v>
      </c>
      <c r="G1775" s="98" t="s">
        <v>1318</v>
      </c>
    </row>
    <row r="1776" spans="1:7" ht="15" thickBot="1" x14ac:dyDescent="0.4">
      <c r="A1776" s="98">
        <v>2005221228</v>
      </c>
      <c r="B1776" s="101" t="s">
        <v>1940</v>
      </c>
      <c r="C1776" s="98" t="s">
        <v>1941</v>
      </c>
      <c r="D1776" s="98" t="s">
        <v>835</v>
      </c>
      <c r="E1776" s="98" t="s">
        <v>2086</v>
      </c>
      <c r="F1776" s="98" t="s">
        <v>1317</v>
      </c>
      <c r="G1776" s="98" t="s">
        <v>1318</v>
      </c>
    </row>
    <row r="1777" spans="1:7" ht="15" thickBot="1" x14ac:dyDescent="0.4">
      <c r="A1777" s="98">
        <v>2005221228</v>
      </c>
      <c r="B1777" s="101" t="s">
        <v>1942</v>
      </c>
      <c r="C1777" s="98" t="s">
        <v>1941</v>
      </c>
      <c r="D1777" s="98" t="s">
        <v>835</v>
      </c>
      <c r="E1777" s="98" t="s">
        <v>912</v>
      </c>
      <c r="F1777" s="98" t="s">
        <v>1317</v>
      </c>
      <c r="G1777" s="98" t="s">
        <v>1318</v>
      </c>
    </row>
    <row r="1778" spans="1:7" ht="15" thickBot="1" x14ac:dyDescent="0.4">
      <c r="A1778" s="98">
        <v>2044220311</v>
      </c>
      <c r="B1778" s="101" t="s">
        <v>1943</v>
      </c>
      <c r="C1778" s="98" t="s">
        <v>546</v>
      </c>
      <c r="D1778" s="98" t="s">
        <v>835</v>
      </c>
      <c r="E1778" s="98" t="s">
        <v>1395</v>
      </c>
      <c r="F1778" s="98" t="s">
        <v>1317</v>
      </c>
      <c r="G1778" s="98" t="s">
        <v>1318</v>
      </c>
    </row>
    <row r="1779" spans="1:7" ht="15" thickBot="1" x14ac:dyDescent="0.4">
      <c r="A1779" s="98">
        <v>2044220311</v>
      </c>
      <c r="B1779" s="101" t="s">
        <v>1943</v>
      </c>
      <c r="C1779" s="98" t="s">
        <v>546</v>
      </c>
      <c r="D1779" s="98" t="s">
        <v>835</v>
      </c>
      <c r="E1779" s="98" t="s">
        <v>912</v>
      </c>
      <c r="F1779" s="98" t="s">
        <v>1317</v>
      </c>
      <c r="G1779" s="98" t="s">
        <v>1318</v>
      </c>
    </row>
    <row r="1780" spans="1:7" ht="15" thickBot="1" x14ac:dyDescent="0.4">
      <c r="A1780" s="98">
        <v>2044220311</v>
      </c>
      <c r="B1780" s="101" t="s">
        <v>1943</v>
      </c>
      <c r="C1780" s="98" t="s">
        <v>546</v>
      </c>
      <c r="D1780" s="98" t="s">
        <v>835</v>
      </c>
      <c r="E1780" s="98" t="s">
        <v>915</v>
      </c>
      <c r="F1780" s="98" t="s">
        <v>1323</v>
      </c>
      <c r="G1780" s="98" t="s">
        <v>1319</v>
      </c>
    </row>
    <row r="1781" spans="1:7" ht="15" thickBot="1" x14ac:dyDescent="0.4">
      <c r="A1781" s="98">
        <v>2005223102</v>
      </c>
      <c r="B1781" s="101" t="s">
        <v>1944</v>
      </c>
      <c r="C1781" s="98" t="s">
        <v>1941</v>
      </c>
      <c r="D1781" s="98" t="s">
        <v>835</v>
      </c>
      <c r="E1781" s="98" t="s">
        <v>911</v>
      </c>
      <c r="F1781" s="98" t="s">
        <v>1317</v>
      </c>
      <c r="G1781" s="98" t="s">
        <v>1318</v>
      </c>
    </row>
    <row r="1782" spans="1:7" ht="15" thickBot="1" x14ac:dyDescent="0.4">
      <c r="A1782" s="98">
        <v>2005223102</v>
      </c>
      <c r="B1782" s="101" t="s">
        <v>1944</v>
      </c>
      <c r="C1782" s="98" t="s">
        <v>1941</v>
      </c>
      <c r="D1782" s="98" t="s">
        <v>835</v>
      </c>
      <c r="E1782" s="98" t="s">
        <v>912</v>
      </c>
      <c r="F1782" s="98" t="s">
        <v>1317</v>
      </c>
      <c r="G1782" s="98" t="s">
        <v>1318</v>
      </c>
    </row>
    <row r="1783" spans="1:7" ht="15" thickBot="1" x14ac:dyDescent="0.4">
      <c r="A1783" s="98">
        <v>2005223102</v>
      </c>
      <c r="B1783" s="101" t="s">
        <v>1944</v>
      </c>
      <c r="C1783" s="98" t="s">
        <v>1941</v>
      </c>
      <c r="D1783" s="98" t="s">
        <v>835</v>
      </c>
      <c r="E1783" s="98" t="s">
        <v>913</v>
      </c>
      <c r="F1783" s="98" t="s">
        <v>1317</v>
      </c>
      <c r="G1783" s="98" t="s">
        <v>1318</v>
      </c>
    </row>
    <row r="1784" spans="1:7" ht="15" thickBot="1" x14ac:dyDescent="0.4">
      <c r="A1784" s="98">
        <v>2005223102</v>
      </c>
      <c r="B1784" s="101" t="s">
        <v>1944</v>
      </c>
      <c r="C1784" s="98" t="s">
        <v>1941</v>
      </c>
      <c r="D1784" s="98" t="s">
        <v>835</v>
      </c>
      <c r="E1784" s="98" t="s">
        <v>1342</v>
      </c>
      <c r="F1784" s="98" t="s">
        <v>1317</v>
      </c>
      <c r="G1784" s="98" t="s">
        <v>1318</v>
      </c>
    </row>
    <row r="1785" spans="1:7" ht="15" thickBot="1" x14ac:dyDescent="0.4">
      <c r="A1785" s="98">
        <v>2005222686</v>
      </c>
      <c r="B1785" s="101" t="s">
        <v>1945</v>
      </c>
      <c r="C1785" s="98" t="s">
        <v>546</v>
      </c>
      <c r="D1785" s="98" t="s">
        <v>835</v>
      </c>
      <c r="E1785" s="98" t="s">
        <v>911</v>
      </c>
      <c r="F1785" s="98" t="s">
        <v>1317</v>
      </c>
      <c r="G1785" s="98" t="s">
        <v>1318</v>
      </c>
    </row>
    <row r="1786" spans="1:7" ht="15" thickBot="1" x14ac:dyDescent="0.4">
      <c r="A1786" s="98">
        <v>2005222686</v>
      </c>
      <c r="B1786" s="101" t="s">
        <v>1945</v>
      </c>
      <c r="C1786" s="98" t="s">
        <v>546</v>
      </c>
      <c r="D1786" s="98" t="s">
        <v>835</v>
      </c>
      <c r="E1786" s="98" t="s">
        <v>914</v>
      </c>
      <c r="F1786" s="98" t="s">
        <v>1317</v>
      </c>
      <c r="G1786" s="98" t="s">
        <v>1318</v>
      </c>
    </row>
    <row r="1787" spans="1:7" ht="15" thickBot="1" x14ac:dyDescent="0.4">
      <c r="A1787" s="98">
        <v>2005222686</v>
      </c>
      <c r="B1787" s="101" t="s">
        <v>1945</v>
      </c>
      <c r="C1787" s="98" t="s">
        <v>546</v>
      </c>
      <c r="D1787" s="98" t="s">
        <v>835</v>
      </c>
      <c r="E1787" s="98" t="s">
        <v>915</v>
      </c>
      <c r="F1787" s="98" t="s">
        <v>1323</v>
      </c>
      <c r="G1787" s="98" t="s">
        <v>1319</v>
      </c>
    </row>
    <row r="1788" spans="1:7" ht="15" thickBot="1" x14ac:dyDescent="0.4">
      <c r="A1788" s="98">
        <v>2005220657</v>
      </c>
      <c r="B1788" s="101" t="s">
        <v>1694</v>
      </c>
      <c r="C1788" s="98" t="s">
        <v>546</v>
      </c>
      <c r="D1788" s="98" t="s">
        <v>835</v>
      </c>
      <c r="E1788" s="98" t="s">
        <v>911</v>
      </c>
      <c r="F1788" s="98" t="s">
        <v>1317</v>
      </c>
      <c r="G1788" s="98" t="s">
        <v>1318</v>
      </c>
    </row>
    <row r="1789" spans="1:7" ht="15" thickBot="1" x14ac:dyDescent="0.4">
      <c r="A1789" s="98">
        <v>2005220657</v>
      </c>
      <c r="B1789" s="101" t="s">
        <v>1694</v>
      </c>
      <c r="C1789" s="98" t="s">
        <v>546</v>
      </c>
      <c r="D1789" s="98" t="s">
        <v>835</v>
      </c>
      <c r="E1789" s="98" t="s">
        <v>912</v>
      </c>
      <c r="F1789" s="98" t="s">
        <v>1317</v>
      </c>
      <c r="G1789" s="98" t="s">
        <v>1318</v>
      </c>
    </row>
    <row r="1790" spans="1:7" ht="15" thickBot="1" x14ac:dyDescent="0.4">
      <c r="A1790" s="98">
        <v>2005220657</v>
      </c>
      <c r="B1790" s="101" t="s">
        <v>1694</v>
      </c>
      <c r="C1790" s="98" t="s">
        <v>546</v>
      </c>
      <c r="D1790" s="98" t="s">
        <v>835</v>
      </c>
      <c r="E1790" s="98" t="s">
        <v>915</v>
      </c>
      <c r="F1790" s="98" t="s">
        <v>1317</v>
      </c>
      <c r="G1790" s="98" t="s">
        <v>1319</v>
      </c>
    </row>
    <row r="1791" spans="1:7" ht="15" thickBot="1" x14ac:dyDescent="0.4">
      <c r="A1791" s="98">
        <v>2005220783</v>
      </c>
      <c r="B1791" s="101" t="s">
        <v>1946</v>
      </c>
      <c r="C1791" s="98" t="s">
        <v>546</v>
      </c>
      <c r="D1791" s="98" t="s">
        <v>835</v>
      </c>
      <c r="E1791" s="98" t="s">
        <v>912</v>
      </c>
      <c r="F1791" s="98" t="s">
        <v>1317</v>
      </c>
      <c r="G1791" s="98" t="s">
        <v>1318</v>
      </c>
    </row>
    <row r="1792" spans="1:7" ht="15" thickBot="1" x14ac:dyDescent="0.4">
      <c r="A1792" s="98">
        <v>2022231678</v>
      </c>
      <c r="B1792" s="101" t="s">
        <v>1947</v>
      </c>
      <c r="C1792" s="98" t="s">
        <v>1948</v>
      </c>
      <c r="D1792" s="98" t="s">
        <v>835</v>
      </c>
      <c r="E1792" s="98" t="s">
        <v>2086</v>
      </c>
      <c r="F1792" s="98" t="s">
        <v>1317</v>
      </c>
      <c r="G1792" s="98" t="s">
        <v>1318</v>
      </c>
    </row>
    <row r="1793" spans="1:7" ht="15" thickBot="1" x14ac:dyDescent="0.4">
      <c r="A1793" s="98">
        <v>2005223426</v>
      </c>
      <c r="B1793" s="101" t="s">
        <v>1949</v>
      </c>
      <c r="C1793" s="98" t="s">
        <v>546</v>
      </c>
      <c r="D1793" s="98" t="s">
        <v>835</v>
      </c>
      <c r="E1793" s="98" t="s">
        <v>911</v>
      </c>
      <c r="F1793" s="98" t="s">
        <v>1317</v>
      </c>
      <c r="G1793" s="98" t="s">
        <v>1318</v>
      </c>
    </row>
    <row r="1794" spans="1:7" ht="15" thickBot="1" x14ac:dyDescent="0.4">
      <c r="A1794" s="98">
        <v>2005223426</v>
      </c>
      <c r="B1794" s="101" t="s">
        <v>1949</v>
      </c>
      <c r="C1794" s="98" t="s">
        <v>546</v>
      </c>
      <c r="D1794" s="98" t="s">
        <v>835</v>
      </c>
      <c r="E1794" s="98" t="s">
        <v>912</v>
      </c>
      <c r="F1794" s="98" t="s">
        <v>1317</v>
      </c>
      <c r="G1794" s="98" t="s">
        <v>1318</v>
      </c>
    </row>
    <row r="1795" spans="1:7" ht="15" thickBot="1" x14ac:dyDescent="0.4">
      <c r="A1795" s="98">
        <v>2005223426</v>
      </c>
      <c r="B1795" s="101" t="s">
        <v>1949</v>
      </c>
      <c r="C1795" s="98" t="s">
        <v>546</v>
      </c>
      <c r="D1795" s="98" t="s">
        <v>835</v>
      </c>
      <c r="E1795" s="98" t="s">
        <v>1342</v>
      </c>
      <c r="F1795" s="98" t="s">
        <v>1317</v>
      </c>
      <c r="G1795" s="98" t="s">
        <v>1318</v>
      </c>
    </row>
    <row r="1796" spans="1:7" ht="15" thickBot="1" x14ac:dyDescent="0.4">
      <c r="A1796" s="98">
        <v>2005223850</v>
      </c>
      <c r="B1796" s="101" t="s">
        <v>1950</v>
      </c>
      <c r="C1796" s="98" t="s">
        <v>1941</v>
      </c>
      <c r="D1796" s="98" t="s">
        <v>835</v>
      </c>
      <c r="E1796" s="98" t="s">
        <v>911</v>
      </c>
      <c r="F1796" s="98" t="s">
        <v>1317</v>
      </c>
      <c r="G1796" s="98" t="s">
        <v>1318</v>
      </c>
    </row>
    <row r="1797" spans="1:7" ht="15" thickBot="1" x14ac:dyDescent="0.4">
      <c r="A1797" s="98">
        <v>2005223850</v>
      </c>
      <c r="B1797" s="101" t="s">
        <v>1950</v>
      </c>
      <c r="C1797" s="98" t="s">
        <v>1941</v>
      </c>
      <c r="D1797" s="98" t="s">
        <v>835</v>
      </c>
      <c r="E1797" s="98" t="s">
        <v>912</v>
      </c>
      <c r="F1797" s="98" t="s">
        <v>1317</v>
      </c>
      <c r="G1797" s="98" t="s">
        <v>1318</v>
      </c>
    </row>
    <row r="1798" spans="1:7" ht="15" thickBot="1" x14ac:dyDescent="0.4">
      <c r="A1798" s="98">
        <v>2005223850</v>
      </c>
      <c r="B1798" s="101" t="s">
        <v>1950</v>
      </c>
      <c r="C1798" s="98" t="s">
        <v>1941</v>
      </c>
      <c r="D1798" s="98" t="s">
        <v>835</v>
      </c>
      <c r="E1798" s="98" t="s">
        <v>913</v>
      </c>
      <c r="F1798" s="98" t="s">
        <v>1317</v>
      </c>
      <c r="G1798" s="98" t="s">
        <v>1318</v>
      </c>
    </row>
    <row r="1799" spans="1:7" ht="15" thickBot="1" x14ac:dyDescent="0.4">
      <c r="A1799" s="98">
        <v>2041224411</v>
      </c>
      <c r="B1799" s="101" t="s">
        <v>1951</v>
      </c>
      <c r="C1799" s="98" t="s">
        <v>1941</v>
      </c>
      <c r="D1799" s="98" t="s">
        <v>835</v>
      </c>
      <c r="E1799" s="98" t="s">
        <v>911</v>
      </c>
      <c r="F1799" s="98" t="s">
        <v>1317</v>
      </c>
      <c r="G1799" s="98" t="s">
        <v>1318</v>
      </c>
    </row>
    <row r="1800" spans="1:7" ht="15" thickBot="1" x14ac:dyDescent="0.4">
      <c r="A1800" s="98">
        <v>2041224411</v>
      </c>
      <c r="B1800" s="101" t="s">
        <v>1951</v>
      </c>
      <c r="C1800" s="98" t="s">
        <v>1941</v>
      </c>
      <c r="D1800" s="98" t="s">
        <v>835</v>
      </c>
      <c r="E1800" s="98" t="s">
        <v>912</v>
      </c>
      <c r="F1800" s="98" t="s">
        <v>1317</v>
      </c>
      <c r="G1800" s="98" t="s">
        <v>1319</v>
      </c>
    </row>
    <row r="1801" spans="1:7" ht="15" thickBot="1" x14ac:dyDescent="0.4">
      <c r="A1801" s="98">
        <v>2041224411</v>
      </c>
      <c r="B1801" s="101" t="s">
        <v>1951</v>
      </c>
      <c r="C1801" s="98" t="s">
        <v>1941</v>
      </c>
      <c r="D1801" s="98" t="s">
        <v>835</v>
      </c>
      <c r="E1801" s="98" t="s">
        <v>915</v>
      </c>
      <c r="F1801" s="98" t="s">
        <v>1323</v>
      </c>
      <c r="G1801" s="98" t="s">
        <v>1319</v>
      </c>
    </row>
    <row r="1802" spans="1:7" ht="15" thickBot="1" x14ac:dyDescent="0.4">
      <c r="A1802" s="98">
        <v>2005220952</v>
      </c>
      <c r="B1802" s="101" t="s">
        <v>1952</v>
      </c>
      <c r="C1802" s="98" t="s">
        <v>546</v>
      </c>
      <c r="D1802" s="98" t="s">
        <v>835</v>
      </c>
      <c r="E1802" s="98" t="s">
        <v>912</v>
      </c>
      <c r="F1802" s="98" t="s">
        <v>1317</v>
      </c>
      <c r="G1802" s="98" t="s">
        <v>1318</v>
      </c>
    </row>
    <row r="1803" spans="1:7" ht="15" thickBot="1" x14ac:dyDescent="0.4">
      <c r="A1803" s="98">
        <v>2005220952</v>
      </c>
      <c r="B1803" s="101" t="s">
        <v>1952</v>
      </c>
      <c r="C1803" s="98" t="s">
        <v>546</v>
      </c>
      <c r="D1803" s="98" t="s">
        <v>835</v>
      </c>
      <c r="E1803" s="98" t="s">
        <v>911</v>
      </c>
      <c r="F1803" s="98" t="s">
        <v>1317</v>
      </c>
      <c r="G1803" s="98" t="s">
        <v>1318</v>
      </c>
    </row>
    <row r="1804" spans="1:7" ht="15" thickBot="1" x14ac:dyDescent="0.4">
      <c r="A1804" s="98">
        <v>2005220952</v>
      </c>
      <c r="B1804" s="101" t="s">
        <v>1952</v>
      </c>
      <c r="C1804" s="98" t="s">
        <v>546</v>
      </c>
      <c r="D1804" s="98" t="s">
        <v>835</v>
      </c>
      <c r="E1804" s="98" t="s">
        <v>1342</v>
      </c>
      <c r="F1804" s="98" t="s">
        <v>1317</v>
      </c>
      <c r="G1804" s="98" t="s">
        <v>1318</v>
      </c>
    </row>
    <row r="1805" spans="1:7" ht="15" thickBot="1" x14ac:dyDescent="0.4">
      <c r="A1805" s="98">
        <v>2005224590</v>
      </c>
      <c r="B1805" s="101" t="s">
        <v>1953</v>
      </c>
      <c r="C1805" s="98" t="s">
        <v>1941</v>
      </c>
      <c r="D1805" s="98" t="s">
        <v>835</v>
      </c>
      <c r="E1805" s="98" t="s">
        <v>911</v>
      </c>
      <c r="F1805" s="98" t="s">
        <v>1317</v>
      </c>
      <c r="G1805" s="98" t="s">
        <v>1318</v>
      </c>
    </row>
    <row r="1806" spans="1:7" ht="15" thickBot="1" x14ac:dyDescent="0.4">
      <c r="A1806" s="98">
        <v>2005224590</v>
      </c>
      <c r="B1806" s="101" t="s">
        <v>1953</v>
      </c>
      <c r="C1806" s="98" t="s">
        <v>1941</v>
      </c>
      <c r="D1806" s="98" t="s">
        <v>835</v>
      </c>
      <c r="E1806" s="98" t="s">
        <v>914</v>
      </c>
      <c r="F1806" s="98" t="s">
        <v>1317</v>
      </c>
      <c r="G1806" s="98" t="s">
        <v>1318</v>
      </c>
    </row>
    <row r="1807" spans="1:7" ht="15" thickBot="1" x14ac:dyDescent="0.4">
      <c r="A1807" s="98">
        <v>2005224590</v>
      </c>
      <c r="B1807" s="101" t="s">
        <v>1953</v>
      </c>
      <c r="C1807" s="98" t="s">
        <v>1941</v>
      </c>
      <c r="D1807" s="98" t="s">
        <v>835</v>
      </c>
      <c r="E1807" s="98" t="s">
        <v>916</v>
      </c>
      <c r="F1807" s="98" t="s">
        <v>1323</v>
      </c>
      <c r="G1807" s="98" t="s">
        <v>1319</v>
      </c>
    </row>
    <row r="1808" spans="1:7" ht="15" thickBot="1" x14ac:dyDescent="0.4">
      <c r="A1808" s="98">
        <v>2005223384</v>
      </c>
      <c r="B1808" s="101" t="s">
        <v>1954</v>
      </c>
      <c r="C1808" s="98" t="s">
        <v>834</v>
      </c>
      <c r="D1808" s="98" t="s">
        <v>835</v>
      </c>
      <c r="E1808" s="98" t="s">
        <v>911</v>
      </c>
      <c r="F1808" s="98" t="s">
        <v>1317</v>
      </c>
      <c r="G1808" s="98" t="s">
        <v>1318</v>
      </c>
    </row>
    <row r="1809" spans="1:7" ht="15" thickBot="1" x14ac:dyDescent="0.4">
      <c r="A1809" s="98">
        <v>2005223384</v>
      </c>
      <c r="B1809" s="101" t="s">
        <v>1954</v>
      </c>
      <c r="C1809" s="98" t="s">
        <v>834</v>
      </c>
      <c r="D1809" s="98" t="s">
        <v>835</v>
      </c>
      <c r="E1809" s="98" t="s">
        <v>912</v>
      </c>
      <c r="F1809" s="98" t="s">
        <v>1317</v>
      </c>
      <c r="G1809" s="98" t="s">
        <v>1318</v>
      </c>
    </row>
    <row r="1810" spans="1:7" ht="15" thickBot="1" x14ac:dyDescent="0.4">
      <c r="A1810" s="98">
        <v>2005223384</v>
      </c>
      <c r="B1810" s="101" t="s">
        <v>1954</v>
      </c>
      <c r="C1810" s="98" t="s">
        <v>834</v>
      </c>
      <c r="D1810" s="98" t="s">
        <v>835</v>
      </c>
      <c r="E1810" s="98" t="s">
        <v>915</v>
      </c>
      <c r="F1810" s="98" t="s">
        <v>1323</v>
      </c>
      <c r="G1810" s="98" t="s">
        <v>1319</v>
      </c>
    </row>
    <row r="1811" spans="1:7" ht="15" thickBot="1" x14ac:dyDescent="0.4">
      <c r="A1811" s="98">
        <v>2005221481</v>
      </c>
      <c r="B1811" s="101" t="s">
        <v>1955</v>
      </c>
      <c r="C1811" s="98" t="s">
        <v>546</v>
      </c>
      <c r="D1811" s="98" t="s">
        <v>835</v>
      </c>
      <c r="E1811" s="98" t="s">
        <v>911</v>
      </c>
      <c r="F1811" s="98" t="s">
        <v>1317</v>
      </c>
      <c r="G1811" s="98" t="s">
        <v>1318</v>
      </c>
    </row>
    <row r="1812" spans="1:7" ht="15" thickBot="1" x14ac:dyDescent="0.4">
      <c r="A1812" s="98">
        <v>2005221481</v>
      </c>
      <c r="B1812" s="101" t="s">
        <v>1955</v>
      </c>
      <c r="C1812" s="98" t="s">
        <v>546</v>
      </c>
      <c r="D1812" s="98" t="s">
        <v>835</v>
      </c>
      <c r="E1812" s="98" t="s">
        <v>912</v>
      </c>
      <c r="F1812" s="98" t="s">
        <v>1317</v>
      </c>
      <c r="G1812" s="98" t="s">
        <v>1318</v>
      </c>
    </row>
    <row r="1813" spans="1:7" ht="15" thickBot="1" x14ac:dyDescent="0.4">
      <c r="A1813" s="98">
        <v>2005221481</v>
      </c>
      <c r="B1813" s="101" t="s">
        <v>1955</v>
      </c>
      <c r="C1813" s="98" t="s">
        <v>546</v>
      </c>
      <c r="D1813" s="98" t="s">
        <v>835</v>
      </c>
      <c r="E1813" s="98" t="s">
        <v>1342</v>
      </c>
      <c r="F1813" s="98" t="s">
        <v>1317</v>
      </c>
      <c r="G1813" s="98" t="s">
        <v>1318</v>
      </c>
    </row>
    <row r="1814" spans="1:7" ht="15" thickBot="1" x14ac:dyDescent="0.4">
      <c r="A1814" s="98">
        <v>2005221641</v>
      </c>
      <c r="B1814" s="101" t="s">
        <v>1956</v>
      </c>
      <c r="C1814" s="98" t="s">
        <v>834</v>
      </c>
      <c r="D1814" s="98" t="s">
        <v>835</v>
      </c>
      <c r="E1814" s="98" t="s">
        <v>912</v>
      </c>
      <c r="F1814" s="98" t="s">
        <v>1317</v>
      </c>
      <c r="G1814" s="98" t="s">
        <v>1318</v>
      </c>
    </row>
    <row r="1815" spans="1:7" ht="15" thickBot="1" x14ac:dyDescent="0.4">
      <c r="A1815" s="98">
        <v>2005221641</v>
      </c>
      <c r="B1815" s="101" t="s">
        <v>1956</v>
      </c>
      <c r="C1815" s="98" t="s">
        <v>834</v>
      </c>
      <c r="D1815" s="98" t="s">
        <v>835</v>
      </c>
      <c r="E1815" s="98" t="s">
        <v>911</v>
      </c>
      <c r="F1815" s="98" t="s">
        <v>1317</v>
      </c>
      <c r="G1815" s="98" t="s">
        <v>1318</v>
      </c>
    </row>
    <row r="1816" spans="1:7" ht="15" thickBot="1" x14ac:dyDescent="0.4">
      <c r="A1816" s="98">
        <v>2005221641</v>
      </c>
      <c r="B1816" s="101" t="s">
        <v>1956</v>
      </c>
      <c r="C1816" s="98" t="s">
        <v>834</v>
      </c>
      <c r="D1816" s="98" t="s">
        <v>835</v>
      </c>
      <c r="E1816" s="98" t="s">
        <v>916</v>
      </c>
      <c r="F1816" s="98" t="s">
        <v>1323</v>
      </c>
      <c r="G1816" s="98" t="s">
        <v>1319</v>
      </c>
    </row>
    <row r="1817" spans="1:7" ht="15" thickBot="1" x14ac:dyDescent="0.4">
      <c r="A1817" s="98">
        <v>2005222148</v>
      </c>
      <c r="B1817" s="101" t="s">
        <v>1957</v>
      </c>
      <c r="C1817" s="98" t="s">
        <v>546</v>
      </c>
      <c r="D1817" s="98" t="s">
        <v>835</v>
      </c>
      <c r="E1817" s="98" t="s">
        <v>912</v>
      </c>
      <c r="F1817" s="98" t="s">
        <v>1317</v>
      </c>
      <c r="G1817" s="98" t="s">
        <v>1318</v>
      </c>
    </row>
    <row r="1818" spans="1:7" ht="15" thickBot="1" x14ac:dyDescent="0.4">
      <c r="A1818" s="98">
        <v>2005222148</v>
      </c>
      <c r="B1818" s="101" t="s">
        <v>1957</v>
      </c>
      <c r="C1818" s="98" t="s">
        <v>546</v>
      </c>
      <c r="D1818" s="98" t="s">
        <v>835</v>
      </c>
      <c r="E1818" s="98" t="s">
        <v>914</v>
      </c>
      <c r="F1818" s="98" t="s">
        <v>1317</v>
      </c>
      <c r="G1818" s="98" t="s">
        <v>1318</v>
      </c>
    </row>
    <row r="1819" spans="1:7" ht="15" thickBot="1" x14ac:dyDescent="0.4">
      <c r="A1819" s="98">
        <v>2005222148</v>
      </c>
      <c r="B1819" s="101" t="s">
        <v>1957</v>
      </c>
      <c r="C1819" s="98" t="s">
        <v>546</v>
      </c>
      <c r="D1819" s="98" t="s">
        <v>835</v>
      </c>
      <c r="E1819" s="98" t="s">
        <v>911</v>
      </c>
      <c r="F1819" s="98" t="s">
        <v>1317</v>
      </c>
      <c r="G1819" s="98" t="s">
        <v>1318</v>
      </c>
    </row>
    <row r="1820" spans="1:7" ht="15" thickBot="1" x14ac:dyDescent="0.4">
      <c r="A1820" s="98">
        <v>2005225243</v>
      </c>
      <c r="B1820" s="101" t="s">
        <v>1958</v>
      </c>
      <c r="C1820" s="98" t="s">
        <v>834</v>
      </c>
      <c r="D1820" s="98" t="s">
        <v>835</v>
      </c>
      <c r="E1820" s="98" t="s">
        <v>915</v>
      </c>
      <c r="F1820" s="98" t="s">
        <v>1323</v>
      </c>
      <c r="G1820" s="98" t="s">
        <v>1319</v>
      </c>
    </row>
    <row r="1821" spans="1:7" ht="15" thickBot="1" x14ac:dyDescent="0.4">
      <c r="A1821" s="98">
        <v>2005225243</v>
      </c>
      <c r="B1821" s="101" t="s">
        <v>1958</v>
      </c>
      <c r="C1821" s="98" t="s">
        <v>834</v>
      </c>
      <c r="D1821" s="98" t="s">
        <v>835</v>
      </c>
      <c r="E1821" s="98" t="s">
        <v>2086</v>
      </c>
      <c r="F1821" s="98" t="s">
        <v>1317</v>
      </c>
      <c r="G1821" s="98" t="s">
        <v>1318</v>
      </c>
    </row>
    <row r="1822" spans="1:7" ht="15" thickBot="1" x14ac:dyDescent="0.4">
      <c r="A1822" s="98">
        <v>2005225243</v>
      </c>
      <c r="B1822" s="101" t="s">
        <v>1958</v>
      </c>
      <c r="C1822" s="98" t="s">
        <v>834</v>
      </c>
      <c r="D1822" s="98" t="s">
        <v>835</v>
      </c>
      <c r="E1822" s="98" t="s">
        <v>914</v>
      </c>
      <c r="F1822" s="98" t="s">
        <v>1317</v>
      </c>
      <c r="G1822" s="98" t="s">
        <v>1318</v>
      </c>
    </row>
    <row r="1823" spans="1:7" ht="15" thickBot="1" x14ac:dyDescent="0.4">
      <c r="A1823" s="98">
        <v>2005222280</v>
      </c>
      <c r="B1823" s="101" t="s">
        <v>1959</v>
      </c>
      <c r="C1823" s="98" t="s">
        <v>546</v>
      </c>
      <c r="D1823" s="98" t="s">
        <v>835</v>
      </c>
      <c r="E1823" s="98" t="s">
        <v>911</v>
      </c>
      <c r="F1823" s="98" t="s">
        <v>1317</v>
      </c>
      <c r="G1823" s="98" t="s">
        <v>1318</v>
      </c>
    </row>
    <row r="1824" spans="1:7" ht="15" thickBot="1" x14ac:dyDescent="0.4">
      <c r="A1824" s="98">
        <v>2005222280</v>
      </c>
      <c r="B1824" s="101" t="s">
        <v>1959</v>
      </c>
      <c r="C1824" s="98" t="s">
        <v>546</v>
      </c>
      <c r="D1824" s="98" t="s">
        <v>835</v>
      </c>
      <c r="E1824" s="98" t="s">
        <v>912</v>
      </c>
      <c r="F1824" s="98" t="s">
        <v>1317</v>
      </c>
      <c r="G1824" s="98" t="s">
        <v>1318</v>
      </c>
    </row>
    <row r="1825" spans="1:7" ht="15" thickBot="1" x14ac:dyDescent="0.4">
      <c r="A1825" s="98">
        <v>2005222280</v>
      </c>
      <c r="B1825" s="101" t="s">
        <v>1959</v>
      </c>
      <c r="C1825" s="98" t="s">
        <v>546</v>
      </c>
      <c r="D1825" s="98" t="s">
        <v>835</v>
      </c>
      <c r="E1825" s="98" t="s">
        <v>1342</v>
      </c>
      <c r="F1825" s="98" t="s">
        <v>1317</v>
      </c>
      <c r="G1825" s="98" t="s">
        <v>1318</v>
      </c>
    </row>
    <row r="1826" spans="1:7" ht="15" thickBot="1" x14ac:dyDescent="0.4">
      <c r="A1826" s="98">
        <v>2005222365</v>
      </c>
      <c r="B1826" s="101" t="s">
        <v>1960</v>
      </c>
      <c r="C1826" s="98" t="s">
        <v>1941</v>
      </c>
      <c r="D1826" s="98" t="s">
        <v>835</v>
      </c>
      <c r="E1826" s="98" t="s">
        <v>1406</v>
      </c>
      <c r="F1826" s="98" t="s">
        <v>1317</v>
      </c>
      <c r="G1826" s="98" t="s">
        <v>1318</v>
      </c>
    </row>
    <row r="1827" spans="1:7" ht="15" thickBot="1" x14ac:dyDescent="0.4">
      <c r="A1827" s="98">
        <v>2005222365</v>
      </c>
      <c r="B1827" s="101" t="s">
        <v>1960</v>
      </c>
      <c r="C1827" s="98" t="s">
        <v>1941</v>
      </c>
      <c r="D1827" s="98" t="s">
        <v>835</v>
      </c>
      <c r="E1827" s="98" t="s">
        <v>911</v>
      </c>
      <c r="F1827" s="98" t="s">
        <v>1317</v>
      </c>
      <c r="G1827" s="98" t="s">
        <v>1318</v>
      </c>
    </row>
    <row r="1828" spans="1:7" ht="15" thickBot="1" x14ac:dyDescent="0.4">
      <c r="A1828" s="98">
        <v>2005222365</v>
      </c>
      <c r="B1828" s="101" t="s">
        <v>1960</v>
      </c>
      <c r="C1828" s="98" t="s">
        <v>1941</v>
      </c>
      <c r="D1828" s="98" t="s">
        <v>835</v>
      </c>
      <c r="E1828" s="98" t="s">
        <v>915</v>
      </c>
      <c r="F1828" s="98" t="s">
        <v>1317</v>
      </c>
      <c r="G1828" s="98" t="s">
        <v>1319</v>
      </c>
    </row>
    <row r="1829" spans="1:7" ht="15" thickBot="1" x14ac:dyDescent="0.4">
      <c r="A1829" s="98">
        <v>2005220366</v>
      </c>
      <c r="B1829" s="101" t="s">
        <v>2070</v>
      </c>
      <c r="C1829" s="98" t="s">
        <v>546</v>
      </c>
      <c r="D1829" s="98" t="s">
        <v>835</v>
      </c>
      <c r="E1829" s="98" t="s">
        <v>912</v>
      </c>
      <c r="F1829" s="98" t="s">
        <v>1317</v>
      </c>
      <c r="G1829" s="98" t="s">
        <v>1318</v>
      </c>
    </row>
    <row r="1830" spans="1:7" ht="15" thickBot="1" x14ac:dyDescent="0.4">
      <c r="A1830" s="98">
        <v>2005220366</v>
      </c>
      <c r="B1830" s="101" t="s">
        <v>2070</v>
      </c>
      <c r="C1830" s="98" t="s">
        <v>546</v>
      </c>
      <c r="D1830" s="98" t="s">
        <v>835</v>
      </c>
      <c r="E1830" s="98" t="s">
        <v>914</v>
      </c>
      <c r="F1830" s="98" t="s">
        <v>1317</v>
      </c>
      <c r="G1830" s="98" t="s">
        <v>1318</v>
      </c>
    </row>
    <row r="1831" spans="1:7" ht="15" thickBot="1" x14ac:dyDescent="0.4">
      <c r="A1831" s="98">
        <v>2005220366</v>
      </c>
      <c r="B1831" s="101" t="s">
        <v>2070</v>
      </c>
      <c r="C1831" s="98" t="s">
        <v>546</v>
      </c>
      <c r="D1831" s="98" t="s">
        <v>835</v>
      </c>
      <c r="E1831" s="98" t="s">
        <v>915</v>
      </c>
      <c r="F1831" s="98" t="s">
        <v>1323</v>
      </c>
      <c r="G1831" s="98" t="s">
        <v>1319</v>
      </c>
    </row>
    <row r="1832" spans="1:7" ht="15" thickBot="1" x14ac:dyDescent="0.4">
      <c r="A1832" s="98">
        <v>2005223491</v>
      </c>
      <c r="B1832" s="101" t="s">
        <v>1961</v>
      </c>
      <c r="C1832" s="98" t="s">
        <v>546</v>
      </c>
      <c r="D1832" s="98" t="s">
        <v>835</v>
      </c>
      <c r="E1832" s="98" t="s">
        <v>913</v>
      </c>
      <c r="F1832" s="98" t="s">
        <v>1317</v>
      </c>
      <c r="G1832" s="98" t="s">
        <v>1318</v>
      </c>
    </row>
    <row r="1833" spans="1:7" ht="15" thickBot="1" x14ac:dyDescent="0.4">
      <c r="A1833" s="98">
        <v>2005223491</v>
      </c>
      <c r="B1833" s="101" t="s">
        <v>1961</v>
      </c>
      <c r="C1833" s="98" t="s">
        <v>546</v>
      </c>
      <c r="D1833" s="98" t="s">
        <v>835</v>
      </c>
      <c r="E1833" s="98" t="s">
        <v>912</v>
      </c>
      <c r="F1833" s="98" t="s">
        <v>1317</v>
      </c>
      <c r="G1833" s="98" t="s">
        <v>1318</v>
      </c>
    </row>
    <row r="1834" spans="1:7" ht="15" thickBot="1" x14ac:dyDescent="0.4">
      <c r="A1834" s="98">
        <v>2005223491</v>
      </c>
      <c r="B1834" s="101" t="s">
        <v>1961</v>
      </c>
      <c r="C1834" s="98" t="s">
        <v>546</v>
      </c>
      <c r="D1834" s="98" t="s">
        <v>835</v>
      </c>
      <c r="E1834" s="98" t="s">
        <v>915</v>
      </c>
      <c r="F1834" s="98" t="s">
        <v>1317</v>
      </c>
      <c r="G1834" s="98" t="s">
        <v>1319</v>
      </c>
    </row>
    <row r="1835" spans="1:7" ht="15" thickBot="1" x14ac:dyDescent="0.4">
      <c r="A1835" s="98">
        <v>2005230192</v>
      </c>
      <c r="B1835" s="101" t="s">
        <v>1962</v>
      </c>
      <c r="C1835" s="98" t="s">
        <v>1502</v>
      </c>
      <c r="D1835" s="98" t="s">
        <v>835</v>
      </c>
      <c r="E1835" s="98" t="s">
        <v>2086</v>
      </c>
      <c r="F1835" s="98" t="s">
        <v>1317</v>
      </c>
      <c r="G1835" s="98" t="s">
        <v>1318</v>
      </c>
    </row>
    <row r="1836" spans="1:7" ht="15" thickBot="1" x14ac:dyDescent="0.4">
      <c r="A1836" s="98">
        <v>2005225728</v>
      </c>
      <c r="B1836" s="101" t="s">
        <v>1963</v>
      </c>
      <c r="C1836" s="98" t="s">
        <v>834</v>
      </c>
      <c r="D1836" s="98" t="s">
        <v>835</v>
      </c>
      <c r="E1836" s="98" t="s">
        <v>911</v>
      </c>
      <c r="F1836" s="98" t="s">
        <v>1317</v>
      </c>
      <c r="G1836" s="98" t="s">
        <v>1318</v>
      </c>
    </row>
    <row r="1837" spans="1:7" ht="15" thickBot="1" x14ac:dyDescent="0.4">
      <c r="A1837" s="98">
        <v>2005225728</v>
      </c>
      <c r="B1837" s="101" t="s">
        <v>1963</v>
      </c>
      <c r="C1837" s="98" t="s">
        <v>1941</v>
      </c>
      <c r="D1837" s="98" t="s">
        <v>835</v>
      </c>
      <c r="E1837" s="98" t="s">
        <v>912</v>
      </c>
      <c r="F1837" s="98" t="s">
        <v>1317</v>
      </c>
      <c r="G1837" s="98" t="s">
        <v>1318</v>
      </c>
    </row>
    <row r="1838" spans="1:7" ht="15" thickBot="1" x14ac:dyDescent="0.4">
      <c r="A1838" s="98">
        <v>2005225728</v>
      </c>
      <c r="B1838" s="101" t="s">
        <v>1963</v>
      </c>
      <c r="C1838" s="98" t="s">
        <v>834</v>
      </c>
      <c r="D1838" s="98" t="s">
        <v>835</v>
      </c>
      <c r="E1838" s="98" t="s">
        <v>915</v>
      </c>
      <c r="F1838" s="98" t="s">
        <v>1317</v>
      </c>
      <c r="G1838" s="98" t="s">
        <v>1319</v>
      </c>
    </row>
    <row r="1839" spans="1:7" ht="15" thickBot="1" x14ac:dyDescent="0.4">
      <c r="A1839" s="98">
        <v>2005221094</v>
      </c>
      <c r="B1839" s="101" t="s">
        <v>1964</v>
      </c>
      <c r="C1839" s="98" t="s">
        <v>546</v>
      </c>
      <c r="D1839" s="98" t="s">
        <v>835</v>
      </c>
      <c r="E1839" s="98" t="s">
        <v>911</v>
      </c>
      <c r="F1839" s="98" t="s">
        <v>1317</v>
      </c>
      <c r="G1839" s="98" t="s">
        <v>1318</v>
      </c>
    </row>
    <row r="1840" spans="1:7" ht="15" thickBot="1" x14ac:dyDescent="0.4">
      <c r="A1840" s="98">
        <v>2005221094</v>
      </c>
      <c r="B1840" s="101" t="s">
        <v>1964</v>
      </c>
      <c r="C1840" s="98" t="s">
        <v>546</v>
      </c>
      <c r="D1840" s="98" t="s">
        <v>835</v>
      </c>
      <c r="E1840" s="98" t="s">
        <v>912</v>
      </c>
      <c r="F1840" s="98" t="s">
        <v>1317</v>
      </c>
      <c r="G1840" s="98" t="s">
        <v>1318</v>
      </c>
    </row>
    <row r="1841" spans="1:7" ht="15" thickBot="1" x14ac:dyDescent="0.4">
      <c r="A1841" s="98">
        <v>2005221094</v>
      </c>
      <c r="B1841" s="101" t="s">
        <v>1964</v>
      </c>
      <c r="C1841" s="98" t="s">
        <v>546</v>
      </c>
      <c r="D1841" s="98" t="s">
        <v>835</v>
      </c>
      <c r="E1841" s="98" t="s">
        <v>915</v>
      </c>
      <c r="F1841" s="98" t="s">
        <v>1317</v>
      </c>
      <c r="G1841" s="98" t="s">
        <v>1319</v>
      </c>
    </row>
    <row r="1842" spans="1:7" ht="15" thickBot="1" x14ac:dyDescent="0.4">
      <c r="A1842" s="98">
        <v>2005223075</v>
      </c>
      <c r="B1842" s="101" t="s">
        <v>1965</v>
      </c>
      <c r="C1842" s="98" t="s">
        <v>546</v>
      </c>
      <c r="D1842" s="98" t="s">
        <v>835</v>
      </c>
      <c r="E1842" s="98" t="s">
        <v>914</v>
      </c>
      <c r="F1842" s="98" t="s">
        <v>1317</v>
      </c>
      <c r="G1842" s="98" t="s">
        <v>1318</v>
      </c>
    </row>
    <row r="1843" spans="1:7" ht="15" thickBot="1" x14ac:dyDescent="0.4">
      <c r="A1843" s="98">
        <v>2005223075</v>
      </c>
      <c r="B1843" s="101" t="s">
        <v>1965</v>
      </c>
      <c r="C1843" s="98" t="s">
        <v>546</v>
      </c>
      <c r="D1843" s="98" t="s">
        <v>835</v>
      </c>
      <c r="E1843" s="98" t="s">
        <v>913</v>
      </c>
      <c r="F1843" s="98" t="s">
        <v>1317</v>
      </c>
      <c r="G1843" s="98" t="s">
        <v>1318</v>
      </c>
    </row>
    <row r="1844" spans="1:7" ht="15" thickBot="1" x14ac:dyDescent="0.4">
      <c r="A1844" s="98">
        <v>2005223075</v>
      </c>
      <c r="B1844" s="101" t="s">
        <v>1965</v>
      </c>
      <c r="C1844" s="98" t="s">
        <v>546</v>
      </c>
      <c r="D1844" s="98" t="s">
        <v>835</v>
      </c>
      <c r="E1844" s="98" t="s">
        <v>911</v>
      </c>
      <c r="F1844" s="98" t="s">
        <v>1317</v>
      </c>
      <c r="G1844" s="98" t="s">
        <v>1318</v>
      </c>
    </row>
    <row r="1845" spans="1:7" ht="15" thickBot="1" x14ac:dyDescent="0.4">
      <c r="A1845" s="98">
        <v>2005222422</v>
      </c>
      <c r="B1845" s="101" t="s">
        <v>1966</v>
      </c>
      <c r="C1845" s="98" t="s">
        <v>546</v>
      </c>
      <c r="D1845" s="98" t="s">
        <v>835</v>
      </c>
      <c r="E1845" s="98" t="s">
        <v>912</v>
      </c>
      <c r="F1845" s="98" t="s">
        <v>1317</v>
      </c>
      <c r="G1845" s="98" t="s">
        <v>1318</v>
      </c>
    </row>
    <row r="1846" spans="1:7" ht="15" thickBot="1" x14ac:dyDescent="0.4">
      <c r="A1846" s="98">
        <v>2005222422</v>
      </c>
      <c r="B1846" s="101" t="s">
        <v>1966</v>
      </c>
      <c r="C1846" s="98" t="s">
        <v>546</v>
      </c>
      <c r="D1846" s="98" t="s">
        <v>835</v>
      </c>
      <c r="E1846" s="98" t="s">
        <v>914</v>
      </c>
      <c r="F1846" s="98" t="s">
        <v>1317</v>
      </c>
      <c r="G1846" s="98" t="s">
        <v>1318</v>
      </c>
    </row>
    <row r="1847" spans="1:7" ht="15" thickBot="1" x14ac:dyDescent="0.4">
      <c r="A1847" s="98">
        <v>2005222422</v>
      </c>
      <c r="B1847" s="101" t="s">
        <v>1966</v>
      </c>
      <c r="C1847" s="98" t="s">
        <v>546</v>
      </c>
      <c r="D1847" s="98" t="s">
        <v>835</v>
      </c>
      <c r="E1847" s="98" t="s">
        <v>1342</v>
      </c>
      <c r="F1847" s="98" t="s">
        <v>1317</v>
      </c>
      <c r="G1847" s="98" t="s">
        <v>1318</v>
      </c>
    </row>
    <row r="1848" spans="1:7" ht="15" thickBot="1" x14ac:dyDescent="0.4">
      <c r="A1848" s="98">
        <v>2005223208</v>
      </c>
      <c r="B1848" s="101" t="s">
        <v>1967</v>
      </c>
      <c r="C1848" s="98" t="s">
        <v>1941</v>
      </c>
      <c r="D1848" s="98" t="s">
        <v>835</v>
      </c>
      <c r="E1848" s="98" t="s">
        <v>912</v>
      </c>
      <c r="F1848" s="98" t="s">
        <v>1317</v>
      </c>
      <c r="G1848" s="98" t="s">
        <v>1318</v>
      </c>
    </row>
    <row r="1849" spans="1:7" ht="15" thickBot="1" x14ac:dyDescent="0.4">
      <c r="A1849" s="98">
        <v>2005223208</v>
      </c>
      <c r="B1849" s="101" t="s">
        <v>1967</v>
      </c>
      <c r="C1849" s="98" t="s">
        <v>1941</v>
      </c>
      <c r="D1849" s="98" t="s">
        <v>835</v>
      </c>
      <c r="E1849" s="98" t="s">
        <v>911</v>
      </c>
      <c r="F1849" s="98" t="s">
        <v>1317</v>
      </c>
      <c r="G1849" s="98" t="s">
        <v>1318</v>
      </c>
    </row>
    <row r="1850" spans="1:7" ht="15" thickBot="1" x14ac:dyDescent="0.4">
      <c r="A1850" s="98">
        <v>2005222324</v>
      </c>
      <c r="B1850" s="101" t="s">
        <v>1968</v>
      </c>
      <c r="C1850" s="98" t="s">
        <v>546</v>
      </c>
      <c r="D1850" s="98" t="s">
        <v>835</v>
      </c>
      <c r="E1850" s="98" t="s">
        <v>912</v>
      </c>
      <c r="F1850" s="98" t="s">
        <v>1317</v>
      </c>
      <c r="G1850" s="98" t="s">
        <v>1318</v>
      </c>
    </row>
    <row r="1851" spans="1:7" ht="15" thickBot="1" x14ac:dyDescent="0.4">
      <c r="A1851" s="98">
        <v>2005222324</v>
      </c>
      <c r="B1851" s="101" t="s">
        <v>1968</v>
      </c>
      <c r="C1851" s="98" t="s">
        <v>546</v>
      </c>
      <c r="D1851" s="98" t="s">
        <v>835</v>
      </c>
      <c r="E1851" s="98" t="s">
        <v>914</v>
      </c>
      <c r="F1851" s="98" t="s">
        <v>1317</v>
      </c>
      <c r="G1851" s="98" t="s">
        <v>1318</v>
      </c>
    </row>
    <row r="1852" spans="1:7" ht="15" thickBot="1" x14ac:dyDescent="0.4">
      <c r="A1852" s="98">
        <v>2005222324</v>
      </c>
      <c r="B1852" s="101" t="s">
        <v>1968</v>
      </c>
      <c r="C1852" s="98" t="s">
        <v>546</v>
      </c>
      <c r="D1852" s="98" t="s">
        <v>835</v>
      </c>
      <c r="E1852" s="98" t="s">
        <v>911</v>
      </c>
      <c r="F1852" s="98" t="s">
        <v>1317</v>
      </c>
      <c r="G1852" s="98" t="s">
        <v>1318</v>
      </c>
    </row>
    <row r="1853" spans="1:7" ht="15" thickBot="1" x14ac:dyDescent="0.4">
      <c r="A1853" s="98">
        <v>2005222324</v>
      </c>
      <c r="B1853" s="101" t="s">
        <v>1968</v>
      </c>
      <c r="C1853" s="98" t="s">
        <v>546</v>
      </c>
      <c r="D1853" s="98" t="s">
        <v>835</v>
      </c>
      <c r="E1853" s="98" t="s">
        <v>1342</v>
      </c>
      <c r="F1853" s="98" t="s">
        <v>1317</v>
      </c>
      <c r="G1853" s="98" t="s">
        <v>1318</v>
      </c>
    </row>
    <row r="1854" spans="1:7" ht="15" thickBot="1" x14ac:dyDescent="0.4">
      <c r="A1854" s="98">
        <v>2005224769</v>
      </c>
      <c r="B1854" s="101" t="s">
        <v>1969</v>
      </c>
      <c r="C1854" s="98" t="s">
        <v>834</v>
      </c>
      <c r="D1854" s="98" t="s">
        <v>835</v>
      </c>
      <c r="E1854" s="98" t="s">
        <v>2086</v>
      </c>
      <c r="F1854" s="98" t="s">
        <v>1317</v>
      </c>
      <c r="G1854" s="98" t="s">
        <v>1318</v>
      </c>
    </row>
    <row r="1855" spans="1:7" ht="15" thickBot="1" x14ac:dyDescent="0.4">
      <c r="A1855" s="98">
        <v>2005224769</v>
      </c>
      <c r="B1855" s="101" t="s">
        <v>1969</v>
      </c>
      <c r="C1855" s="98" t="s">
        <v>834</v>
      </c>
      <c r="D1855" s="98" t="s">
        <v>835</v>
      </c>
      <c r="E1855" s="98" t="s">
        <v>911</v>
      </c>
      <c r="F1855" s="98" t="s">
        <v>1317</v>
      </c>
      <c r="G1855" s="98" t="s">
        <v>1318</v>
      </c>
    </row>
    <row r="1856" spans="1:7" ht="15" thickBot="1" x14ac:dyDescent="0.4">
      <c r="A1856" s="98">
        <v>2005225823</v>
      </c>
      <c r="B1856" s="101" t="s">
        <v>1970</v>
      </c>
      <c r="C1856" s="98" t="s">
        <v>546</v>
      </c>
      <c r="D1856" s="98" t="s">
        <v>835</v>
      </c>
      <c r="E1856" s="98" t="s">
        <v>2086</v>
      </c>
      <c r="F1856" s="98" t="s">
        <v>1317</v>
      </c>
      <c r="G1856" s="98" t="s">
        <v>1318</v>
      </c>
    </row>
    <row r="1857" spans="1:7" ht="15" thickBot="1" x14ac:dyDescent="0.4">
      <c r="A1857" s="98">
        <v>2005225166</v>
      </c>
      <c r="B1857" s="101" t="s">
        <v>1971</v>
      </c>
      <c r="C1857" s="98" t="s">
        <v>834</v>
      </c>
      <c r="D1857" s="98" t="s">
        <v>835</v>
      </c>
      <c r="E1857" s="98" t="s">
        <v>911</v>
      </c>
      <c r="F1857" s="98" t="s">
        <v>1317</v>
      </c>
      <c r="G1857" s="98" t="s">
        <v>1318</v>
      </c>
    </row>
    <row r="1858" spans="1:7" ht="15" thickBot="1" x14ac:dyDescent="0.4">
      <c r="A1858" s="98">
        <v>2005225166</v>
      </c>
      <c r="B1858" s="101" t="s">
        <v>1971</v>
      </c>
      <c r="C1858" s="98" t="s">
        <v>834</v>
      </c>
      <c r="D1858" s="98" t="s">
        <v>835</v>
      </c>
      <c r="E1858" s="98" t="s">
        <v>915</v>
      </c>
      <c r="F1858" s="98" t="s">
        <v>1317</v>
      </c>
      <c r="G1858" s="98" t="s">
        <v>1319</v>
      </c>
    </row>
    <row r="1859" spans="1:7" ht="15" thickBot="1" x14ac:dyDescent="0.4">
      <c r="A1859" s="98">
        <v>2005225166</v>
      </c>
      <c r="B1859" s="101" t="s">
        <v>1971</v>
      </c>
      <c r="C1859" s="98" t="s">
        <v>834</v>
      </c>
      <c r="D1859" s="98" t="s">
        <v>835</v>
      </c>
      <c r="E1859" s="98" t="s">
        <v>2086</v>
      </c>
      <c r="F1859" s="98" t="s">
        <v>1317</v>
      </c>
      <c r="G1859" s="98" t="s">
        <v>1318</v>
      </c>
    </row>
    <row r="1860" spans="1:7" ht="15" thickBot="1" x14ac:dyDescent="0.4">
      <c r="A1860" s="98">
        <v>2005222871</v>
      </c>
      <c r="B1860" s="101" t="s">
        <v>1972</v>
      </c>
      <c r="C1860" s="98" t="s">
        <v>546</v>
      </c>
      <c r="D1860" s="98" t="s">
        <v>835</v>
      </c>
      <c r="E1860" s="98" t="s">
        <v>914</v>
      </c>
      <c r="F1860" s="98" t="s">
        <v>1317</v>
      </c>
      <c r="G1860" s="98" t="s">
        <v>1318</v>
      </c>
    </row>
    <row r="1861" spans="1:7" ht="15" thickBot="1" x14ac:dyDescent="0.4">
      <c r="A1861" s="98">
        <v>2005222871</v>
      </c>
      <c r="B1861" s="101" t="s">
        <v>1972</v>
      </c>
      <c r="C1861" s="98" t="s">
        <v>546</v>
      </c>
      <c r="D1861" s="98" t="s">
        <v>835</v>
      </c>
      <c r="E1861" s="98" t="s">
        <v>913</v>
      </c>
      <c r="F1861" s="98" t="s">
        <v>1317</v>
      </c>
      <c r="G1861" s="98" t="s">
        <v>1318</v>
      </c>
    </row>
    <row r="1862" spans="1:7" ht="15" thickBot="1" x14ac:dyDescent="0.4">
      <c r="A1862" s="98">
        <v>2005222871</v>
      </c>
      <c r="B1862" s="101" t="s">
        <v>1972</v>
      </c>
      <c r="C1862" s="98" t="s">
        <v>546</v>
      </c>
      <c r="D1862" s="98" t="s">
        <v>835</v>
      </c>
      <c r="E1862" s="98" t="s">
        <v>911</v>
      </c>
      <c r="F1862" s="98" t="s">
        <v>1317</v>
      </c>
      <c r="G1862" s="98" t="s">
        <v>1318</v>
      </c>
    </row>
    <row r="1863" spans="1:7" ht="15" thickBot="1" x14ac:dyDescent="0.4">
      <c r="A1863" s="98">
        <v>2005221656</v>
      </c>
      <c r="B1863" s="101" t="s">
        <v>1973</v>
      </c>
      <c r="C1863" s="98" t="s">
        <v>546</v>
      </c>
      <c r="D1863" s="98" t="s">
        <v>835</v>
      </c>
      <c r="E1863" s="98" t="s">
        <v>1406</v>
      </c>
      <c r="F1863" s="98" t="s">
        <v>1317</v>
      </c>
      <c r="G1863" s="98" t="s">
        <v>1318</v>
      </c>
    </row>
    <row r="1864" spans="1:7" ht="15" thickBot="1" x14ac:dyDescent="0.4">
      <c r="A1864" s="98">
        <v>2005221656</v>
      </c>
      <c r="B1864" s="101" t="s">
        <v>1973</v>
      </c>
      <c r="C1864" s="98" t="s">
        <v>546</v>
      </c>
      <c r="D1864" s="98" t="s">
        <v>835</v>
      </c>
      <c r="E1864" s="98" t="s">
        <v>911</v>
      </c>
      <c r="F1864" s="98" t="s">
        <v>1317</v>
      </c>
      <c r="G1864" s="98" t="s">
        <v>1318</v>
      </c>
    </row>
    <row r="1865" spans="1:7" ht="15" thickBot="1" x14ac:dyDescent="0.4">
      <c r="A1865" s="98">
        <v>2005221656</v>
      </c>
      <c r="B1865" s="101" t="s">
        <v>1973</v>
      </c>
      <c r="C1865" s="98" t="s">
        <v>546</v>
      </c>
      <c r="D1865" s="98" t="s">
        <v>835</v>
      </c>
      <c r="E1865" s="98" t="s">
        <v>915</v>
      </c>
      <c r="F1865" s="98" t="s">
        <v>1317</v>
      </c>
      <c r="G1865" s="98" t="s">
        <v>1319</v>
      </c>
    </row>
    <row r="1866" spans="1:7" ht="15" thickBot="1" x14ac:dyDescent="0.4">
      <c r="A1866" s="98">
        <v>2005225076</v>
      </c>
      <c r="B1866" s="101" t="s">
        <v>1974</v>
      </c>
      <c r="C1866" s="98" t="s">
        <v>1941</v>
      </c>
      <c r="D1866" s="98" t="s">
        <v>835</v>
      </c>
      <c r="E1866" s="98" t="s">
        <v>912</v>
      </c>
      <c r="F1866" s="98" t="s">
        <v>1317</v>
      </c>
      <c r="G1866" s="98" t="s">
        <v>1318</v>
      </c>
    </row>
    <row r="1867" spans="1:7" ht="15" thickBot="1" x14ac:dyDescent="0.4">
      <c r="A1867" s="98">
        <v>2005225076</v>
      </c>
      <c r="B1867" s="101" t="s">
        <v>1974</v>
      </c>
      <c r="C1867" s="98" t="s">
        <v>1941</v>
      </c>
      <c r="D1867" s="98" t="s">
        <v>835</v>
      </c>
      <c r="E1867" s="98" t="s">
        <v>915</v>
      </c>
      <c r="F1867" s="98" t="s">
        <v>1323</v>
      </c>
      <c r="G1867" s="98" t="s">
        <v>1319</v>
      </c>
    </row>
    <row r="1868" spans="1:7" ht="15" thickBot="1" x14ac:dyDescent="0.4">
      <c r="A1868" s="98">
        <v>2005225076</v>
      </c>
      <c r="B1868" s="101" t="s">
        <v>1975</v>
      </c>
      <c r="C1868" s="98" t="s">
        <v>1941</v>
      </c>
      <c r="D1868" s="98" t="s">
        <v>835</v>
      </c>
      <c r="E1868" s="98" t="s">
        <v>911</v>
      </c>
      <c r="F1868" s="98" t="s">
        <v>1317</v>
      </c>
      <c r="G1868" s="98" t="s">
        <v>1318</v>
      </c>
    </row>
    <row r="1869" spans="1:7" ht="15" thickBot="1" x14ac:dyDescent="0.4">
      <c r="A1869" s="98">
        <v>2005222869</v>
      </c>
      <c r="B1869" s="101" t="s">
        <v>1976</v>
      </c>
      <c r="C1869" s="98" t="s">
        <v>1941</v>
      </c>
      <c r="D1869" s="98" t="s">
        <v>835</v>
      </c>
      <c r="E1869" s="98" t="s">
        <v>911</v>
      </c>
      <c r="F1869" s="98" t="s">
        <v>1317</v>
      </c>
      <c r="G1869" s="98" t="s">
        <v>1318</v>
      </c>
    </row>
    <row r="1870" spans="1:7" ht="15" thickBot="1" x14ac:dyDescent="0.4">
      <c r="A1870" s="98">
        <v>2005222869</v>
      </c>
      <c r="B1870" s="101" t="s">
        <v>1976</v>
      </c>
      <c r="C1870" s="98" t="s">
        <v>1941</v>
      </c>
      <c r="D1870" s="98" t="s">
        <v>835</v>
      </c>
      <c r="E1870" s="98" t="s">
        <v>912</v>
      </c>
      <c r="F1870" s="98" t="s">
        <v>1317</v>
      </c>
      <c r="G1870" s="98" t="s">
        <v>1318</v>
      </c>
    </row>
    <row r="1871" spans="1:7" ht="15" thickBot="1" x14ac:dyDescent="0.4">
      <c r="A1871" s="98">
        <v>2005222869</v>
      </c>
      <c r="B1871" s="101" t="s">
        <v>1976</v>
      </c>
      <c r="C1871" s="98" t="s">
        <v>1941</v>
      </c>
      <c r="D1871" s="98" t="s">
        <v>835</v>
      </c>
      <c r="E1871" s="98" t="s">
        <v>1342</v>
      </c>
      <c r="F1871" s="98" t="s">
        <v>1317</v>
      </c>
      <c r="G1871" s="98" t="s">
        <v>1318</v>
      </c>
    </row>
    <row r="1872" spans="1:7" ht="15" thickBot="1" x14ac:dyDescent="0.4">
      <c r="A1872" s="98">
        <v>2005221458</v>
      </c>
      <c r="B1872" s="101" t="s">
        <v>1977</v>
      </c>
      <c r="C1872" s="98" t="s">
        <v>834</v>
      </c>
      <c r="D1872" s="98" t="s">
        <v>835</v>
      </c>
      <c r="E1872" s="98" t="s">
        <v>915</v>
      </c>
      <c r="F1872" s="98" t="s">
        <v>1317</v>
      </c>
      <c r="G1872" s="98" t="s">
        <v>1319</v>
      </c>
    </row>
    <row r="1873" spans="1:7" ht="15" thickBot="1" x14ac:dyDescent="0.4">
      <c r="A1873" s="98">
        <v>2005221458</v>
      </c>
      <c r="B1873" s="101" t="s">
        <v>1977</v>
      </c>
      <c r="C1873" s="98" t="s">
        <v>834</v>
      </c>
      <c r="D1873" s="98" t="s">
        <v>835</v>
      </c>
      <c r="E1873" s="98" t="s">
        <v>2086</v>
      </c>
      <c r="F1873" s="98" t="s">
        <v>1317</v>
      </c>
      <c r="G1873" s="98" t="s">
        <v>1318</v>
      </c>
    </row>
    <row r="1874" spans="1:7" ht="15" thickBot="1" x14ac:dyDescent="0.4">
      <c r="A1874" s="98">
        <v>2005221458</v>
      </c>
      <c r="B1874" s="101" t="s">
        <v>1977</v>
      </c>
      <c r="C1874" s="98" t="s">
        <v>834</v>
      </c>
      <c r="D1874" s="98" t="s">
        <v>835</v>
      </c>
      <c r="E1874" s="98" t="s">
        <v>912</v>
      </c>
      <c r="F1874" s="98" t="s">
        <v>1317</v>
      </c>
      <c r="G1874" s="98" t="s">
        <v>1318</v>
      </c>
    </row>
    <row r="1875" spans="1:7" ht="15" thickBot="1" x14ac:dyDescent="0.4">
      <c r="A1875" s="98">
        <v>2005222828</v>
      </c>
      <c r="B1875" s="101" t="s">
        <v>1978</v>
      </c>
      <c r="C1875" s="98" t="s">
        <v>1941</v>
      </c>
      <c r="D1875" s="98" t="s">
        <v>835</v>
      </c>
      <c r="E1875" s="98" t="s">
        <v>2086</v>
      </c>
      <c r="F1875" s="98" t="s">
        <v>1317</v>
      </c>
      <c r="G1875" s="98" t="s">
        <v>1318</v>
      </c>
    </row>
    <row r="1876" spans="1:7" ht="15" thickBot="1" x14ac:dyDescent="0.4">
      <c r="A1876" s="98">
        <v>2005222828</v>
      </c>
      <c r="B1876" s="101" t="s">
        <v>1978</v>
      </c>
      <c r="C1876" s="98" t="s">
        <v>834</v>
      </c>
      <c r="D1876" s="98" t="s">
        <v>835</v>
      </c>
      <c r="E1876" s="98" t="s">
        <v>911</v>
      </c>
      <c r="F1876" s="98" t="s">
        <v>1317</v>
      </c>
      <c r="G1876" s="98" t="s">
        <v>1318</v>
      </c>
    </row>
    <row r="1877" spans="1:7" ht="15" thickBot="1" x14ac:dyDescent="0.4">
      <c r="A1877" s="98">
        <v>2005222828</v>
      </c>
      <c r="B1877" s="101" t="s">
        <v>1978</v>
      </c>
      <c r="C1877" s="98" t="s">
        <v>834</v>
      </c>
      <c r="D1877" s="98" t="s">
        <v>835</v>
      </c>
      <c r="E1877" s="98" t="s">
        <v>915</v>
      </c>
      <c r="F1877" s="98" t="s">
        <v>1317</v>
      </c>
      <c r="G1877" s="98" t="s">
        <v>1319</v>
      </c>
    </row>
    <row r="1878" spans="1:7" ht="15" thickBot="1" x14ac:dyDescent="0.4">
      <c r="A1878" s="98">
        <v>2005222109</v>
      </c>
      <c r="B1878" s="101" t="s">
        <v>1979</v>
      </c>
      <c r="C1878" s="98" t="s">
        <v>546</v>
      </c>
      <c r="D1878" s="98" t="s">
        <v>835</v>
      </c>
      <c r="E1878" s="98" t="s">
        <v>912</v>
      </c>
      <c r="F1878" s="98" t="s">
        <v>1317</v>
      </c>
      <c r="G1878" s="98" t="s">
        <v>1318</v>
      </c>
    </row>
    <row r="1879" spans="1:7" ht="15" thickBot="1" x14ac:dyDescent="0.4">
      <c r="A1879" s="98">
        <v>2005222109</v>
      </c>
      <c r="B1879" s="101" t="s">
        <v>1979</v>
      </c>
      <c r="C1879" s="98" t="s">
        <v>546</v>
      </c>
      <c r="D1879" s="98" t="s">
        <v>835</v>
      </c>
      <c r="E1879" s="98" t="s">
        <v>912</v>
      </c>
      <c r="F1879" s="98" t="s">
        <v>1317</v>
      </c>
      <c r="G1879" s="98" t="s">
        <v>1318</v>
      </c>
    </row>
    <row r="1880" spans="1:7" ht="15" thickBot="1" x14ac:dyDescent="0.4">
      <c r="A1880" s="98">
        <v>2005222109</v>
      </c>
      <c r="B1880" s="101" t="s">
        <v>1979</v>
      </c>
      <c r="C1880" s="98" t="s">
        <v>546</v>
      </c>
      <c r="D1880" s="98" t="s">
        <v>835</v>
      </c>
      <c r="E1880" s="98" t="s">
        <v>911</v>
      </c>
      <c r="F1880" s="98" t="s">
        <v>1317</v>
      </c>
      <c r="G1880" s="98" t="s">
        <v>1318</v>
      </c>
    </row>
    <row r="1881" spans="1:7" ht="15" thickBot="1" x14ac:dyDescent="0.4">
      <c r="A1881" s="98">
        <v>2005222109</v>
      </c>
      <c r="B1881" s="101" t="s">
        <v>1979</v>
      </c>
      <c r="C1881" s="98" t="s">
        <v>546</v>
      </c>
      <c r="D1881" s="98" t="s">
        <v>835</v>
      </c>
      <c r="E1881" s="98" t="s">
        <v>915</v>
      </c>
      <c r="F1881" s="98" t="s">
        <v>1317</v>
      </c>
      <c r="G1881" s="98" t="s">
        <v>1319</v>
      </c>
    </row>
    <row r="1882" spans="1:7" ht="15" thickBot="1" x14ac:dyDescent="0.4">
      <c r="A1882" s="98">
        <v>2005221488</v>
      </c>
      <c r="B1882" s="101" t="s">
        <v>1980</v>
      </c>
      <c r="C1882" s="98" t="s">
        <v>546</v>
      </c>
      <c r="D1882" s="98" t="s">
        <v>835</v>
      </c>
      <c r="E1882" s="98" t="s">
        <v>913</v>
      </c>
      <c r="F1882" s="98" t="s">
        <v>1317</v>
      </c>
      <c r="G1882" s="98" t="s">
        <v>1318</v>
      </c>
    </row>
    <row r="1883" spans="1:7" ht="15" thickBot="1" x14ac:dyDescent="0.4">
      <c r="A1883" s="98">
        <v>2005221488</v>
      </c>
      <c r="B1883" s="101" t="s">
        <v>1980</v>
      </c>
      <c r="C1883" s="98" t="s">
        <v>546</v>
      </c>
      <c r="D1883" s="98" t="s">
        <v>835</v>
      </c>
      <c r="E1883" s="98" t="s">
        <v>911</v>
      </c>
      <c r="F1883" s="98" t="s">
        <v>1317</v>
      </c>
      <c r="G1883" s="98" t="s">
        <v>1318</v>
      </c>
    </row>
    <row r="1884" spans="1:7" ht="15" thickBot="1" x14ac:dyDescent="0.4">
      <c r="A1884" s="98">
        <v>2005221488</v>
      </c>
      <c r="B1884" s="101" t="s">
        <v>1980</v>
      </c>
      <c r="C1884" s="98" t="s">
        <v>546</v>
      </c>
      <c r="D1884" s="98" t="s">
        <v>835</v>
      </c>
      <c r="E1884" s="98" t="s">
        <v>915</v>
      </c>
      <c r="F1884" s="98" t="s">
        <v>1323</v>
      </c>
      <c r="G1884" s="98" t="s">
        <v>1319</v>
      </c>
    </row>
    <row r="1885" spans="1:7" ht="15" thickBot="1" x14ac:dyDescent="0.4">
      <c r="A1885" s="98">
        <v>2005220534</v>
      </c>
      <c r="B1885" s="101" t="s">
        <v>1981</v>
      </c>
      <c r="C1885" s="98" t="s">
        <v>546</v>
      </c>
      <c r="D1885" s="98" t="s">
        <v>835</v>
      </c>
      <c r="E1885" s="98" t="s">
        <v>911</v>
      </c>
      <c r="F1885" s="98" t="s">
        <v>1323</v>
      </c>
      <c r="G1885" s="98" t="s">
        <v>1318</v>
      </c>
    </row>
    <row r="1886" spans="1:7" ht="15" thickBot="1" x14ac:dyDescent="0.4">
      <c r="A1886" s="98">
        <v>2005220534</v>
      </c>
      <c r="B1886" s="101" t="s">
        <v>1981</v>
      </c>
      <c r="C1886" s="98" t="s">
        <v>546</v>
      </c>
      <c r="D1886" s="98" t="s">
        <v>835</v>
      </c>
      <c r="E1886" s="98" t="s">
        <v>914</v>
      </c>
      <c r="F1886" s="98" t="s">
        <v>1317</v>
      </c>
      <c r="G1886" s="98" t="s">
        <v>1318</v>
      </c>
    </row>
    <row r="1887" spans="1:7" ht="15" thickBot="1" x14ac:dyDescent="0.4">
      <c r="A1887" s="98">
        <v>2005220534</v>
      </c>
      <c r="B1887" s="101" t="s">
        <v>1981</v>
      </c>
      <c r="C1887" s="98" t="s">
        <v>546</v>
      </c>
      <c r="D1887" s="98" t="s">
        <v>835</v>
      </c>
      <c r="E1887" s="98" t="s">
        <v>1342</v>
      </c>
      <c r="F1887" s="98" t="s">
        <v>1317</v>
      </c>
      <c r="G1887" s="98" t="s">
        <v>1318</v>
      </c>
    </row>
    <row r="1888" spans="1:7" ht="15" thickBot="1" x14ac:dyDescent="0.4">
      <c r="A1888" s="98">
        <v>2005222878</v>
      </c>
      <c r="B1888" s="101" t="s">
        <v>1982</v>
      </c>
      <c r="C1888" s="98" t="s">
        <v>546</v>
      </c>
      <c r="D1888" s="98" t="s">
        <v>835</v>
      </c>
      <c r="E1888" s="98" t="s">
        <v>912</v>
      </c>
      <c r="F1888" s="98" t="s">
        <v>1317</v>
      </c>
      <c r="G1888" s="98" t="s">
        <v>1318</v>
      </c>
    </row>
    <row r="1889" spans="1:7" ht="15" thickBot="1" x14ac:dyDescent="0.4">
      <c r="A1889" s="98">
        <v>2005222878</v>
      </c>
      <c r="B1889" s="101" t="s">
        <v>1982</v>
      </c>
      <c r="C1889" s="98" t="s">
        <v>546</v>
      </c>
      <c r="D1889" s="98" t="s">
        <v>835</v>
      </c>
      <c r="E1889" s="98" t="s">
        <v>913</v>
      </c>
      <c r="F1889" s="98" t="s">
        <v>1317</v>
      </c>
      <c r="G1889" s="98" t="s">
        <v>1318</v>
      </c>
    </row>
    <row r="1890" spans="1:7" ht="15" thickBot="1" x14ac:dyDescent="0.4">
      <c r="A1890" s="98">
        <v>2005222878</v>
      </c>
      <c r="B1890" s="101" t="s">
        <v>1982</v>
      </c>
      <c r="C1890" s="98" t="s">
        <v>546</v>
      </c>
      <c r="D1890" s="98" t="s">
        <v>835</v>
      </c>
      <c r="E1890" s="98" t="s">
        <v>911</v>
      </c>
      <c r="F1890" s="98" t="s">
        <v>1317</v>
      </c>
      <c r="G1890" s="98" t="s">
        <v>1318</v>
      </c>
    </row>
    <row r="1891" spans="1:7" ht="15" thickBot="1" x14ac:dyDescent="0.4">
      <c r="A1891" s="98">
        <v>2005221468</v>
      </c>
      <c r="B1891" s="101" t="s">
        <v>2048</v>
      </c>
      <c r="C1891" s="98" t="s">
        <v>546</v>
      </c>
      <c r="D1891" s="98" t="s">
        <v>835</v>
      </c>
      <c r="E1891" s="98" t="s">
        <v>913</v>
      </c>
      <c r="F1891" s="98" t="s">
        <v>1317</v>
      </c>
      <c r="G1891" s="98" t="s">
        <v>1318</v>
      </c>
    </row>
    <row r="1892" spans="1:7" ht="15" thickBot="1" x14ac:dyDescent="0.4">
      <c r="A1892" s="98">
        <v>2005221468</v>
      </c>
      <c r="B1892" s="101" t="s">
        <v>2048</v>
      </c>
      <c r="C1892" s="98" t="s">
        <v>546</v>
      </c>
      <c r="D1892" s="98" t="s">
        <v>835</v>
      </c>
      <c r="E1892" s="98" t="s">
        <v>912</v>
      </c>
      <c r="F1892" s="98" t="s">
        <v>1317</v>
      </c>
      <c r="G1892" s="98" t="s">
        <v>1318</v>
      </c>
    </row>
    <row r="1893" spans="1:7" ht="15" thickBot="1" x14ac:dyDescent="0.4">
      <c r="A1893" s="98">
        <v>2005221468</v>
      </c>
      <c r="B1893" s="101" t="s">
        <v>2048</v>
      </c>
      <c r="C1893" s="98" t="s">
        <v>546</v>
      </c>
      <c r="D1893" s="98" t="s">
        <v>835</v>
      </c>
      <c r="E1893" s="98" t="s">
        <v>915</v>
      </c>
      <c r="F1893" s="98" t="s">
        <v>1323</v>
      </c>
      <c r="G1893" s="98" t="s">
        <v>1319</v>
      </c>
    </row>
    <row r="1894" spans="1:7" ht="15" thickBot="1" x14ac:dyDescent="0.4">
      <c r="A1894" s="98">
        <v>2005230399</v>
      </c>
      <c r="B1894" s="101" t="s">
        <v>1501</v>
      </c>
      <c r="C1894" s="98" t="s">
        <v>1502</v>
      </c>
      <c r="D1894" s="98" t="s">
        <v>835</v>
      </c>
      <c r="E1894" s="98" t="s">
        <v>2086</v>
      </c>
      <c r="F1894" s="98" t="s">
        <v>1317</v>
      </c>
      <c r="G1894" s="98" t="s">
        <v>1318</v>
      </c>
    </row>
    <row r="1895" spans="1:7" ht="15" thickBot="1" x14ac:dyDescent="0.4">
      <c r="A1895" s="98">
        <v>2005223612</v>
      </c>
      <c r="B1895" s="101" t="s">
        <v>1503</v>
      </c>
      <c r="C1895" s="98" t="s">
        <v>834</v>
      </c>
      <c r="D1895" s="98" t="s">
        <v>835</v>
      </c>
      <c r="E1895" s="98" t="s">
        <v>912</v>
      </c>
      <c r="F1895" s="98" t="s">
        <v>1317</v>
      </c>
      <c r="G1895" s="98" t="s">
        <v>1318</v>
      </c>
    </row>
    <row r="1896" spans="1:7" ht="15" thickBot="1" x14ac:dyDescent="0.4">
      <c r="A1896" s="98">
        <v>2005223612</v>
      </c>
      <c r="B1896" s="101" t="s">
        <v>1503</v>
      </c>
      <c r="C1896" s="98" t="s">
        <v>834</v>
      </c>
      <c r="D1896" s="98" t="s">
        <v>835</v>
      </c>
      <c r="E1896" s="98" t="s">
        <v>911</v>
      </c>
      <c r="F1896" s="98" t="s">
        <v>1317</v>
      </c>
      <c r="G1896" s="98" t="s">
        <v>1318</v>
      </c>
    </row>
    <row r="1897" spans="1:7" ht="15" thickBot="1" x14ac:dyDescent="0.4">
      <c r="A1897" s="98">
        <v>2005223612</v>
      </c>
      <c r="B1897" s="101" t="s">
        <v>1503</v>
      </c>
      <c r="C1897" s="98" t="s">
        <v>834</v>
      </c>
      <c r="D1897" s="98" t="s">
        <v>835</v>
      </c>
      <c r="E1897" s="98" t="s">
        <v>915</v>
      </c>
      <c r="F1897" s="98" t="s">
        <v>1317</v>
      </c>
      <c r="G1897" s="98" t="s">
        <v>1319</v>
      </c>
    </row>
    <row r="1898" spans="1:7" ht="15" thickBot="1" x14ac:dyDescent="0.4">
      <c r="A1898" s="98">
        <v>2005222192</v>
      </c>
      <c r="B1898" s="101" t="s">
        <v>1983</v>
      </c>
      <c r="C1898" s="98" t="s">
        <v>546</v>
      </c>
      <c r="D1898" s="98" t="s">
        <v>835</v>
      </c>
      <c r="E1898" s="98" t="s">
        <v>911</v>
      </c>
      <c r="F1898" s="98" t="s">
        <v>1317</v>
      </c>
      <c r="G1898" s="98" t="s">
        <v>1318</v>
      </c>
    </row>
    <row r="1899" spans="1:7" ht="15" thickBot="1" x14ac:dyDescent="0.4">
      <c r="A1899" s="98">
        <v>2005222192</v>
      </c>
      <c r="B1899" s="101" t="s">
        <v>1984</v>
      </c>
      <c r="C1899" s="98" t="s">
        <v>546</v>
      </c>
      <c r="D1899" s="98" t="s">
        <v>835</v>
      </c>
      <c r="E1899" s="98" t="s">
        <v>1395</v>
      </c>
      <c r="F1899" s="98" t="s">
        <v>1317</v>
      </c>
      <c r="G1899" s="98" t="s">
        <v>1318</v>
      </c>
    </row>
    <row r="1900" spans="1:7" ht="15" thickBot="1" x14ac:dyDescent="0.4">
      <c r="A1900" s="98">
        <v>2005222192</v>
      </c>
      <c r="B1900" s="101" t="s">
        <v>1984</v>
      </c>
      <c r="C1900" s="98" t="s">
        <v>546</v>
      </c>
      <c r="D1900" s="98" t="s">
        <v>835</v>
      </c>
      <c r="E1900" s="98" t="s">
        <v>912</v>
      </c>
      <c r="F1900" s="98" t="s">
        <v>1317</v>
      </c>
      <c r="G1900" s="98" t="s">
        <v>1318</v>
      </c>
    </row>
    <row r="1901" spans="1:7" ht="15" thickBot="1" x14ac:dyDescent="0.4">
      <c r="A1901" s="98">
        <v>2005221169</v>
      </c>
      <c r="B1901" s="101" t="s">
        <v>1985</v>
      </c>
      <c r="C1901" s="98" t="s">
        <v>1941</v>
      </c>
      <c r="D1901" s="98" t="s">
        <v>835</v>
      </c>
      <c r="E1901" s="98" t="s">
        <v>912</v>
      </c>
      <c r="F1901" s="98" t="s">
        <v>1317</v>
      </c>
      <c r="G1901" s="98" t="s">
        <v>1318</v>
      </c>
    </row>
    <row r="1902" spans="1:7" ht="15" thickBot="1" x14ac:dyDescent="0.4">
      <c r="A1902" s="98">
        <v>2005221169</v>
      </c>
      <c r="B1902" s="101" t="s">
        <v>1985</v>
      </c>
      <c r="C1902" s="98" t="s">
        <v>1941</v>
      </c>
      <c r="D1902" s="98" t="s">
        <v>835</v>
      </c>
      <c r="E1902" s="98" t="s">
        <v>911</v>
      </c>
      <c r="F1902" s="98" t="s">
        <v>1317</v>
      </c>
      <c r="G1902" s="98" t="s">
        <v>1318</v>
      </c>
    </row>
    <row r="1903" spans="1:7" ht="15" thickBot="1" x14ac:dyDescent="0.4">
      <c r="A1903" s="98">
        <v>2005220653</v>
      </c>
      <c r="B1903" s="101" t="s">
        <v>1986</v>
      </c>
      <c r="C1903" s="98" t="s">
        <v>546</v>
      </c>
      <c r="D1903" s="98" t="s">
        <v>835</v>
      </c>
      <c r="E1903" s="98" t="s">
        <v>911</v>
      </c>
      <c r="F1903" s="98" t="s">
        <v>1317</v>
      </c>
      <c r="G1903" s="98" t="s">
        <v>1318</v>
      </c>
    </row>
    <row r="1904" spans="1:7" ht="15" thickBot="1" x14ac:dyDescent="0.4">
      <c r="A1904" s="98">
        <v>2005220653</v>
      </c>
      <c r="B1904" s="101" t="s">
        <v>1986</v>
      </c>
      <c r="C1904" s="98" t="s">
        <v>546</v>
      </c>
      <c r="D1904" s="98" t="s">
        <v>835</v>
      </c>
      <c r="E1904" s="98" t="s">
        <v>912</v>
      </c>
      <c r="F1904" s="98" t="s">
        <v>1317</v>
      </c>
      <c r="G1904" s="98" t="s">
        <v>1319</v>
      </c>
    </row>
    <row r="1905" spans="1:7" ht="15" thickBot="1" x14ac:dyDescent="0.4">
      <c r="A1905" s="98">
        <v>2005220653</v>
      </c>
      <c r="B1905" s="101" t="s">
        <v>1986</v>
      </c>
      <c r="C1905" s="98" t="s">
        <v>546</v>
      </c>
      <c r="D1905" s="98" t="s">
        <v>835</v>
      </c>
      <c r="E1905" s="98" t="s">
        <v>1342</v>
      </c>
      <c r="F1905" s="98" t="s">
        <v>1317</v>
      </c>
      <c r="G1905" s="98" t="s">
        <v>1318</v>
      </c>
    </row>
    <row r="1906" spans="1:7" ht="15" thickBot="1" x14ac:dyDescent="0.4">
      <c r="A1906" s="98">
        <v>2041225752</v>
      </c>
      <c r="B1906" s="101" t="s">
        <v>1987</v>
      </c>
      <c r="C1906" s="98" t="s">
        <v>1941</v>
      </c>
      <c r="D1906" s="98" t="s">
        <v>835</v>
      </c>
      <c r="E1906" s="98" t="s">
        <v>2086</v>
      </c>
      <c r="F1906" s="98" t="s">
        <v>1317</v>
      </c>
      <c r="G1906" s="98" t="s">
        <v>1318</v>
      </c>
    </row>
    <row r="1907" spans="1:7" ht="15" thickBot="1" x14ac:dyDescent="0.4">
      <c r="A1907" s="98">
        <v>2041225752</v>
      </c>
      <c r="B1907" s="101" t="s">
        <v>1987</v>
      </c>
      <c r="C1907" s="98" t="s">
        <v>1941</v>
      </c>
      <c r="D1907" s="98" t="s">
        <v>835</v>
      </c>
      <c r="E1907" s="98" t="s">
        <v>912</v>
      </c>
      <c r="F1907" s="98" t="s">
        <v>1317</v>
      </c>
      <c r="G1907" s="98" t="s">
        <v>1318</v>
      </c>
    </row>
    <row r="1908" spans="1:7" ht="15" thickBot="1" x14ac:dyDescent="0.4">
      <c r="A1908" s="98">
        <v>2041225752</v>
      </c>
      <c r="B1908" s="101" t="s">
        <v>1987</v>
      </c>
      <c r="C1908" s="98" t="s">
        <v>1941</v>
      </c>
      <c r="D1908" s="98" t="s">
        <v>835</v>
      </c>
      <c r="E1908" s="98" t="s">
        <v>916</v>
      </c>
      <c r="F1908" s="98" t="s">
        <v>1323</v>
      </c>
      <c r="G1908" s="98" t="s">
        <v>1319</v>
      </c>
    </row>
    <row r="1909" spans="1:7" ht="15" thickBot="1" x14ac:dyDescent="0.4">
      <c r="A1909" s="98">
        <v>2005223140</v>
      </c>
      <c r="B1909" s="101" t="s">
        <v>1988</v>
      </c>
      <c r="C1909" s="98" t="s">
        <v>1941</v>
      </c>
      <c r="D1909" s="98" t="s">
        <v>835</v>
      </c>
      <c r="E1909" s="98" t="s">
        <v>912</v>
      </c>
      <c r="F1909" s="98" t="s">
        <v>1317</v>
      </c>
      <c r="G1909" s="98" t="s">
        <v>1318</v>
      </c>
    </row>
    <row r="1910" spans="1:7" ht="15" thickBot="1" x14ac:dyDescent="0.4">
      <c r="A1910" s="98">
        <v>2005223140</v>
      </c>
      <c r="B1910" s="101" t="s">
        <v>1988</v>
      </c>
      <c r="C1910" s="98" t="s">
        <v>1941</v>
      </c>
      <c r="D1910" s="98" t="s">
        <v>835</v>
      </c>
      <c r="E1910" s="98" t="s">
        <v>914</v>
      </c>
      <c r="F1910" s="98" t="s">
        <v>1317</v>
      </c>
      <c r="G1910" s="98" t="s">
        <v>1318</v>
      </c>
    </row>
    <row r="1911" spans="1:7" ht="15" thickBot="1" x14ac:dyDescent="0.4">
      <c r="A1911" s="98">
        <v>2005223140</v>
      </c>
      <c r="B1911" s="101" t="s">
        <v>1988</v>
      </c>
      <c r="C1911" s="98" t="s">
        <v>1941</v>
      </c>
      <c r="D1911" s="98" t="s">
        <v>835</v>
      </c>
      <c r="E1911" s="98" t="s">
        <v>915</v>
      </c>
      <c r="F1911" s="98" t="s">
        <v>1323</v>
      </c>
      <c r="G1911" s="98" t="s">
        <v>1319</v>
      </c>
    </row>
    <row r="1912" spans="1:7" ht="15" thickBot="1" x14ac:dyDescent="0.4">
      <c r="A1912" s="98">
        <v>2005222923</v>
      </c>
      <c r="B1912" s="101" t="s">
        <v>1989</v>
      </c>
      <c r="C1912" s="98" t="s">
        <v>546</v>
      </c>
      <c r="D1912" s="98" t="s">
        <v>835</v>
      </c>
      <c r="E1912" s="98" t="s">
        <v>912</v>
      </c>
      <c r="F1912" s="98" t="s">
        <v>1317</v>
      </c>
      <c r="G1912" s="98" t="s">
        <v>1318</v>
      </c>
    </row>
    <row r="1913" spans="1:7" ht="15" thickBot="1" x14ac:dyDescent="0.4">
      <c r="A1913" s="98">
        <v>2005222923</v>
      </c>
      <c r="B1913" s="101" t="s">
        <v>1989</v>
      </c>
      <c r="C1913" s="98" t="s">
        <v>546</v>
      </c>
      <c r="D1913" s="98" t="s">
        <v>835</v>
      </c>
      <c r="E1913" s="98" t="s">
        <v>914</v>
      </c>
      <c r="F1913" s="98" t="s">
        <v>1317</v>
      </c>
      <c r="G1913" s="98" t="s">
        <v>1318</v>
      </c>
    </row>
    <row r="1914" spans="1:7" ht="15" thickBot="1" x14ac:dyDescent="0.4">
      <c r="A1914" s="98">
        <v>2005222923</v>
      </c>
      <c r="B1914" s="101" t="s">
        <v>1989</v>
      </c>
      <c r="C1914" s="98" t="s">
        <v>546</v>
      </c>
      <c r="D1914" s="98" t="s">
        <v>835</v>
      </c>
      <c r="E1914" s="98" t="s">
        <v>915</v>
      </c>
      <c r="F1914" s="98" t="s">
        <v>1317</v>
      </c>
      <c r="G1914" s="98" t="s">
        <v>1319</v>
      </c>
    </row>
    <row r="1915" spans="1:7" ht="15" thickBot="1" x14ac:dyDescent="0.4">
      <c r="A1915" s="98">
        <v>2005222295</v>
      </c>
      <c r="B1915" s="101" t="s">
        <v>1990</v>
      </c>
      <c r="C1915" s="98" t="s">
        <v>546</v>
      </c>
      <c r="D1915" s="98" t="s">
        <v>835</v>
      </c>
      <c r="E1915" s="98" t="s">
        <v>911</v>
      </c>
      <c r="F1915" s="98" t="s">
        <v>1317</v>
      </c>
      <c r="G1915" s="98" t="s">
        <v>1318</v>
      </c>
    </row>
    <row r="1916" spans="1:7" ht="15" thickBot="1" x14ac:dyDescent="0.4">
      <c r="A1916" s="98">
        <v>2005222295</v>
      </c>
      <c r="B1916" s="101" t="s">
        <v>1990</v>
      </c>
      <c r="C1916" s="98" t="s">
        <v>546</v>
      </c>
      <c r="D1916" s="98" t="s">
        <v>835</v>
      </c>
      <c r="E1916" s="98" t="s">
        <v>912</v>
      </c>
      <c r="F1916" s="98" t="s">
        <v>1317</v>
      </c>
      <c r="G1916" s="98" t="s">
        <v>1318</v>
      </c>
    </row>
    <row r="1917" spans="1:7" ht="15" thickBot="1" x14ac:dyDescent="0.4">
      <c r="A1917" s="98">
        <v>2005222295</v>
      </c>
      <c r="B1917" s="101" t="s">
        <v>1990</v>
      </c>
      <c r="C1917" s="98" t="s">
        <v>546</v>
      </c>
      <c r="D1917" s="98" t="s">
        <v>835</v>
      </c>
      <c r="E1917" s="98" t="s">
        <v>915</v>
      </c>
      <c r="F1917" s="98" t="s">
        <v>1317</v>
      </c>
      <c r="G1917" s="98" t="s">
        <v>1319</v>
      </c>
    </row>
    <row r="1918" spans="1:7" ht="15" thickBot="1" x14ac:dyDescent="0.4">
      <c r="A1918" s="98">
        <v>2005220882</v>
      </c>
      <c r="B1918" s="101" t="s">
        <v>1991</v>
      </c>
      <c r="C1918" s="98" t="s">
        <v>546</v>
      </c>
      <c r="D1918" s="98" t="s">
        <v>835</v>
      </c>
      <c r="E1918" s="98" t="s">
        <v>1406</v>
      </c>
      <c r="F1918" s="98" t="s">
        <v>1317</v>
      </c>
      <c r="G1918" s="98" t="s">
        <v>1318</v>
      </c>
    </row>
    <row r="1919" spans="1:7" ht="15" thickBot="1" x14ac:dyDescent="0.4">
      <c r="A1919" s="98">
        <v>2005220882</v>
      </c>
      <c r="B1919" s="101" t="s">
        <v>1991</v>
      </c>
      <c r="C1919" s="98" t="s">
        <v>546</v>
      </c>
      <c r="D1919" s="98" t="s">
        <v>835</v>
      </c>
      <c r="E1919" s="98" t="s">
        <v>912</v>
      </c>
      <c r="F1919" s="98" t="s">
        <v>1317</v>
      </c>
      <c r="G1919" s="98" t="s">
        <v>1318</v>
      </c>
    </row>
    <row r="1920" spans="1:7" ht="15" thickBot="1" x14ac:dyDescent="0.4">
      <c r="A1920" s="98">
        <v>2005220882</v>
      </c>
      <c r="B1920" s="101" t="s">
        <v>1991</v>
      </c>
      <c r="C1920" s="98" t="s">
        <v>546</v>
      </c>
      <c r="D1920" s="98" t="s">
        <v>835</v>
      </c>
      <c r="E1920" s="98" t="s">
        <v>1342</v>
      </c>
      <c r="F1920" s="98" t="s">
        <v>1317</v>
      </c>
      <c r="G1920" s="98" t="s">
        <v>1318</v>
      </c>
    </row>
    <row r="1921" spans="1:7" ht="15" thickBot="1" x14ac:dyDescent="0.4">
      <c r="A1921" s="98">
        <v>2005222214</v>
      </c>
      <c r="B1921" s="101" t="s">
        <v>1992</v>
      </c>
      <c r="C1921" s="98" t="s">
        <v>834</v>
      </c>
      <c r="D1921" s="98" t="s">
        <v>835</v>
      </c>
      <c r="E1921" s="98" t="s">
        <v>912</v>
      </c>
      <c r="F1921" s="98" t="s">
        <v>1317</v>
      </c>
      <c r="G1921" s="98" t="s">
        <v>1318</v>
      </c>
    </row>
    <row r="1922" spans="1:7" ht="15" thickBot="1" x14ac:dyDescent="0.4">
      <c r="A1922" s="98">
        <v>2005222214</v>
      </c>
      <c r="B1922" s="101" t="s">
        <v>1992</v>
      </c>
      <c r="C1922" s="98" t="s">
        <v>834</v>
      </c>
      <c r="D1922" s="98" t="s">
        <v>835</v>
      </c>
      <c r="E1922" s="98" t="s">
        <v>914</v>
      </c>
      <c r="F1922" s="98" t="s">
        <v>1317</v>
      </c>
      <c r="G1922" s="98" t="s">
        <v>1318</v>
      </c>
    </row>
    <row r="1923" spans="1:7" ht="15" thickBot="1" x14ac:dyDescent="0.4">
      <c r="A1923" s="98">
        <v>2005230414</v>
      </c>
      <c r="B1923" s="101" t="s">
        <v>2052</v>
      </c>
      <c r="C1923" s="98" t="s">
        <v>1457</v>
      </c>
      <c r="D1923" s="98" t="s">
        <v>835</v>
      </c>
      <c r="E1923" s="98" t="s">
        <v>2086</v>
      </c>
      <c r="F1923" s="98" t="s">
        <v>1323</v>
      </c>
      <c r="G1923" s="98" t="s">
        <v>1318</v>
      </c>
    </row>
    <row r="1924" spans="1:7" ht="15" thickBot="1" x14ac:dyDescent="0.4">
      <c r="A1924" s="98">
        <v>2005230625</v>
      </c>
      <c r="B1924" s="101" t="s">
        <v>1528</v>
      </c>
      <c r="C1924" s="98" t="s">
        <v>1529</v>
      </c>
      <c r="D1924" s="98" t="s">
        <v>835</v>
      </c>
      <c r="E1924" s="98" t="s">
        <v>2086</v>
      </c>
      <c r="F1924" s="98" t="s">
        <v>1317</v>
      </c>
      <c r="G1924" s="98" t="s">
        <v>1318</v>
      </c>
    </row>
    <row r="1925" spans="1:7" ht="15" thickBot="1" x14ac:dyDescent="0.4">
      <c r="A1925" s="98">
        <v>2005222330</v>
      </c>
      <c r="B1925" s="101" t="s">
        <v>1993</v>
      </c>
      <c r="C1925" s="98" t="s">
        <v>546</v>
      </c>
      <c r="D1925" s="98" t="s">
        <v>835</v>
      </c>
      <c r="E1925" s="98" t="s">
        <v>911</v>
      </c>
      <c r="F1925" s="98" t="s">
        <v>1317</v>
      </c>
      <c r="G1925" s="98" t="s">
        <v>1318</v>
      </c>
    </row>
    <row r="1926" spans="1:7" ht="15" thickBot="1" x14ac:dyDescent="0.4">
      <c r="A1926" s="98">
        <v>2005222330</v>
      </c>
      <c r="B1926" s="101" t="s">
        <v>1993</v>
      </c>
      <c r="C1926" s="98" t="s">
        <v>546</v>
      </c>
      <c r="D1926" s="98" t="s">
        <v>835</v>
      </c>
      <c r="E1926" s="98" t="s">
        <v>912</v>
      </c>
      <c r="F1926" s="98" t="s">
        <v>1317</v>
      </c>
      <c r="G1926" s="98" t="s">
        <v>1318</v>
      </c>
    </row>
    <row r="1927" spans="1:7" ht="15" thickBot="1" x14ac:dyDescent="0.4">
      <c r="A1927" s="98">
        <v>2005222330</v>
      </c>
      <c r="B1927" s="101" t="s">
        <v>1993</v>
      </c>
      <c r="C1927" s="98" t="s">
        <v>546</v>
      </c>
      <c r="D1927" s="98" t="s">
        <v>835</v>
      </c>
      <c r="E1927" s="98" t="s">
        <v>1342</v>
      </c>
      <c r="F1927" s="98" t="s">
        <v>1317</v>
      </c>
      <c r="G1927" s="98" t="s">
        <v>1318</v>
      </c>
    </row>
    <row r="1928" spans="1:7" ht="15" thickBot="1" x14ac:dyDescent="0.4">
      <c r="A1928" s="98">
        <v>2005224768</v>
      </c>
      <c r="B1928" s="101" t="s">
        <v>1994</v>
      </c>
      <c r="C1928" s="98" t="s">
        <v>1941</v>
      </c>
      <c r="D1928" s="98" t="s">
        <v>835</v>
      </c>
      <c r="E1928" s="98" t="s">
        <v>911</v>
      </c>
      <c r="F1928" s="98" t="s">
        <v>1317</v>
      </c>
      <c r="G1928" s="98" t="s">
        <v>1318</v>
      </c>
    </row>
    <row r="1929" spans="1:7" ht="15" thickBot="1" x14ac:dyDescent="0.4">
      <c r="A1929" s="98">
        <v>2005224768</v>
      </c>
      <c r="B1929" s="101" t="s">
        <v>1994</v>
      </c>
      <c r="C1929" s="98" t="s">
        <v>1941</v>
      </c>
      <c r="D1929" s="98" t="s">
        <v>835</v>
      </c>
      <c r="E1929" s="98" t="s">
        <v>912</v>
      </c>
      <c r="F1929" s="98" t="s">
        <v>1317</v>
      </c>
      <c r="G1929" s="98" t="s">
        <v>1318</v>
      </c>
    </row>
    <row r="1930" spans="1:7" ht="15" thickBot="1" x14ac:dyDescent="0.4">
      <c r="A1930" s="98">
        <v>2005223375</v>
      </c>
      <c r="B1930" s="101" t="s">
        <v>1995</v>
      </c>
      <c r="C1930" s="98" t="s">
        <v>546</v>
      </c>
      <c r="D1930" s="98" t="s">
        <v>835</v>
      </c>
      <c r="E1930" s="98" t="s">
        <v>912</v>
      </c>
      <c r="F1930" s="98" t="s">
        <v>1317</v>
      </c>
      <c r="G1930" s="98" t="s">
        <v>1318</v>
      </c>
    </row>
    <row r="1931" spans="1:7" ht="15" thickBot="1" x14ac:dyDescent="0.4">
      <c r="A1931" s="98">
        <v>2005223375</v>
      </c>
      <c r="B1931" s="101" t="s">
        <v>1995</v>
      </c>
      <c r="C1931" s="98" t="s">
        <v>546</v>
      </c>
      <c r="D1931" s="98" t="s">
        <v>835</v>
      </c>
      <c r="E1931" s="98" t="s">
        <v>911</v>
      </c>
      <c r="F1931" s="98" t="s">
        <v>1317</v>
      </c>
      <c r="G1931" s="98" t="s">
        <v>1318</v>
      </c>
    </row>
    <row r="1932" spans="1:7" ht="15" thickBot="1" x14ac:dyDescent="0.4">
      <c r="A1932" s="98">
        <v>2005223375</v>
      </c>
      <c r="B1932" s="101" t="s">
        <v>1995</v>
      </c>
      <c r="C1932" s="98" t="s">
        <v>546</v>
      </c>
      <c r="D1932" s="98" t="s">
        <v>835</v>
      </c>
      <c r="E1932" s="98" t="s">
        <v>915</v>
      </c>
      <c r="F1932" s="98" t="s">
        <v>1323</v>
      </c>
      <c r="G1932" s="98" t="s">
        <v>1319</v>
      </c>
    </row>
    <row r="1933" spans="1:7" ht="15" thickBot="1" x14ac:dyDescent="0.4">
      <c r="A1933" s="98">
        <v>2005222345</v>
      </c>
      <c r="B1933" s="101" t="s">
        <v>1996</v>
      </c>
      <c r="C1933" s="98" t="s">
        <v>546</v>
      </c>
      <c r="D1933" s="98" t="s">
        <v>835</v>
      </c>
      <c r="E1933" s="98" t="s">
        <v>912</v>
      </c>
      <c r="F1933" s="98" t="s">
        <v>1317</v>
      </c>
      <c r="G1933" s="98" t="s">
        <v>1318</v>
      </c>
    </row>
    <row r="1934" spans="1:7" ht="15" thickBot="1" x14ac:dyDescent="0.4">
      <c r="A1934" s="98">
        <v>2005222345</v>
      </c>
      <c r="B1934" s="101" t="s">
        <v>1996</v>
      </c>
      <c r="C1934" s="98" t="s">
        <v>546</v>
      </c>
      <c r="D1934" s="98" t="s">
        <v>835</v>
      </c>
      <c r="E1934" s="98" t="s">
        <v>1342</v>
      </c>
      <c r="F1934" s="98" t="s">
        <v>1317</v>
      </c>
      <c r="G1934" s="98" t="s">
        <v>1318</v>
      </c>
    </row>
    <row r="1935" spans="1:7" ht="15" thickBot="1" x14ac:dyDescent="0.4">
      <c r="A1935" s="98">
        <v>2005222345</v>
      </c>
      <c r="B1935" s="101" t="s">
        <v>1996</v>
      </c>
      <c r="C1935" s="98" t="s">
        <v>546</v>
      </c>
      <c r="D1935" s="98" t="s">
        <v>835</v>
      </c>
      <c r="E1935" s="98" t="s">
        <v>911</v>
      </c>
      <c r="F1935" s="98" t="s">
        <v>1317</v>
      </c>
      <c r="G1935" s="98" t="s">
        <v>1318</v>
      </c>
    </row>
    <row r="1936" spans="1:7" ht="15" thickBot="1" x14ac:dyDescent="0.4">
      <c r="A1936" s="98">
        <v>2005221311</v>
      </c>
      <c r="B1936" s="101" t="s">
        <v>1428</v>
      </c>
      <c r="C1936" s="98" t="s">
        <v>196</v>
      </c>
      <c r="D1936" s="98" t="s">
        <v>835</v>
      </c>
      <c r="E1936" s="98" t="s">
        <v>912</v>
      </c>
      <c r="F1936" s="98" t="s">
        <v>1317</v>
      </c>
      <c r="G1936" s="98" t="s">
        <v>1318</v>
      </c>
    </row>
    <row r="1937" spans="1:7" ht="15" thickBot="1" x14ac:dyDescent="0.4">
      <c r="A1937" s="98">
        <v>2005223492</v>
      </c>
      <c r="B1937" s="101" t="s">
        <v>1997</v>
      </c>
      <c r="C1937" s="98" t="s">
        <v>546</v>
      </c>
      <c r="D1937" s="98" t="s">
        <v>835</v>
      </c>
      <c r="E1937" s="98" t="s">
        <v>912</v>
      </c>
      <c r="F1937" s="98" t="s">
        <v>1317</v>
      </c>
      <c r="G1937" s="98" t="s">
        <v>1318</v>
      </c>
    </row>
    <row r="1938" spans="1:7" ht="15" thickBot="1" x14ac:dyDescent="0.4">
      <c r="A1938" s="98">
        <v>2005223492</v>
      </c>
      <c r="B1938" s="101" t="s">
        <v>1997</v>
      </c>
      <c r="C1938" s="98" t="s">
        <v>546</v>
      </c>
      <c r="D1938" s="98" t="s">
        <v>835</v>
      </c>
      <c r="E1938" s="98" t="s">
        <v>911</v>
      </c>
      <c r="F1938" s="98" t="s">
        <v>1317</v>
      </c>
      <c r="G1938" s="98" t="s">
        <v>1318</v>
      </c>
    </row>
    <row r="1939" spans="1:7" ht="15" thickBot="1" x14ac:dyDescent="0.4">
      <c r="A1939" s="98">
        <v>2005223492</v>
      </c>
      <c r="B1939" s="101" t="s">
        <v>1997</v>
      </c>
      <c r="C1939" s="98" t="s">
        <v>546</v>
      </c>
      <c r="D1939" s="98" t="s">
        <v>835</v>
      </c>
      <c r="E1939" s="98" t="s">
        <v>913</v>
      </c>
      <c r="F1939" s="98" t="s">
        <v>1317</v>
      </c>
      <c r="G1939" s="98" t="s">
        <v>1318</v>
      </c>
    </row>
    <row r="1940" spans="1:7" ht="15" thickBot="1" x14ac:dyDescent="0.4">
      <c r="A1940" s="98">
        <v>2005220091</v>
      </c>
      <c r="B1940" s="101" t="s">
        <v>1998</v>
      </c>
      <c r="C1940" s="98" t="s">
        <v>546</v>
      </c>
      <c r="D1940" s="98" t="s">
        <v>835</v>
      </c>
      <c r="E1940" s="98" t="s">
        <v>912</v>
      </c>
      <c r="F1940" s="98" t="s">
        <v>1317</v>
      </c>
      <c r="G1940" s="98" t="s">
        <v>1318</v>
      </c>
    </row>
    <row r="1941" spans="1:7" ht="15" thickBot="1" x14ac:dyDescent="0.4">
      <c r="A1941" s="98">
        <v>2005220091</v>
      </c>
      <c r="B1941" s="101" t="s">
        <v>1998</v>
      </c>
      <c r="C1941" s="98" t="s">
        <v>546</v>
      </c>
      <c r="D1941" s="98" t="s">
        <v>835</v>
      </c>
      <c r="E1941" s="98" t="s">
        <v>1342</v>
      </c>
      <c r="F1941" s="98" t="s">
        <v>1317</v>
      </c>
      <c r="G1941" s="98" t="s">
        <v>1318</v>
      </c>
    </row>
    <row r="1942" spans="1:7" ht="15" thickBot="1" x14ac:dyDescent="0.4">
      <c r="A1942" s="98">
        <v>2005220091</v>
      </c>
      <c r="B1942" s="101" t="s">
        <v>1998</v>
      </c>
      <c r="C1942" s="98" t="s">
        <v>546</v>
      </c>
      <c r="D1942" s="98" t="s">
        <v>835</v>
      </c>
      <c r="E1942" s="98" t="s">
        <v>912</v>
      </c>
      <c r="F1942" s="98" t="s">
        <v>1317</v>
      </c>
      <c r="G1942" s="98" t="s">
        <v>1318</v>
      </c>
    </row>
    <row r="1943" spans="1:7" ht="15" thickBot="1" x14ac:dyDescent="0.4">
      <c r="A1943" s="98">
        <v>2005220091</v>
      </c>
      <c r="B1943" s="101" t="s">
        <v>1998</v>
      </c>
      <c r="C1943" s="98" t="s">
        <v>546</v>
      </c>
      <c r="D1943" s="98" t="s">
        <v>835</v>
      </c>
      <c r="E1943" s="98" t="s">
        <v>911</v>
      </c>
      <c r="F1943" s="98" t="s">
        <v>1317</v>
      </c>
      <c r="G1943" s="98" t="s">
        <v>1318</v>
      </c>
    </row>
    <row r="1944" spans="1:7" ht="15" thickBot="1" x14ac:dyDescent="0.4">
      <c r="A1944" s="98">
        <v>2041221401</v>
      </c>
      <c r="B1944" s="101" t="s">
        <v>1366</v>
      </c>
      <c r="C1944" s="98" t="s">
        <v>148</v>
      </c>
      <c r="D1944" s="98" t="s">
        <v>835</v>
      </c>
      <c r="E1944" s="98" t="s">
        <v>913</v>
      </c>
      <c r="F1944" s="98" t="s">
        <v>1317</v>
      </c>
      <c r="G1944" s="98" t="s">
        <v>1318</v>
      </c>
    </row>
    <row r="1945" spans="1:7" ht="15" thickBot="1" x14ac:dyDescent="0.4">
      <c r="A1945" s="98">
        <v>2005223302</v>
      </c>
      <c r="B1945" s="101" t="s">
        <v>1999</v>
      </c>
      <c r="C1945" s="98" t="s">
        <v>546</v>
      </c>
      <c r="D1945" s="98" t="s">
        <v>835</v>
      </c>
      <c r="E1945" s="98" t="s">
        <v>911</v>
      </c>
      <c r="F1945" s="98" t="s">
        <v>1317</v>
      </c>
      <c r="G1945" s="98" t="s">
        <v>1318</v>
      </c>
    </row>
    <row r="1946" spans="1:7" ht="15" thickBot="1" x14ac:dyDescent="0.4">
      <c r="A1946" s="98">
        <v>2005223302</v>
      </c>
      <c r="B1946" s="101" t="s">
        <v>1999</v>
      </c>
      <c r="C1946" s="98" t="s">
        <v>546</v>
      </c>
      <c r="D1946" s="98" t="s">
        <v>835</v>
      </c>
      <c r="E1946" s="98" t="s">
        <v>915</v>
      </c>
      <c r="F1946" s="98" t="s">
        <v>1323</v>
      </c>
      <c r="G1946" s="98" t="s">
        <v>1319</v>
      </c>
    </row>
    <row r="1947" spans="1:7" ht="15" thickBot="1" x14ac:dyDescent="0.4">
      <c r="A1947" s="98">
        <v>2005223302</v>
      </c>
      <c r="B1947" s="101" t="s">
        <v>1999</v>
      </c>
      <c r="C1947" s="98" t="s">
        <v>546</v>
      </c>
      <c r="D1947" s="98" t="s">
        <v>835</v>
      </c>
      <c r="E1947" s="98" t="s">
        <v>912</v>
      </c>
      <c r="F1947" s="98" t="s">
        <v>1317</v>
      </c>
      <c r="G1947" s="98" t="s">
        <v>1318</v>
      </c>
    </row>
    <row r="1948" spans="1:7" ht="15" thickBot="1" x14ac:dyDescent="0.4">
      <c r="A1948" s="98">
        <v>2005220038</v>
      </c>
      <c r="B1948" s="101" t="s">
        <v>2000</v>
      </c>
      <c r="C1948" s="98" t="s">
        <v>546</v>
      </c>
      <c r="D1948" s="98" t="s">
        <v>835</v>
      </c>
      <c r="E1948" s="98" t="s">
        <v>912</v>
      </c>
      <c r="F1948" s="98" t="s">
        <v>1317</v>
      </c>
      <c r="G1948" s="98" t="s">
        <v>1318</v>
      </c>
    </row>
    <row r="1949" spans="1:7" ht="15" thickBot="1" x14ac:dyDescent="0.4">
      <c r="A1949" s="98">
        <v>2005220038</v>
      </c>
      <c r="B1949" s="101" t="s">
        <v>2000</v>
      </c>
      <c r="C1949" s="98" t="s">
        <v>546</v>
      </c>
      <c r="D1949" s="98" t="s">
        <v>835</v>
      </c>
      <c r="E1949" s="98" t="s">
        <v>911</v>
      </c>
      <c r="F1949" s="98" t="s">
        <v>1317</v>
      </c>
      <c r="G1949" s="98" t="s">
        <v>1318</v>
      </c>
    </row>
    <row r="1950" spans="1:7" ht="15" thickBot="1" x14ac:dyDescent="0.4">
      <c r="A1950" s="98">
        <v>2005220038</v>
      </c>
      <c r="B1950" s="101" t="s">
        <v>2000</v>
      </c>
      <c r="C1950" s="98" t="s">
        <v>546</v>
      </c>
      <c r="D1950" s="98" t="s">
        <v>835</v>
      </c>
      <c r="E1950" s="98" t="s">
        <v>915</v>
      </c>
      <c r="F1950" s="98" t="s">
        <v>1323</v>
      </c>
      <c r="G1950" s="98" t="s">
        <v>1319</v>
      </c>
    </row>
    <row r="1951" spans="1:7" ht="15" thickBot="1" x14ac:dyDescent="0.4">
      <c r="A1951" s="98">
        <v>2005223197</v>
      </c>
      <c r="B1951" s="101" t="s">
        <v>2001</v>
      </c>
      <c r="C1951" s="98" t="s">
        <v>546</v>
      </c>
      <c r="D1951" s="98" t="s">
        <v>835</v>
      </c>
      <c r="E1951" s="98" t="s">
        <v>911</v>
      </c>
      <c r="F1951" s="98" t="s">
        <v>1317</v>
      </c>
      <c r="G1951" s="98" t="s">
        <v>1318</v>
      </c>
    </row>
    <row r="1952" spans="1:7" ht="15" thickBot="1" x14ac:dyDescent="0.4">
      <c r="A1952" s="98">
        <v>2005223197</v>
      </c>
      <c r="B1952" s="101" t="s">
        <v>2001</v>
      </c>
      <c r="C1952" s="98" t="s">
        <v>546</v>
      </c>
      <c r="D1952" s="98" t="s">
        <v>835</v>
      </c>
      <c r="E1952" s="98" t="s">
        <v>1406</v>
      </c>
      <c r="F1952" s="98" t="s">
        <v>1317</v>
      </c>
      <c r="G1952" s="98" t="s">
        <v>1318</v>
      </c>
    </row>
    <row r="1953" spans="1:7" ht="15" thickBot="1" x14ac:dyDescent="0.4">
      <c r="A1953" s="98">
        <v>2005223197</v>
      </c>
      <c r="B1953" s="101" t="s">
        <v>2001</v>
      </c>
      <c r="C1953" s="98" t="s">
        <v>546</v>
      </c>
      <c r="D1953" s="98" t="s">
        <v>835</v>
      </c>
      <c r="E1953" s="98" t="s">
        <v>1342</v>
      </c>
      <c r="F1953" s="98" t="s">
        <v>1317</v>
      </c>
      <c r="G1953" s="98" t="s">
        <v>1318</v>
      </c>
    </row>
    <row r="1954" spans="1:7" ht="15" thickBot="1" x14ac:dyDescent="0.4">
      <c r="A1954" s="98">
        <v>2005224015</v>
      </c>
      <c r="B1954" s="101" t="s">
        <v>1733</v>
      </c>
      <c r="C1954" s="98" t="s">
        <v>546</v>
      </c>
      <c r="D1954" s="98" t="s">
        <v>835</v>
      </c>
      <c r="E1954" s="98" t="s">
        <v>912</v>
      </c>
      <c r="F1954" s="98" t="s">
        <v>1317</v>
      </c>
      <c r="G1954" s="98" t="s">
        <v>1318</v>
      </c>
    </row>
    <row r="1955" spans="1:7" ht="15" thickBot="1" x14ac:dyDescent="0.4">
      <c r="A1955" s="98">
        <v>2005230425</v>
      </c>
      <c r="B1955" s="101" t="s">
        <v>1544</v>
      </c>
      <c r="C1955" s="98" t="s">
        <v>1545</v>
      </c>
      <c r="D1955" s="98" t="s">
        <v>835</v>
      </c>
      <c r="E1955" s="98" t="s">
        <v>2086</v>
      </c>
      <c r="F1955" s="98" t="s">
        <v>1317</v>
      </c>
      <c r="G1955" s="98" t="s">
        <v>1318</v>
      </c>
    </row>
    <row r="1956" spans="1:7" ht="15" thickBot="1" x14ac:dyDescent="0.4">
      <c r="A1956" s="98">
        <v>2005222991</v>
      </c>
      <c r="B1956" s="101" t="s">
        <v>2002</v>
      </c>
      <c r="C1956" s="98" t="s">
        <v>546</v>
      </c>
      <c r="D1956" s="98" t="s">
        <v>835</v>
      </c>
      <c r="E1956" s="98" t="s">
        <v>913</v>
      </c>
      <c r="F1956" s="98" t="s">
        <v>1317</v>
      </c>
      <c r="G1956" s="98" t="s">
        <v>1318</v>
      </c>
    </row>
    <row r="1957" spans="1:7" ht="15" thickBot="1" x14ac:dyDescent="0.4">
      <c r="A1957" s="98">
        <v>2005222336</v>
      </c>
      <c r="B1957" s="101" t="s">
        <v>2003</v>
      </c>
      <c r="C1957" s="98" t="s">
        <v>1941</v>
      </c>
      <c r="D1957" s="98" t="s">
        <v>835</v>
      </c>
      <c r="E1957" s="98" t="s">
        <v>2086</v>
      </c>
      <c r="F1957" s="98" t="s">
        <v>1317</v>
      </c>
      <c r="G1957" s="98" t="s">
        <v>1318</v>
      </c>
    </row>
    <row r="1958" spans="1:7" ht="15" thickBot="1" x14ac:dyDescent="0.4">
      <c r="A1958" s="98">
        <v>2005222336</v>
      </c>
      <c r="B1958" s="101" t="s">
        <v>2003</v>
      </c>
      <c r="C1958" s="98" t="s">
        <v>1941</v>
      </c>
      <c r="D1958" s="98" t="s">
        <v>835</v>
      </c>
      <c r="E1958" s="98" t="s">
        <v>911</v>
      </c>
      <c r="F1958" s="98" t="s">
        <v>1317</v>
      </c>
      <c r="G1958" s="98" t="s">
        <v>1318</v>
      </c>
    </row>
    <row r="1959" spans="1:7" ht="15" thickBot="1" x14ac:dyDescent="0.4">
      <c r="A1959" s="98">
        <v>2005222336</v>
      </c>
      <c r="B1959" s="101" t="s">
        <v>2003</v>
      </c>
      <c r="C1959" s="98" t="s">
        <v>834</v>
      </c>
      <c r="D1959" s="98" t="s">
        <v>835</v>
      </c>
      <c r="E1959" s="98" t="s">
        <v>916</v>
      </c>
      <c r="F1959" s="98" t="s">
        <v>1323</v>
      </c>
      <c r="G1959" s="98" t="s">
        <v>1319</v>
      </c>
    </row>
    <row r="1960" spans="1:7" ht="15" thickBot="1" x14ac:dyDescent="0.4">
      <c r="A1960" s="98">
        <v>2005223479</v>
      </c>
      <c r="B1960" s="101" t="s">
        <v>2004</v>
      </c>
      <c r="C1960" s="98" t="s">
        <v>546</v>
      </c>
      <c r="D1960" s="98" t="s">
        <v>835</v>
      </c>
      <c r="E1960" s="98" t="s">
        <v>912</v>
      </c>
      <c r="F1960" s="98" t="s">
        <v>1317</v>
      </c>
      <c r="G1960" s="98" t="s">
        <v>1318</v>
      </c>
    </row>
    <row r="1961" spans="1:7" ht="15" thickBot="1" x14ac:dyDescent="0.4">
      <c r="A1961" s="98">
        <v>2005223479</v>
      </c>
      <c r="B1961" s="101" t="s">
        <v>2004</v>
      </c>
      <c r="C1961" s="98" t="s">
        <v>546</v>
      </c>
      <c r="D1961" s="98" t="s">
        <v>835</v>
      </c>
      <c r="E1961" s="98" t="s">
        <v>911</v>
      </c>
      <c r="F1961" s="98" t="s">
        <v>1317</v>
      </c>
      <c r="G1961" s="98" t="s">
        <v>1318</v>
      </c>
    </row>
    <row r="1962" spans="1:7" ht="15" thickBot="1" x14ac:dyDescent="0.4">
      <c r="A1962" s="98">
        <v>2005223479</v>
      </c>
      <c r="B1962" s="101" t="s">
        <v>2004</v>
      </c>
      <c r="C1962" s="98" t="s">
        <v>546</v>
      </c>
      <c r="D1962" s="98" t="s">
        <v>835</v>
      </c>
      <c r="E1962" s="98" t="s">
        <v>915</v>
      </c>
      <c r="F1962" s="98" t="s">
        <v>1317</v>
      </c>
      <c r="G1962" s="98" t="s">
        <v>1319</v>
      </c>
    </row>
    <row r="1963" spans="1:7" ht="15" thickBot="1" x14ac:dyDescent="0.4">
      <c r="A1963" s="98">
        <v>2005223433</v>
      </c>
      <c r="B1963" s="101" t="s">
        <v>2005</v>
      </c>
      <c r="C1963" s="98" t="s">
        <v>546</v>
      </c>
      <c r="D1963" s="98" t="s">
        <v>835</v>
      </c>
      <c r="E1963" s="98" t="s">
        <v>915</v>
      </c>
      <c r="F1963" s="98" t="s">
        <v>1317</v>
      </c>
      <c r="G1963" s="98" t="s">
        <v>1319</v>
      </c>
    </row>
    <row r="1964" spans="1:7" ht="15" thickBot="1" x14ac:dyDescent="0.4">
      <c r="A1964" s="98">
        <v>2005223433</v>
      </c>
      <c r="B1964" s="101" t="s">
        <v>2005</v>
      </c>
      <c r="C1964" s="98" t="s">
        <v>546</v>
      </c>
      <c r="D1964" s="98" t="s">
        <v>835</v>
      </c>
      <c r="E1964" s="98" t="s">
        <v>912</v>
      </c>
      <c r="F1964" s="98" t="s">
        <v>1317</v>
      </c>
      <c r="G1964" s="98" t="s">
        <v>1318</v>
      </c>
    </row>
    <row r="1965" spans="1:7" ht="15" thickBot="1" x14ac:dyDescent="0.4">
      <c r="A1965" s="98">
        <v>2005223433</v>
      </c>
      <c r="B1965" s="101" t="s">
        <v>2005</v>
      </c>
      <c r="C1965" s="98" t="s">
        <v>546</v>
      </c>
      <c r="D1965" s="98" t="s">
        <v>835</v>
      </c>
      <c r="E1965" s="98" t="s">
        <v>911</v>
      </c>
      <c r="F1965" s="98" t="s">
        <v>1317</v>
      </c>
      <c r="G1965" s="98" t="s">
        <v>1318</v>
      </c>
    </row>
    <row r="1966" spans="1:7" ht="15" thickBot="1" x14ac:dyDescent="0.4">
      <c r="A1966" s="98">
        <v>2005225739</v>
      </c>
      <c r="B1966" s="101" t="s">
        <v>1747</v>
      </c>
      <c r="C1966" s="98" t="s">
        <v>567</v>
      </c>
      <c r="D1966" s="98" t="s">
        <v>835</v>
      </c>
      <c r="E1966" s="98" t="s">
        <v>2086</v>
      </c>
      <c r="F1966" s="98" t="s">
        <v>1317</v>
      </c>
      <c r="G1966" s="98" t="s">
        <v>1318</v>
      </c>
    </row>
    <row r="1967" spans="1:7" ht="15" thickBot="1" x14ac:dyDescent="0.4">
      <c r="A1967" s="98">
        <v>2005222337</v>
      </c>
      <c r="B1967" s="101" t="s">
        <v>1932</v>
      </c>
      <c r="C1967" s="98" t="s">
        <v>546</v>
      </c>
      <c r="D1967" s="98" t="s">
        <v>835</v>
      </c>
      <c r="E1967" s="98" t="s">
        <v>912</v>
      </c>
      <c r="F1967" s="98" t="s">
        <v>1317</v>
      </c>
      <c r="G1967" s="98" t="s">
        <v>1318</v>
      </c>
    </row>
    <row r="1968" spans="1:7" ht="15" thickBot="1" x14ac:dyDescent="0.4">
      <c r="A1968" s="98">
        <v>2005222337</v>
      </c>
      <c r="B1968" s="101" t="s">
        <v>1932</v>
      </c>
      <c r="C1968" s="98" t="s">
        <v>546</v>
      </c>
      <c r="D1968" s="98" t="s">
        <v>835</v>
      </c>
      <c r="E1968" s="98" t="s">
        <v>915</v>
      </c>
      <c r="F1968" s="98" t="s">
        <v>1317</v>
      </c>
      <c r="G1968" s="98" t="s">
        <v>1319</v>
      </c>
    </row>
    <row r="1969" spans="1:7" ht="15" thickBot="1" x14ac:dyDescent="0.4">
      <c r="A1969" s="98">
        <v>2005222337</v>
      </c>
      <c r="B1969" s="101" t="s">
        <v>1932</v>
      </c>
      <c r="C1969" s="98" t="s">
        <v>546</v>
      </c>
      <c r="D1969" s="98" t="s">
        <v>835</v>
      </c>
      <c r="E1969" s="98" t="s">
        <v>915</v>
      </c>
      <c r="F1969" s="98" t="s">
        <v>1317</v>
      </c>
      <c r="G1969" s="98" t="s">
        <v>1319</v>
      </c>
    </row>
    <row r="1970" spans="1:7" ht="15" thickBot="1" x14ac:dyDescent="0.4">
      <c r="A1970" s="98">
        <v>2005222337</v>
      </c>
      <c r="B1970" s="101" t="s">
        <v>1932</v>
      </c>
      <c r="C1970" s="98" t="s">
        <v>546</v>
      </c>
      <c r="D1970" s="98" t="s">
        <v>835</v>
      </c>
      <c r="E1970" s="98" t="s">
        <v>915</v>
      </c>
      <c r="F1970" s="98" t="s">
        <v>1317</v>
      </c>
      <c r="G1970" s="98" t="s">
        <v>1319</v>
      </c>
    </row>
    <row r="1971" spans="1:7" ht="15" thickBot="1" x14ac:dyDescent="0.4">
      <c r="A1971" s="98">
        <v>2005222337</v>
      </c>
      <c r="B1971" s="101" t="s">
        <v>1932</v>
      </c>
      <c r="C1971" s="98" t="s">
        <v>546</v>
      </c>
      <c r="D1971" s="98" t="s">
        <v>835</v>
      </c>
      <c r="E1971" s="98" t="s">
        <v>915</v>
      </c>
      <c r="F1971" s="98" t="s">
        <v>1317</v>
      </c>
      <c r="G1971" s="98" t="s">
        <v>1319</v>
      </c>
    </row>
    <row r="1972" spans="1:7" ht="15" thickBot="1" x14ac:dyDescent="0.4">
      <c r="A1972" s="98">
        <v>2005222337</v>
      </c>
      <c r="B1972" s="101" t="s">
        <v>1932</v>
      </c>
      <c r="C1972" s="98" t="s">
        <v>546</v>
      </c>
      <c r="D1972" s="98" t="s">
        <v>835</v>
      </c>
      <c r="E1972" s="98" t="s">
        <v>911</v>
      </c>
      <c r="F1972" s="98" t="s">
        <v>1317</v>
      </c>
      <c r="G1972" s="98" t="s">
        <v>1318</v>
      </c>
    </row>
    <row r="1973" spans="1:7" ht="15" thickBot="1" x14ac:dyDescent="0.4">
      <c r="A1973" s="98">
        <v>2005222337</v>
      </c>
      <c r="B1973" s="101" t="s">
        <v>1932</v>
      </c>
      <c r="C1973" s="98" t="s">
        <v>546</v>
      </c>
      <c r="D1973" s="98" t="s">
        <v>835</v>
      </c>
      <c r="E1973" s="98" t="s">
        <v>911</v>
      </c>
      <c r="F1973" s="98" t="s">
        <v>1317</v>
      </c>
      <c r="G1973" s="98" t="s">
        <v>1318</v>
      </c>
    </row>
    <row r="1974" spans="1:7" ht="15" thickBot="1" x14ac:dyDescent="0.4">
      <c r="A1974" s="98">
        <v>2005222337</v>
      </c>
      <c r="B1974" s="101" t="s">
        <v>1932</v>
      </c>
      <c r="C1974" s="98" t="s">
        <v>546</v>
      </c>
      <c r="D1974" s="98" t="s">
        <v>835</v>
      </c>
      <c r="E1974" s="98" t="s">
        <v>911</v>
      </c>
      <c r="F1974" s="98" t="s">
        <v>1317</v>
      </c>
      <c r="G1974" s="98" t="s">
        <v>1318</v>
      </c>
    </row>
    <row r="1975" spans="1:7" ht="15" thickBot="1" x14ac:dyDescent="0.4">
      <c r="A1975" s="98">
        <v>2005220092</v>
      </c>
      <c r="B1975" s="101" t="s">
        <v>2006</v>
      </c>
      <c r="C1975" s="98" t="s">
        <v>546</v>
      </c>
      <c r="D1975" s="98" t="s">
        <v>835</v>
      </c>
      <c r="E1975" s="98" t="s">
        <v>913</v>
      </c>
      <c r="F1975" s="98" t="s">
        <v>1317</v>
      </c>
      <c r="G1975" s="98" t="s">
        <v>1318</v>
      </c>
    </row>
    <row r="1976" spans="1:7" ht="15" thickBot="1" x14ac:dyDescent="0.4">
      <c r="A1976" s="98">
        <v>2005220092</v>
      </c>
      <c r="B1976" s="101" t="s">
        <v>2006</v>
      </c>
      <c r="C1976" s="98" t="s">
        <v>546</v>
      </c>
      <c r="D1976" s="98" t="s">
        <v>835</v>
      </c>
      <c r="E1976" s="98" t="s">
        <v>913</v>
      </c>
      <c r="F1976" s="98" t="s">
        <v>1317</v>
      </c>
      <c r="G1976" s="98" t="s">
        <v>1318</v>
      </c>
    </row>
    <row r="1977" spans="1:7" ht="15" thickBot="1" x14ac:dyDescent="0.4">
      <c r="A1977" s="98">
        <v>2005220092</v>
      </c>
      <c r="B1977" s="101" t="s">
        <v>2006</v>
      </c>
      <c r="C1977" s="98" t="s">
        <v>546</v>
      </c>
      <c r="D1977" s="98" t="s">
        <v>835</v>
      </c>
      <c r="E1977" s="98" t="s">
        <v>912</v>
      </c>
      <c r="F1977" s="98" t="s">
        <v>1317</v>
      </c>
      <c r="G1977" s="98" t="s">
        <v>1318</v>
      </c>
    </row>
    <row r="1978" spans="1:7" ht="15" thickBot="1" x14ac:dyDescent="0.4">
      <c r="A1978" s="98">
        <v>2005220092</v>
      </c>
      <c r="B1978" s="101" t="s">
        <v>2006</v>
      </c>
      <c r="C1978" s="98" t="s">
        <v>546</v>
      </c>
      <c r="D1978" s="98" t="s">
        <v>835</v>
      </c>
      <c r="E1978" s="98" t="s">
        <v>915</v>
      </c>
      <c r="F1978" s="98" t="s">
        <v>1317</v>
      </c>
      <c r="G1978" s="98" t="s">
        <v>1319</v>
      </c>
    </row>
    <row r="1979" spans="1:7" ht="15" thickBot="1" x14ac:dyDescent="0.4">
      <c r="A1979" s="98">
        <v>2005220525</v>
      </c>
      <c r="B1979" s="101" t="s">
        <v>2007</v>
      </c>
      <c r="C1979" s="98" t="s">
        <v>546</v>
      </c>
      <c r="D1979" s="98" t="s">
        <v>835</v>
      </c>
      <c r="E1979" s="98" t="s">
        <v>912</v>
      </c>
      <c r="F1979" s="98" t="s">
        <v>1317</v>
      </c>
      <c r="G1979" s="98" t="s">
        <v>1318</v>
      </c>
    </row>
    <row r="1980" spans="1:7" ht="15" thickBot="1" x14ac:dyDescent="0.4">
      <c r="A1980" s="98">
        <v>2005220525</v>
      </c>
      <c r="B1980" s="101" t="s">
        <v>2007</v>
      </c>
      <c r="C1980" s="98" t="s">
        <v>546</v>
      </c>
      <c r="D1980" s="98" t="s">
        <v>835</v>
      </c>
      <c r="E1980" s="98" t="s">
        <v>914</v>
      </c>
      <c r="F1980" s="98" t="s">
        <v>1317</v>
      </c>
      <c r="G1980" s="98" t="s">
        <v>1318</v>
      </c>
    </row>
    <row r="1981" spans="1:7" ht="15" thickBot="1" x14ac:dyDescent="0.4">
      <c r="A1981" s="98">
        <v>2005220525</v>
      </c>
      <c r="B1981" s="101" t="s">
        <v>2007</v>
      </c>
      <c r="C1981" s="98" t="s">
        <v>546</v>
      </c>
      <c r="D1981" s="98" t="s">
        <v>835</v>
      </c>
      <c r="E1981" s="98" t="s">
        <v>915</v>
      </c>
      <c r="F1981" s="98" t="s">
        <v>1323</v>
      </c>
      <c r="G1981" s="98" t="s">
        <v>1319</v>
      </c>
    </row>
    <row r="1982" spans="1:7" ht="15" thickBot="1" x14ac:dyDescent="0.4">
      <c r="A1982" s="98">
        <v>2005221592</v>
      </c>
      <c r="B1982" s="101" t="s">
        <v>2008</v>
      </c>
      <c r="C1982" s="98" t="s">
        <v>1941</v>
      </c>
      <c r="D1982" s="98" t="s">
        <v>835</v>
      </c>
      <c r="E1982" s="98" t="s">
        <v>914</v>
      </c>
      <c r="F1982" s="98" t="s">
        <v>1317</v>
      </c>
      <c r="G1982" s="98" t="s">
        <v>1318</v>
      </c>
    </row>
    <row r="1983" spans="1:7" ht="15" thickBot="1" x14ac:dyDescent="0.4">
      <c r="A1983" s="98">
        <v>2005221592</v>
      </c>
      <c r="B1983" s="101" t="s">
        <v>2008</v>
      </c>
      <c r="C1983" s="98" t="s">
        <v>1941</v>
      </c>
      <c r="D1983" s="98" t="s">
        <v>835</v>
      </c>
      <c r="E1983" s="98" t="s">
        <v>912</v>
      </c>
      <c r="F1983" s="98" t="s">
        <v>1317</v>
      </c>
      <c r="G1983" s="98" t="s">
        <v>1318</v>
      </c>
    </row>
    <row r="1984" spans="1:7" ht="15" thickBot="1" x14ac:dyDescent="0.4">
      <c r="A1984" s="98">
        <v>2005221592</v>
      </c>
      <c r="B1984" s="101" t="s">
        <v>2008</v>
      </c>
      <c r="C1984" s="98" t="s">
        <v>1941</v>
      </c>
      <c r="D1984" s="98" t="s">
        <v>835</v>
      </c>
      <c r="E1984" s="98" t="s">
        <v>1342</v>
      </c>
      <c r="F1984" s="98" t="s">
        <v>1317</v>
      </c>
      <c r="G1984" s="98" t="s">
        <v>1318</v>
      </c>
    </row>
    <row r="1985" spans="1:7" ht="15" thickBot="1" x14ac:dyDescent="0.4">
      <c r="A1985" s="98">
        <v>2005222572</v>
      </c>
      <c r="B1985" s="101" t="s">
        <v>2009</v>
      </c>
      <c r="C1985" s="98" t="s">
        <v>1941</v>
      </c>
      <c r="D1985" s="98" t="s">
        <v>835</v>
      </c>
      <c r="E1985" s="98" t="s">
        <v>912</v>
      </c>
      <c r="F1985" s="98" t="s">
        <v>1317</v>
      </c>
      <c r="G1985" s="98" t="s">
        <v>1318</v>
      </c>
    </row>
    <row r="1986" spans="1:7" ht="15" thickBot="1" x14ac:dyDescent="0.4">
      <c r="A1986" s="98">
        <v>2005222572</v>
      </c>
      <c r="B1986" s="101" t="s">
        <v>2009</v>
      </c>
      <c r="C1986" s="98" t="s">
        <v>1941</v>
      </c>
      <c r="D1986" s="98" t="s">
        <v>835</v>
      </c>
      <c r="E1986" s="98" t="s">
        <v>911</v>
      </c>
      <c r="F1986" s="98" t="s">
        <v>1317</v>
      </c>
      <c r="G1986" s="98" t="s">
        <v>1318</v>
      </c>
    </row>
    <row r="1987" spans="1:7" ht="15" thickBot="1" x14ac:dyDescent="0.4">
      <c r="A1987" s="98">
        <v>2005220997</v>
      </c>
      <c r="B1987" s="101" t="s">
        <v>2010</v>
      </c>
      <c r="C1987" s="98" t="s">
        <v>2011</v>
      </c>
      <c r="D1987" s="98" t="s">
        <v>835</v>
      </c>
      <c r="E1987" s="98" t="s">
        <v>912</v>
      </c>
      <c r="F1987" s="98" t="s">
        <v>1317</v>
      </c>
      <c r="G1987" s="98" t="s">
        <v>1318</v>
      </c>
    </row>
    <row r="1988" spans="1:7" ht="15" thickBot="1" x14ac:dyDescent="0.4">
      <c r="A1988" s="98">
        <v>2005220997</v>
      </c>
      <c r="B1988" s="101" t="s">
        <v>2010</v>
      </c>
      <c r="C1988" s="98" t="s">
        <v>546</v>
      </c>
      <c r="D1988" s="98" t="s">
        <v>835</v>
      </c>
      <c r="E1988" s="98" t="s">
        <v>911</v>
      </c>
      <c r="F1988" s="98" t="s">
        <v>1317</v>
      </c>
      <c r="G1988" s="98" t="s">
        <v>1318</v>
      </c>
    </row>
    <row r="1989" spans="1:7" ht="15" thickBot="1" x14ac:dyDescent="0.4">
      <c r="A1989" s="98">
        <v>2005220997</v>
      </c>
      <c r="B1989" s="101" t="s">
        <v>2010</v>
      </c>
      <c r="C1989" s="98" t="s">
        <v>546</v>
      </c>
      <c r="D1989" s="98" t="s">
        <v>835</v>
      </c>
      <c r="E1989" s="98" t="s">
        <v>915</v>
      </c>
      <c r="F1989" s="98" t="s">
        <v>1323</v>
      </c>
      <c r="G1989" s="98" t="s">
        <v>1319</v>
      </c>
    </row>
    <row r="1990" spans="1:7" ht="15" thickBot="1" x14ac:dyDescent="0.4">
      <c r="A1990" s="98">
        <v>2005224328</v>
      </c>
      <c r="B1990" s="101" t="s">
        <v>2012</v>
      </c>
      <c r="C1990" s="98" t="s">
        <v>834</v>
      </c>
      <c r="D1990" s="98" t="s">
        <v>835</v>
      </c>
      <c r="E1990" s="98" t="s">
        <v>912</v>
      </c>
      <c r="F1990" s="98" t="s">
        <v>1317</v>
      </c>
      <c r="G1990" s="98" t="s">
        <v>1318</v>
      </c>
    </row>
    <row r="1991" spans="1:7" ht="15" thickBot="1" x14ac:dyDescent="0.4">
      <c r="A1991" s="98">
        <v>2005224328</v>
      </c>
      <c r="B1991" s="101" t="s">
        <v>2012</v>
      </c>
      <c r="C1991" s="98" t="s">
        <v>834</v>
      </c>
      <c r="D1991" s="98" t="s">
        <v>835</v>
      </c>
      <c r="E1991" s="98" t="s">
        <v>915</v>
      </c>
      <c r="F1991" s="98" t="s">
        <v>1323</v>
      </c>
      <c r="G1991" s="98" t="s">
        <v>1319</v>
      </c>
    </row>
    <row r="1992" spans="1:7" ht="15" thickBot="1" x14ac:dyDescent="0.4">
      <c r="A1992" s="98">
        <v>2005224328</v>
      </c>
      <c r="B1992" s="101" t="s">
        <v>2012</v>
      </c>
      <c r="C1992" s="98" t="s">
        <v>834</v>
      </c>
      <c r="D1992" s="98" t="s">
        <v>835</v>
      </c>
      <c r="E1992" s="98" t="s">
        <v>913</v>
      </c>
      <c r="F1992" s="98" t="s">
        <v>1317</v>
      </c>
      <c r="G1992" s="98" t="s">
        <v>1318</v>
      </c>
    </row>
    <row r="1993" spans="1:7" ht="15" thickBot="1" x14ac:dyDescent="0.4">
      <c r="A1993" s="98">
        <v>2005230180</v>
      </c>
      <c r="B1993" s="101" t="s">
        <v>1562</v>
      </c>
      <c r="C1993" s="98" t="s">
        <v>1545</v>
      </c>
      <c r="D1993" s="98" t="s">
        <v>835</v>
      </c>
      <c r="E1993" s="98" t="s">
        <v>2086</v>
      </c>
      <c r="F1993" s="98" t="s">
        <v>1317</v>
      </c>
      <c r="G1993" s="98" t="s">
        <v>1318</v>
      </c>
    </row>
  </sheetData>
  <autoFilter ref="A2:G1993" xr:uid="{00000000-0009-0000-0000-000004000000}"/>
  <sortState xmlns:xlrd2="http://schemas.microsoft.com/office/spreadsheetml/2017/richdata2" ref="A3:G1993">
    <sortCondition ref="D3:D1993"/>
    <sortCondition ref="B3:B1993"/>
  </sortState>
  <conditionalFormatting sqref="A1994:A1048576 A1:A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11"/>
  <sheetViews>
    <sheetView workbookViewId="0"/>
  </sheetViews>
  <sheetFormatPr defaultColWidth="14.453125" defaultRowHeight="15" customHeight="1" x14ac:dyDescent="0.35"/>
  <sheetData>
    <row r="1" spans="1:8" ht="15" customHeight="1" x14ac:dyDescent="0.35">
      <c r="A1" s="13" t="s">
        <v>0</v>
      </c>
      <c r="B1" s="14" t="s">
        <v>1</v>
      </c>
      <c r="C1" s="135" t="s">
        <v>2</v>
      </c>
      <c r="D1" s="115"/>
      <c r="E1" s="14" t="s">
        <v>3</v>
      </c>
      <c r="F1" s="14" t="s">
        <v>4</v>
      </c>
      <c r="G1" s="14" t="s">
        <v>129</v>
      </c>
      <c r="H1" s="14" t="s">
        <v>128</v>
      </c>
    </row>
    <row r="2" spans="1:8" ht="15" customHeight="1" x14ac:dyDescent="0.35">
      <c r="A2" s="15">
        <v>1</v>
      </c>
      <c r="B2" s="1">
        <v>2022180145</v>
      </c>
      <c r="C2" s="16" t="s">
        <v>110</v>
      </c>
      <c r="D2" s="17" t="s">
        <v>76</v>
      </c>
      <c r="E2" s="1" t="s">
        <v>111</v>
      </c>
      <c r="F2" s="1" t="s">
        <v>112</v>
      </c>
      <c r="G2" s="1" t="s">
        <v>441</v>
      </c>
      <c r="H2" s="1"/>
    </row>
    <row r="3" spans="1:8" ht="15" customHeight="1" x14ac:dyDescent="0.35">
      <c r="A3" s="15"/>
      <c r="B3" s="1"/>
      <c r="C3" s="16"/>
      <c r="D3" s="17"/>
      <c r="E3" s="1"/>
      <c r="F3" s="1"/>
      <c r="G3" s="1"/>
      <c r="H3" s="1"/>
    </row>
    <row r="4" spans="1:8" ht="15" customHeight="1" x14ac:dyDescent="0.35">
      <c r="A4" s="15"/>
      <c r="B4" s="1"/>
      <c r="C4" s="16"/>
      <c r="D4" s="17"/>
      <c r="E4" s="1"/>
      <c r="F4" s="1"/>
      <c r="G4" s="1"/>
      <c r="H4" s="1"/>
    </row>
    <row r="5" spans="1:8" ht="15" customHeight="1" x14ac:dyDescent="0.35">
      <c r="A5" s="15"/>
      <c r="B5" s="1"/>
      <c r="C5" s="16"/>
      <c r="D5" s="17"/>
      <c r="E5" s="2"/>
      <c r="F5" s="1"/>
      <c r="G5" s="1"/>
      <c r="H5" s="1"/>
    </row>
    <row r="6" spans="1:8" ht="15" customHeight="1" x14ac:dyDescent="0.35">
      <c r="A6" s="15"/>
      <c r="B6" s="1"/>
      <c r="C6" s="16"/>
      <c r="D6" s="17"/>
      <c r="E6" s="1"/>
      <c r="F6" s="1"/>
      <c r="G6" s="1"/>
      <c r="H6" s="1"/>
    </row>
    <row r="7" spans="1:8" ht="15" customHeight="1" x14ac:dyDescent="0.35">
      <c r="A7" s="15"/>
      <c r="B7" s="1"/>
      <c r="C7" s="16"/>
      <c r="D7" s="17"/>
      <c r="E7" s="1"/>
      <c r="F7" s="1"/>
      <c r="G7" s="1"/>
      <c r="H7" s="1"/>
    </row>
    <row r="8" spans="1:8" ht="15" customHeight="1" x14ac:dyDescent="0.35">
      <c r="A8" s="15"/>
      <c r="B8" s="1"/>
      <c r="C8" s="16"/>
      <c r="D8" s="17"/>
      <c r="E8" s="1"/>
      <c r="F8" s="1"/>
      <c r="G8" s="1"/>
      <c r="H8" s="1"/>
    </row>
    <row r="9" spans="1:8" ht="15" customHeight="1" x14ac:dyDescent="0.35">
      <c r="A9" s="15"/>
      <c r="B9" s="1"/>
      <c r="C9" s="16"/>
      <c r="D9" s="17"/>
      <c r="E9" s="1"/>
      <c r="F9" s="1"/>
      <c r="G9" s="1"/>
      <c r="H9" s="1"/>
    </row>
    <row r="10" spans="1:8" ht="15" customHeight="1" x14ac:dyDescent="0.35">
      <c r="A10" s="15"/>
      <c r="B10" s="1"/>
      <c r="C10" s="16"/>
      <c r="D10" s="17"/>
      <c r="E10" s="2"/>
      <c r="F10" s="1"/>
      <c r="G10" s="1"/>
      <c r="H10" s="1"/>
    </row>
    <row r="11" spans="1:8" ht="15" customHeight="1" x14ac:dyDescent="0.35">
      <c r="A11" s="15"/>
      <c r="B11" s="1"/>
      <c r="C11" s="16"/>
      <c r="D11" s="17"/>
      <c r="E11" s="1"/>
      <c r="F11" s="1"/>
      <c r="G11" s="1"/>
      <c r="H11" s="1"/>
    </row>
    <row r="12" spans="1:8" ht="15" customHeight="1" x14ac:dyDescent="0.35">
      <c r="A12" s="15"/>
      <c r="B12" s="1"/>
      <c r="C12" s="16"/>
      <c r="D12" s="17"/>
      <c r="E12" s="1"/>
      <c r="F12" s="1"/>
      <c r="G12" s="1"/>
      <c r="H12" s="1"/>
    </row>
    <row r="13" spans="1:8" ht="15" customHeight="1" x14ac:dyDescent="0.35">
      <c r="A13" s="15"/>
      <c r="B13" s="1"/>
      <c r="C13" s="16"/>
      <c r="D13" s="17"/>
      <c r="E13" s="1"/>
      <c r="F13" s="1"/>
      <c r="G13" s="1"/>
      <c r="H13" s="1"/>
    </row>
    <row r="14" spans="1:8" ht="15" customHeight="1" x14ac:dyDescent="0.35">
      <c r="A14" s="15"/>
      <c r="B14" s="1"/>
      <c r="C14" s="16"/>
      <c r="D14" s="17"/>
      <c r="E14" s="2"/>
      <c r="F14" s="1"/>
      <c r="G14" s="1"/>
      <c r="H14" s="1"/>
    </row>
    <row r="15" spans="1:8" ht="15" customHeight="1" x14ac:dyDescent="0.35">
      <c r="A15" s="15"/>
      <c r="B15" s="1"/>
      <c r="C15" s="16"/>
      <c r="D15" s="17"/>
      <c r="E15" s="1"/>
      <c r="F15" s="1"/>
      <c r="G15" s="1"/>
      <c r="H15" s="1"/>
    </row>
    <row r="16" spans="1:8" ht="15" customHeight="1" x14ac:dyDescent="0.35">
      <c r="A16" s="15"/>
      <c r="B16" s="1"/>
      <c r="C16" s="16"/>
      <c r="D16" s="17"/>
      <c r="E16" s="2"/>
      <c r="F16" s="1"/>
      <c r="G16" s="1"/>
      <c r="H16" s="1"/>
    </row>
    <row r="17" spans="1:8" ht="15" customHeight="1" x14ac:dyDescent="0.35">
      <c r="A17" s="15"/>
      <c r="B17" s="1"/>
      <c r="C17" s="16"/>
      <c r="D17" s="17"/>
      <c r="E17" s="1"/>
      <c r="F17" s="1"/>
      <c r="G17" s="1"/>
      <c r="H17" s="1"/>
    </row>
    <row r="18" spans="1:8" ht="15" customHeight="1" x14ac:dyDescent="0.35">
      <c r="A18" s="15"/>
      <c r="B18" s="1"/>
      <c r="C18" s="16"/>
      <c r="D18" s="17"/>
      <c r="E18" s="1"/>
      <c r="F18" s="1"/>
      <c r="G18" s="1"/>
      <c r="H18" s="1"/>
    </row>
    <row r="19" spans="1:8" ht="15" customHeight="1" x14ac:dyDescent="0.35">
      <c r="A19" s="15"/>
      <c r="B19" s="1"/>
      <c r="C19" s="16"/>
      <c r="D19" s="17"/>
      <c r="E19" s="1"/>
      <c r="F19" s="1"/>
      <c r="G19" s="1"/>
      <c r="H19" s="1"/>
    </row>
    <row r="20" spans="1:8" ht="15" customHeight="1" x14ac:dyDescent="0.35">
      <c r="A20" s="15"/>
      <c r="B20" s="1"/>
      <c r="C20" s="16"/>
      <c r="D20" s="17"/>
      <c r="E20" s="1"/>
      <c r="F20" s="1"/>
      <c r="G20" s="1"/>
      <c r="H20" s="1"/>
    </row>
    <row r="21" spans="1:8" ht="15" customHeight="1" x14ac:dyDescent="0.35">
      <c r="A21" s="15"/>
      <c r="B21" s="1"/>
      <c r="C21" s="16"/>
      <c r="D21" s="17"/>
      <c r="E21" s="2"/>
      <c r="F21" s="1"/>
      <c r="G21" s="1"/>
      <c r="H21" s="1"/>
    </row>
    <row r="22" spans="1:8" ht="14.5" x14ac:dyDescent="0.35">
      <c r="A22" s="15"/>
      <c r="B22" s="1"/>
      <c r="C22" s="16"/>
      <c r="D22" s="17"/>
      <c r="E22" s="1"/>
      <c r="F22" s="1"/>
      <c r="G22" s="1"/>
      <c r="H22" s="1"/>
    </row>
    <row r="23" spans="1:8" ht="14.5" x14ac:dyDescent="0.35">
      <c r="A23" s="15"/>
      <c r="B23" s="1"/>
      <c r="C23" s="16"/>
      <c r="D23" s="17"/>
      <c r="E23" s="1"/>
      <c r="F23" s="1"/>
      <c r="G23" s="1"/>
      <c r="H23" s="1"/>
    </row>
    <row r="24" spans="1:8" ht="14.5" x14ac:dyDescent="0.35">
      <c r="A24" s="15"/>
      <c r="B24" s="1"/>
      <c r="C24" s="16"/>
      <c r="D24" s="17"/>
      <c r="E24" s="2"/>
      <c r="F24" s="1"/>
      <c r="G24" s="1"/>
      <c r="H24" s="1"/>
    </row>
    <row r="25" spans="1:8" ht="14.5" x14ac:dyDescent="0.35">
      <c r="A25" s="15"/>
      <c r="B25" s="1"/>
      <c r="C25" s="16"/>
      <c r="D25" s="17"/>
      <c r="E25" s="1"/>
      <c r="F25" s="1"/>
      <c r="G25" s="1"/>
      <c r="H25" s="1"/>
    </row>
    <row r="26" spans="1:8" ht="14.5" x14ac:dyDescent="0.35">
      <c r="A26" s="15"/>
      <c r="B26" s="1"/>
      <c r="C26" s="16"/>
      <c r="D26" s="17"/>
      <c r="E26" s="1"/>
      <c r="F26" s="1"/>
      <c r="G26" s="1"/>
      <c r="H26" s="1"/>
    </row>
    <row r="27" spans="1:8" ht="14.5" x14ac:dyDescent="0.35">
      <c r="A27" s="15"/>
      <c r="B27" s="1"/>
      <c r="C27" s="16"/>
      <c r="D27" s="17"/>
      <c r="E27" s="1"/>
      <c r="F27" s="1"/>
      <c r="G27" s="1"/>
      <c r="H27" s="1"/>
    </row>
    <row r="28" spans="1:8" ht="14.5" x14ac:dyDescent="0.35">
      <c r="A28" s="15"/>
      <c r="B28" s="1"/>
      <c r="C28" s="16"/>
      <c r="D28" s="17"/>
      <c r="E28" s="1"/>
      <c r="F28" s="1"/>
      <c r="G28" s="1"/>
      <c r="H28" s="1"/>
    </row>
    <row r="29" spans="1:8" ht="14.5" x14ac:dyDescent="0.35">
      <c r="A29" s="15"/>
      <c r="B29" s="1"/>
      <c r="C29" s="16"/>
      <c r="D29" s="17"/>
      <c r="E29" s="1"/>
      <c r="F29" s="1"/>
      <c r="G29" s="1"/>
      <c r="H29" s="1"/>
    </row>
    <row r="30" spans="1:8" ht="14.5" x14ac:dyDescent="0.35">
      <c r="A30" s="15"/>
      <c r="B30" s="1"/>
      <c r="C30" s="16"/>
      <c r="D30" s="17"/>
      <c r="E30" s="1"/>
      <c r="F30" s="1"/>
      <c r="G30" s="1"/>
      <c r="H30" s="1"/>
    </row>
    <row r="31" spans="1:8" ht="14.5" x14ac:dyDescent="0.35">
      <c r="A31" s="15"/>
      <c r="B31" s="1"/>
      <c r="C31" s="16"/>
      <c r="D31" s="17"/>
      <c r="E31" s="1"/>
      <c r="F31" s="1"/>
      <c r="G31" s="1"/>
      <c r="H31" s="1"/>
    </row>
    <row r="32" spans="1:8" ht="14.5" x14ac:dyDescent="0.35">
      <c r="A32" s="15"/>
      <c r="B32" s="1"/>
      <c r="C32" s="16"/>
      <c r="D32" s="17"/>
      <c r="E32" s="2"/>
      <c r="F32" s="1"/>
      <c r="G32" s="1"/>
      <c r="H32" s="1"/>
    </row>
    <row r="33" spans="1:8" ht="14.5" x14ac:dyDescent="0.35">
      <c r="A33" s="15"/>
      <c r="B33" s="1"/>
      <c r="C33" s="16"/>
      <c r="D33" s="17"/>
      <c r="E33" s="1"/>
      <c r="F33" s="1"/>
      <c r="G33" s="1"/>
      <c r="H33" s="1"/>
    </row>
    <row r="34" spans="1:8" ht="14.5" x14ac:dyDescent="0.35">
      <c r="A34" s="15"/>
      <c r="B34" s="1"/>
      <c r="C34" s="16"/>
      <c r="D34" s="17"/>
      <c r="E34" s="2"/>
      <c r="F34" s="1"/>
      <c r="G34" s="1"/>
      <c r="H34" s="1"/>
    </row>
    <row r="35" spans="1:8" ht="14.5" x14ac:dyDescent="0.35">
      <c r="A35" s="15"/>
      <c r="B35" s="1"/>
      <c r="C35" s="16"/>
      <c r="D35" s="17"/>
      <c r="E35" s="1"/>
      <c r="F35" s="1"/>
      <c r="G35" s="1"/>
      <c r="H35" s="1"/>
    </row>
    <row r="36" spans="1:8" ht="14.5" x14ac:dyDescent="0.35">
      <c r="A36" s="15"/>
      <c r="B36" s="1"/>
      <c r="C36" s="16"/>
      <c r="D36" s="17"/>
      <c r="E36" s="1"/>
      <c r="F36" s="1"/>
      <c r="G36" s="1"/>
      <c r="H36" s="1"/>
    </row>
    <row r="37" spans="1:8" ht="14.5" x14ac:dyDescent="0.35">
      <c r="A37" s="15"/>
      <c r="B37" s="1"/>
      <c r="C37" s="16"/>
      <c r="D37" s="17"/>
      <c r="E37" s="1"/>
      <c r="F37" s="1"/>
      <c r="G37" s="1"/>
      <c r="H37" s="1"/>
    </row>
    <row r="38" spans="1:8" ht="14.5" x14ac:dyDescent="0.35">
      <c r="A38" s="15"/>
      <c r="B38" s="1"/>
      <c r="C38" s="16"/>
      <c r="D38" s="17"/>
      <c r="E38" s="2"/>
      <c r="F38" s="1"/>
      <c r="G38" s="1"/>
      <c r="H38" s="1"/>
    </row>
    <row r="39" spans="1:8" ht="14.5" x14ac:dyDescent="0.35">
      <c r="A39" s="15"/>
      <c r="B39" s="1"/>
      <c r="C39" s="16"/>
      <c r="D39" s="17"/>
      <c r="E39" s="1"/>
      <c r="F39" s="1"/>
      <c r="G39" s="1"/>
      <c r="H39" s="1"/>
    </row>
    <row r="40" spans="1:8" ht="14.5" x14ac:dyDescent="0.35">
      <c r="A40" s="15"/>
      <c r="B40" s="1"/>
      <c r="C40" s="16"/>
      <c r="D40" s="17"/>
      <c r="E40" s="2"/>
      <c r="F40" s="1"/>
      <c r="G40" s="1"/>
      <c r="H40" s="1"/>
    </row>
    <row r="41" spans="1:8" ht="14.5" x14ac:dyDescent="0.35">
      <c r="A41" s="15"/>
      <c r="B41" s="1"/>
      <c r="C41" s="16"/>
      <c r="D41" s="17"/>
      <c r="E41" s="1"/>
      <c r="F41" s="1"/>
      <c r="G41" s="1"/>
      <c r="H41" s="1"/>
    </row>
    <row r="42" spans="1:8" ht="14.5" x14ac:dyDescent="0.35">
      <c r="A42" s="15"/>
      <c r="B42" s="1"/>
      <c r="C42" s="16"/>
      <c r="D42" s="17"/>
      <c r="E42" s="1"/>
      <c r="F42" s="1"/>
      <c r="G42" s="1"/>
      <c r="H42" s="1"/>
    </row>
    <row r="43" spans="1:8" ht="14.5" x14ac:dyDescent="0.35">
      <c r="A43" s="15"/>
      <c r="B43" s="1"/>
      <c r="C43" s="16"/>
      <c r="D43" s="17"/>
      <c r="E43" s="3"/>
      <c r="F43" s="1"/>
      <c r="G43" s="1"/>
      <c r="H43" s="1"/>
    </row>
    <row r="44" spans="1:8" ht="14.5" x14ac:dyDescent="0.35">
      <c r="A44" s="15"/>
      <c r="B44" s="1"/>
      <c r="C44" s="16"/>
      <c r="D44" s="17"/>
      <c r="E44" s="2"/>
      <c r="F44" s="1"/>
      <c r="G44" s="1"/>
      <c r="H44" s="1"/>
    </row>
    <row r="45" spans="1:8" ht="14.5" x14ac:dyDescent="0.35">
      <c r="A45" s="15"/>
      <c r="B45" s="1"/>
      <c r="C45" s="16"/>
      <c r="D45" s="17"/>
      <c r="E45" s="1"/>
      <c r="F45" s="1"/>
      <c r="G45" s="1"/>
      <c r="H45" s="1"/>
    </row>
    <row r="46" spans="1:8" ht="14.5" x14ac:dyDescent="0.35">
      <c r="A46" s="15"/>
      <c r="B46" s="1"/>
      <c r="C46" s="16"/>
      <c r="D46" s="17"/>
      <c r="E46" s="2"/>
      <c r="F46" s="1"/>
      <c r="G46" s="1"/>
      <c r="H46" s="1"/>
    </row>
    <row r="47" spans="1:8" ht="14.5" x14ac:dyDescent="0.35">
      <c r="A47" s="15"/>
      <c r="B47" s="1"/>
      <c r="C47" s="16"/>
      <c r="D47" s="17"/>
      <c r="E47" s="1"/>
      <c r="F47" s="1"/>
      <c r="G47" s="1"/>
      <c r="H47" s="1"/>
    </row>
    <row r="48" spans="1:8" ht="14.5" x14ac:dyDescent="0.35">
      <c r="A48" s="15"/>
      <c r="B48" s="1"/>
      <c r="C48" s="16"/>
      <c r="D48" s="17"/>
      <c r="E48" s="1"/>
      <c r="F48" s="1"/>
      <c r="G48" s="1"/>
      <c r="H48" s="1"/>
    </row>
    <row r="49" spans="1:8" ht="14.5" x14ac:dyDescent="0.35">
      <c r="A49" s="15"/>
      <c r="B49" s="1"/>
      <c r="C49" s="16"/>
      <c r="D49" s="17"/>
      <c r="E49" s="1"/>
      <c r="F49" s="1"/>
      <c r="G49" s="1"/>
      <c r="H49" s="1"/>
    </row>
    <row r="50" spans="1:8" ht="14.5" x14ac:dyDescent="0.35">
      <c r="A50" s="15"/>
      <c r="B50" s="1"/>
      <c r="C50" s="16"/>
      <c r="D50" s="17"/>
      <c r="E50" s="2"/>
      <c r="F50" s="1"/>
      <c r="G50" s="1"/>
      <c r="H50" s="1"/>
    </row>
    <row r="51" spans="1:8" ht="14.5" x14ac:dyDescent="0.35">
      <c r="A51" s="15"/>
      <c r="B51" s="1"/>
      <c r="C51" s="16"/>
      <c r="D51" s="17"/>
      <c r="E51" s="1"/>
      <c r="F51" s="1"/>
      <c r="G51" s="1"/>
      <c r="H51" s="1"/>
    </row>
    <row r="52" spans="1:8" ht="14.5" x14ac:dyDescent="0.35">
      <c r="A52" s="15"/>
      <c r="B52" s="1"/>
      <c r="C52" s="16"/>
      <c r="D52" s="17"/>
      <c r="E52" s="2"/>
      <c r="F52" s="1"/>
      <c r="G52" s="1"/>
      <c r="H52" s="1"/>
    </row>
    <row r="53" spans="1:8" ht="14.5" x14ac:dyDescent="0.35">
      <c r="A53" s="15"/>
      <c r="B53" s="1"/>
      <c r="C53" s="16"/>
      <c r="D53" s="17"/>
      <c r="E53" s="1"/>
      <c r="F53" s="1"/>
      <c r="G53" s="1"/>
      <c r="H53" s="1"/>
    </row>
    <row r="54" spans="1:8" ht="14.5" x14ac:dyDescent="0.35">
      <c r="A54" s="15"/>
      <c r="B54" s="1"/>
      <c r="C54" s="16"/>
      <c r="D54" s="17"/>
      <c r="E54" s="2"/>
      <c r="F54" s="1"/>
      <c r="G54" s="1"/>
      <c r="H54" s="1"/>
    </row>
    <row r="55" spans="1:8" ht="14.5" x14ac:dyDescent="0.35">
      <c r="A55" s="15"/>
      <c r="B55" s="1"/>
      <c r="C55" s="16"/>
      <c r="D55" s="17"/>
      <c r="E55" s="1"/>
      <c r="F55" s="1"/>
      <c r="G55" s="1"/>
      <c r="H55" s="1"/>
    </row>
    <row r="56" spans="1:8" ht="14.5" x14ac:dyDescent="0.35">
      <c r="A56" s="15"/>
      <c r="B56" s="1"/>
      <c r="C56" s="16"/>
      <c r="D56" s="17"/>
      <c r="E56" s="1"/>
      <c r="F56" s="1"/>
      <c r="G56" s="1"/>
      <c r="H56" s="1"/>
    </row>
    <row r="57" spans="1:8" ht="14.5" x14ac:dyDescent="0.35">
      <c r="A57" s="15"/>
      <c r="B57" s="1"/>
      <c r="C57" s="16"/>
      <c r="D57" s="17"/>
      <c r="E57" s="1"/>
      <c r="F57" s="1"/>
      <c r="G57" s="1"/>
      <c r="H57" s="1"/>
    </row>
    <row r="58" spans="1:8" ht="14.5" x14ac:dyDescent="0.35">
      <c r="A58" s="15"/>
      <c r="B58" s="1"/>
      <c r="C58" s="16"/>
      <c r="D58" s="17"/>
      <c r="E58" s="2"/>
      <c r="F58" s="1"/>
      <c r="G58" s="1"/>
      <c r="H58" s="1"/>
    </row>
    <row r="59" spans="1:8" ht="14.5" x14ac:dyDescent="0.35">
      <c r="A59" s="15"/>
      <c r="B59" s="1"/>
      <c r="C59" s="16"/>
      <c r="D59" s="17"/>
      <c r="E59" s="2"/>
      <c r="F59" s="1"/>
      <c r="G59" s="1"/>
      <c r="H59" s="1"/>
    </row>
    <row r="60" spans="1:8" ht="14.5" x14ac:dyDescent="0.35">
      <c r="A60" s="15"/>
      <c r="B60" s="1"/>
      <c r="C60" s="16"/>
      <c r="D60" s="17"/>
      <c r="E60" s="2"/>
      <c r="F60" s="1"/>
      <c r="G60" s="1"/>
      <c r="H60" s="1"/>
    </row>
    <row r="61" spans="1:8" ht="14.5" x14ac:dyDescent="0.35">
      <c r="A61" s="15"/>
      <c r="B61" s="1"/>
      <c r="C61" s="16"/>
      <c r="D61" s="17"/>
      <c r="E61" s="1"/>
      <c r="F61" s="1"/>
      <c r="G61" s="1"/>
      <c r="H61" s="1"/>
    </row>
    <row r="62" spans="1:8" ht="14.5" x14ac:dyDescent="0.35">
      <c r="A62" s="15"/>
      <c r="B62" s="1"/>
      <c r="C62" s="16"/>
      <c r="D62" s="17"/>
      <c r="E62" s="1"/>
      <c r="F62" s="1"/>
      <c r="G62" s="1"/>
      <c r="H62" s="1"/>
    </row>
    <row r="63" spans="1:8" ht="14.5" x14ac:dyDescent="0.35">
      <c r="A63" s="15"/>
      <c r="B63" s="1"/>
      <c r="C63" s="16"/>
      <c r="D63" s="17"/>
      <c r="E63" s="2"/>
      <c r="F63" s="1"/>
      <c r="G63" s="1"/>
      <c r="H63" s="1"/>
    </row>
    <row r="64" spans="1:8" ht="14.5" x14ac:dyDescent="0.35">
      <c r="A64" s="15"/>
      <c r="B64" s="1"/>
      <c r="C64" s="16"/>
      <c r="D64" s="17"/>
      <c r="E64" s="1"/>
      <c r="F64" s="1"/>
      <c r="G64" s="1"/>
      <c r="H64" s="1"/>
    </row>
    <row r="65" spans="1:8" ht="14.5" x14ac:dyDescent="0.35">
      <c r="A65" s="15"/>
      <c r="B65" s="1"/>
      <c r="C65" s="16"/>
      <c r="D65" s="17"/>
      <c r="E65" s="1"/>
      <c r="F65" s="1"/>
      <c r="G65" s="1"/>
      <c r="H65" s="1"/>
    </row>
    <row r="66" spans="1:8" ht="14.5" x14ac:dyDescent="0.35">
      <c r="A66" s="15"/>
      <c r="B66" s="1"/>
      <c r="C66" s="16"/>
      <c r="D66" s="17"/>
      <c r="E66" s="2"/>
      <c r="F66" s="1"/>
      <c r="G66" s="1"/>
      <c r="H66" s="1"/>
    </row>
    <row r="67" spans="1:8" ht="14.5" x14ac:dyDescent="0.35">
      <c r="A67" s="15"/>
      <c r="B67" s="1"/>
      <c r="C67" s="16"/>
      <c r="D67" s="17"/>
      <c r="E67" s="1"/>
      <c r="F67" s="1"/>
      <c r="G67" s="1"/>
      <c r="H67" s="1"/>
    </row>
    <row r="68" spans="1:8" ht="14.5" x14ac:dyDescent="0.35">
      <c r="A68" s="15"/>
      <c r="B68" s="1"/>
      <c r="C68" s="16"/>
      <c r="D68" s="17"/>
      <c r="E68" s="1"/>
      <c r="F68" s="1"/>
      <c r="G68" s="1"/>
      <c r="H68" s="1"/>
    </row>
    <row r="69" spans="1:8" ht="14.5" x14ac:dyDescent="0.35">
      <c r="A69" s="15"/>
      <c r="B69" s="1"/>
      <c r="C69" s="16"/>
      <c r="D69" s="17"/>
      <c r="E69" s="1"/>
      <c r="F69" s="1"/>
      <c r="G69" s="1"/>
      <c r="H69" s="1"/>
    </row>
    <row r="70" spans="1:8" ht="14.5" x14ac:dyDescent="0.35">
      <c r="A70" s="15"/>
      <c r="B70" s="1"/>
      <c r="C70" s="16"/>
      <c r="D70" s="17"/>
      <c r="E70" s="1"/>
      <c r="F70" s="1"/>
      <c r="G70" s="1"/>
      <c r="H70" s="1"/>
    </row>
    <row r="71" spans="1:8" ht="14.5" x14ac:dyDescent="0.35">
      <c r="A71" s="15"/>
      <c r="B71" s="1"/>
      <c r="C71" s="16"/>
      <c r="D71" s="17"/>
      <c r="E71" s="1"/>
      <c r="F71" s="1"/>
      <c r="G71" s="1"/>
      <c r="H71" s="1"/>
    </row>
    <row r="72" spans="1:8" ht="14.5" x14ac:dyDescent="0.35">
      <c r="A72" s="15"/>
      <c r="B72" s="1"/>
      <c r="C72" s="16"/>
      <c r="D72" s="17"/>
      <c r="E72" s="1"/>
      <c r="F72" s="1"/>
      <c r="G72" s="1"/>
      <c r="H72" s="1"/>
    </row>
    <row r="73" spans="1:8" ht="14.5" x14ac:dyDescent="0.35">
      <c r="A73" s="15"/>
      <c r="B73" s="1"/>
      <c r="C73" s="16"/>
      <c r="D73" s="17"/>
      <c r="E73" s="1"/>
      <c r="F73" s="1"/>
      <c r="G73" s="1"/>
      <c r="H73" s="1"/>
    </row>
    <row r="74" spans="1:8" ht="14.5" x14ac:dyDescent="0.35">
      <c r="A74" s="15"/>
      <c r="B74" s="1"/>
      <c r="C74" s="16"/>
      <c r="D74" s="17"/>
      <c r="E74" s="2"/>
      <c r="F74" s="1"/>
      <c r="G74" s="1"/>
      <c r="H74" s="1"/>
    </row>
    <row r="75" spans="1:8" ht="14.5" x14ac:dyDescent="0.35">
      <c r="A75" s="15"/>
      <c r="B75" s="1"/>
      <c r="C75" s="16"/>
      <c r="D75" s="17"/>
      <c r="E75" s="2"/>
      <c r="F75" s="1"/>
      <c r="G75" s="1"/>
      <c r="H75" s="1"/>
    </row>
    <row r="76" spans="1:8" ht="14.5" x14ac:dyDescent="0.35">
      <c r="A76" s="15"/>
      <c r="B76" s="1"/>
      <c r="C76" s="16"/>
      <c r="D76" s="17"/>
      <c r="E76" s="2"/>
      <c r="F76" s="1"/>
      <c r="G76" s="1"/>
      <c r="H76" s="1"/>
    </row>
    <row r="77" spans="1:8" ht="14.5" x14ac:dyDescent="0.35">
      <c r="A77" s="15"/>
      <c r="B77" s="1"/>
      <c r="C77" s="16"/>
      <c r="D77" s="17"/>
      <c r="E77" s="1"/>
      <c r="F77" s="1"/>
      <c r="G77" s="1"/>
      <c r="H77" s="1"/>
    </row>
    <row r="78" spans="1:8" ht="14.5" x14ac:dyDescent="0.35">
      <c r="A78" s="15"/>
      <c r="B78" s="1"/>
      <c r="C78" s="16"/>
      <c r="D78" s="17"/>
      <c r="E78" s="2"/>
      <c r="F78" s="1"/>
      <c r="G78" s="1"/>
      <c r="H78" s="1"/>
    </row>
    <row r="79" spans="1:8" ht="14.5" x14ac:dyDescent="0.35">
      <c r="A79" s="15"/>
      <c r="B79" s="1"/>
      <c r="C79" s="16"/>
      <c r="D79" s="17"/>
      <c r="E79" s="1"/>
      <c r="F79" s="1"/>
      <c r="G79" s="1"/>
      <c r="H79" s="1"/>
    </row>
    <row r="80" spans="1:8" ht="14.5" x14ac:dyDescent="0.35">
      <c r="A80" s="15"/>
      <c r="B80" s="1"/>
      <c r="C80" s="16"/>
      <c r="D80" s="17"/>
      <c r="E80" s="1"/>
      <c r="F80" s="1"/>
      <c r="G80" s="1"/>
      <c r="H80" s="1"/>
    </row>
    <row r="81" spans="1:8" ht="14.5" x14ac:dyDescent="0.35">
      <c r="A81" s="15"/>
      <c r="B81" s="1"/>
      <c r="C81" s="16"/>
      <c r="D81" s="17"/>
      <c r="E81" s="2"/>
      <c r="F81" s="1"/>
      <c r="G81" s="1"/>
      <c r="H81" s="1"/>
    </row>
    <row r="82" spans="1:8" ht="14.5" x14ac:dyDescent="0.35">
      <c r="A82" s="15"/>
      <c r="B82" s="1"/>
      <c r="C82" s="16"/>
      <c r="D82" s="17"/>
      <c r="E82" s="1"/>
      <c r="F82" s="1"/>
      <c r="G82" s="1"/>
      <c r="H82" s="1"/>
    </row>
    <row r="83" spans="1:8" ht="14.5" x14ac:dyDescent="0.35">
      <c r="A83" s="15"/>
      <c r="B83" s="1"/>
      <c r="C83" s="16"/>
      <c r="D83" s="17"/>
      <c r="E83" s="1"/>
      <c r="F83" s="1"/>
      <c r="G83" s="1"/>
      <c r="H83" s="1"/>
    </row>
    <row r="84" spans="1:8" ht="14.5" x14ac:dyDescent="0.35">
      <c r="A84" s="15"/>
      <c r="B84" s="1"/>
      <c r="C84" s="16"/>
      <c r="D84" s="17"/>
      <c r="E84" s="1"/>
      <c r="F84" s="1"/>
      <c r="G84" s="1"/>
      <c r="H84" s="1"/>
    </row>
    <row r="85" spans="1:8" ht="14.5" x14ac:dyDescent="0.35">
      <c r="A85" s="15"/>
      <c r="B85" s="1"/>
      <c r="C85" s="16"/>
      <c r="D85" s="17"/>
      <c r="E85" s="2"/>
      <c r="F85" s="1"/>
      <c r="G85" s="1"/>
      <c r="H85" s="1"/>
    </row>
    <row r="86" spans="1:8" ht="14.5" x14ac:dyDescent="0.35">
      <c r="A86" s="15"/>
      <c r="B86" s="1"/>
      <c r="C86" s="16"/>
      <c r="D86" s="17"/>
      <c r="E86" s="1"/>
      <c r="F86" s="1"/>
      <c r="G86" s="1"/>
      <c r="H86" s="1"/>
    </row>
    <row r="87" spans="1:8" ht="14.5" x14ac:dyDescent="0.35">
      <c r="A87" s="15"/>
      <c r="B87" s="1"/>
      <c r="C87" s="16"/>
      <c r="D87" s="17"/>
      <c r="E87" s="1"/>
      <c r="F87" s="1"/>
      <c r="G87" s="1"/>
      <c r="H87" s="1"/>
    </row>
    <row r="88" spans="1:8" ht="14.5" x14ac:dyDescent="0.35">
      <c r="A88" s="15"/>
      <c r="B88" s="1"/>
      <c r="C88" s="16"/>
      <c r="D88" s="17"/>
      <c r="E88" s="1"/>
      <c r="F88" s="1"/>
      <c r="G88" s="1"/>
      <c r="H88" s="1"/>
    </row>
    <row r="89" spans="1:8" ht="14.5" x14ac:dyDescent="0.35">
      <c r="A89" s="15"/>
      <c r="B89" s="1"/>
      <c r="C89" s="16"/>
      <c r="D89" s="17"/>
      <c r="E89" s="2"/>
      <c r="F89" s="1"/>
      <c r="G89" s="1"/>
      <c r="H89" s="1"/>
    </row>
    <row r="90" spans="1:8" ht="14.5" x14ac:dyDescent="0.35">
      <c r="A90" s="15"/>
      <c r="B90" s="1"/>
      <c r="C90" s="16"/>
      <c r="D90" s="17"/>
      <c r="E90" s="1"/>
      <c r="F90" s="1"/>
      <c r="G90" s="1"/>
      <c r="H90" s="1"/>
    </row>
    <row r="91" spans="1:8" ht="14.5" x14ac:dyDescent="0.35">
      <c r="A91" s="15"/>
      <c r="B91" s="1"/>
      <c r="C91" s="16"/>
      <c r="D91" s="17"/>
      <c r="E91" s="2"/>
      <c r="F91" s="1"/>
      <c r="G91" s="1"/>
      <c r="H91" s="1"/>
    </row>
    <row r="92" spans="1:8" ht="14.5" x14ac:dyDescent="0.35">
      <c r="A92" s="15"/>
      <c r="B92" s="1"/>
      <c r="C92" s="16"/>
      <c r="D92" s="17"/>
      <c r="E92" s="1"/>
      <c r="F92" s="1"/>
      <c r="G92" s="1"/>
      <c r="H92" s="1"/>
    </row>
    <row r="93" spans="1:8" ht="14.5" x14ac:dyDescent="0.35">
      <c r="A93" s="15"/>
      <c r="B93" s="1"/>
      <c r="C93" s="16"/>
      <c r="D93" s="17"/>
      <c r="E93" s="1"/>
      <c r="F93" s="1"/>
      <c r="G93" s="1"/>
      <c r="H93" s="1"/>
    </row>
    <row r="94" spans="1:8" ht="14.5" x14ac:dyDescent="0.35">
      <c r="A94" s="15"/>
      <c r="B94" s="1"/>
      <c r="C94" s="16"/>
      <c r="D94" s="17"/>
      <c r="E94" s="1"/>
      <c r="F94" s="1"/>
      <c r="G94" s="1"/>
      <c r="H94" s="1"/>
    </row>
    <row r="95" spans="1:8" ht="14.5" x14ac:dyDescent="0.35">
      <c r="A95" s="15"/>
      <c r="B95" s="1"/>
      <c r="C95" s="16"/>
      <c r="D95" s="17"/>
      <c r="E95" s="2"/>
      <c r="F95" s="1"/>
      <c r="G95" s="1"/>
      <c r="H95" s="1"/>
    </row>
    <row r="96" spans="1:8" ht="14.5" x14ac:dyDescent="0.35">
      <c r="A96" s="15"/>
      <c r="B96" s="1"/>
      <c r="C96" s="16"/>
      <c r="D96" s="17"/>
      <c r="E96" s="1"/>
      <c r="F96" s="1"/>
      <c r="G96" s="1"/>
      <c r="H96" s="1"/>
    </row>
    <row r="97" spans="1:8" ht="14.5" x14ac:dyDescent="0.35">
      <c r="A97" s="15"/>
      <c r="B97" s="1"/>
      <c r="C97" s="16"/>
      <c r="D97" s="17"/>
      <c r="E97" s="1"/>
      <c r="F97" s="1"/>
      <c r="G97" s="1"/>
      <c r="H97" s="1"/>
    </row>
    <row r="98" spans="1:8" ht="14.5" x14ac:dyDescent="0.35">
      <c r="A98" s="15"/>
      <c r="B98" s="1"/>
      <c r="C98" s="16"/>
      <c r="D98" s="17"/>
      <c r="E98" s="1"/>
      <c r="F98" s="1"/>
      <c r="G98" s="1"/>
      <c r="H98" s="1"/>
    </row>
    <row r="99" spans="1:8" ht="14.5" x14ac:dyDescent="0.35">
      <c r="A99" s="15"/>
      <c r="B99" s="1"/>
      <c r="C99" s="16"/>
      <c r="D99" s="17"/>
      <c r="E99" s="1"/>
      <c r="F99" s="1"/>
      <c r="G99" s="1"/>
      <c r="H99" s="1"/>
    </row>
    <row r="100" spans="1:8" ht="14.5" x14ac:dyDescent="0.35">
      <c r="A100" s="15"/>
      <c r="B100" s="1"/>
      <c r="C100" s="16"/>
      <c r="D100" s="17"/>
      <c r="E100" s="1"/>
      <c r="F100" s="1"/>
      <c r="G100" s="1"/>
      <c r="H100" s="1"/>
    </row>
    <row r="101" spans="1:8" ht="14.5" x14ac:dyDescent="0.35">
      <c r="A101" s="15"/>
      <c r="B101" s="1"/>
      <c r="C101" s="16"/>
      <c r="D101" s="17"/>
      <c r="E101" s="1"/>
      <c r="F101" s="1"/>
      <c r="G101" s="1"/>
      <c r="H101" s="1"/>
    </row>
    <row r="102" spans="1:8" ht="14.5" x14ac:dyDescent="0.35">
      <c r="A102" s="15"/>
      <c r="B102" s="1"/>
      <c r="C102" s="16"/>
      <c r="D102" s="17"/>
      <c r="E102" s="1"/>
      <c r="F102" s="1"/>
      <c r="G102" s="1"/>
      <c r="H102" s="1"/>
    </row>
    <row r="103" spans="1:8" ht="14.5" x14ac:dyDescent="0.35">
      <c r="A103" s="15"/>
      <c r="B103" s="1"/>
      <c r="C103" s="16"/>
      <c r="D103" s="17"/>
      <c r="E103" s="1"/>
      <c r="F103" s="1"/>
      <c r="G103" s="1"/>
      <c r="H103" s="1"/>
    </row>
    <row r="104" spans="1:8" ht="14.5" x14ac:dyDescent="0.35">
      <c r="A104" s="15"/>
      <c r="B104" s="1"/>
      <c r="C104" s="16"/>
      <c r="D104" s="17"/>
      <c r="E104" s="1"/>
      <c r="F104" s="1"/>
      <c r="G104" s="1"/>
      <c r="H104" s="1"/>
    </row>
    <row r="105" spans="1:8" ht="14.5" x14ac:dyDescent="0.35">
      <c r="A105" s="15"/>
      <c r="B105" s="1"/>
      <c r="C105" s="16"/>
      <c r="D105" s="17"/>
      <c r="E105" s="1"/>
      <c r="F105" s="1"/>
      <c r="G105" s="1"/>
      <c r="H105" s="1"/>
    </row>
    <row r="106" spans="1:8" ht="14.5" x14ac:dyDescent="0.35">
      <c r="A106" s="15"/>
      <c r="B106" s="1"/>
      <c r="C106" s="16"/>
      <c r="D106" s="17"/>
      <c r="E106" s="1"/>
      <c r="F106" s="1"/>
      <c r="G106" s="1"/>
      <c r="H106" s="1"/>
    </row>
    <row r="107" spans="1:8" ht="14.5" x14ac:dyDescent="0.35">
      <c r="A107" s="15"/>
      <c r="B107" s="1"/>
      <c r="C107" s="16"/>
      <c r="D107" s="17"/>
      <c r="E107" s="1"/>
      <c r="F107" s="1"/>
      <c r="G107" s="1"/>
      <c r="H107" s="1"/>
    </row>
    <row r="108" spans="1:8" ht="14.5" x14ac:dyDescent="0.35">
      <c r="A108" s="15"/>
      <c r="B108" s="1"/>
      <c r="C108" s="16"/>
      <c r="D108" s="17"/>
      <c r="E108" s="2"/>
      <c r="F108" s="1"/>
      <c r="G108" s="1"/>
      <c r="H108" s="1"/>
    </row>
    <row r="109" spans="1:8" ht="14.5" x14ac:dyDescent="0.35">
      <c r="A109" s="15"/>
      <c r="B109" s="1"/>
      <c r="C109" s="16"/>
      <c r="D109" s="17"/>
      <c r="E109" s="1"/>
      <c r="F109" s="1"/>
      <c r="G109" s="1"/>
      <c r="H109" s="1"/>
    </row>
    <row r="110" spans="1:8" ht="14.5" x14ac:dyDescent="0.35">
      <c r="A110" s="15"/>
      <c r="B110" s="1"/>
      <c r="C110" s="16"/>
      <c r="D110" s="17"/>
      <c r="E110" s="2"/>
      <c r="F110" s="1"/>
      <c r="G110" s="1"/>
      <c r="H110" s="1"/>
    </row>
    <row r="111" spans="1:8" ht="14.5" x14ac:dyDescent="0.35">
      <c r="A111" s="15"/>
      <c r="B111" s="1"/>
      <c r="C111" s="16"/>
      <c r="D111" s="17"/>
      <c r="E111" s="1"/>
      <c r="F111" s="1"/>
      <c r="G111" s="1"/>
      <c r="H111" s="1"/>
    </row>
    <row r="112" spans="1:8" ht="14.5" x14ac:dyDescent="0.35">
      <c r="A112" s="15"/>
      <c r="B112" s="1"/>
      <c r="C112" s="16"/>
      <c r="D112" s="17"/>
      <c r="E112" s="2"/>
      <c r="F112" s="1"/>
      <c r="G112" s="1"/>
      <c r="H112" s="1"/>
    </row>
    <row r="113" spans="1:8" ht="14.5" x14ac:dyDescent="0.35">
      <c r="A113" s="15"/>
      <c r="B113" s="1"/>
      <c r="C113" s="16"/>
      <c r="D113" s="17"/>
      <c r="E113" s="1"/>
      <c r="F113" s="1"/>
      <c r="G113" s="1"/>
      <c r="H113" s="1"/>
    </row>
    <row r="114" spans="1:8" ht="14.5" x14ac:dyDescent="0.35">
      <c r="A114" s="15"/>
      <c r="B114" s="1"/>
      <c r="C114" s="16"/>
      <c r="D114" s="17"/>
      <c r="E114" s="2"/>
      <c r="F114" s="1"/>
      <c r="G114" s="1"/>
      <c r="H114" s="1"/>
    </row>
    <row r="115" spans="1:8" ht="14.5" x14ac:dyDescent="0.35">
      <c r="A115" s="15"/>
      <c r="B115" s="1"/>
      <c r="C115" s="16"/>
      <c r="D115" s="17"/>
      <c r="E115" s="1"/>
      <c r="F115" s="1"/>
      <c r="G115" s="1"/>
      <c r="H115" s="1"/>
    </row>
    <row r="116" spans="1:8" ht="14.5" x14ac:dyDescent="0.35">
      <c r="A116" s="15"/>
      <c r="B116" s="1"/>
      <c r="C116" s="16"/>
      <c r="D116" s="17"/>
      <c r="E116" s="1"/>
      <c r="F116" s="1"/>
      <c r="G116" s="1"/>
      <c r="H116" s="1"/>
    </row>
    <row r="117" spans="1:8" ht="14.5" x14ac:dyDescent="0.35">
      <c r="A117" s="15"/>
      <c r="B117" s="1"/>
      <c r="C117" s="16"/>
      <c r="D117" s="17"/>
      <c r="E117" s="2"/>
      <c r="F117" s="1"/>
      <c r="G117" s="1"/>
      <c r="H117" s="1"/>
    </row>
    <row r="118" spans="1:8" ht="14.5" x14ac:dyDescent="0.35">
      <c r="A118" s="15"/>
      <c r="B118" s="1"/>
      <c r="C118" s="16"/>
      <c r="D118" s="17"/>
      <c r="E118" s="2"/>
      <c r="F118" s="1"/>
      <c r="G118" s="1"/>
      <c r="H118" s="1"/>
    </row>
    <row r="119" spans="1:8" ht="14.5" x14ac:dyDescent="0.35">
      <c r="A119" s="15"/>
      <c r="B119" s="1"/>
      <c r="C119" s="16"/>
      <c r="D119" s="17"/>
      <c r="E119" s="2"/>
      <c r="F119" s="1"/>
      <c r="G119" s="1"/>
      <c r="H119" s="1"/>
    </row>
    <row r="120" spans="1:8" ht="14.5" x14ac:dyDescent="0.35">
      <c r="A120" s="15"/>
      <c r="B120" s="1"/>
      <c r="C120" s="16"/>
      <c r="D120" s="17"/>
      <c r="E120" s="3"/>
      <c r="F120" s="1"/>
      <c r="G120" s="1"/>
      <c r="H120" s="1"/>
    </row>
    <row r="121" spans="1:8" ht="14.5" x14ac:dyDescent="0.35">
      <c r="A121" s="15"/>
      <c r="B121" s="1"/>
      <c r="C121" s="16"/>
      <c r="D121" s="17"/>
      <c r="E121" s="1"/>
      <c r="F121" s="1"/>
      <c r="G121" s="1"/>
      <c r="H121" s="1"/>
    </row>
    <row r="122" spans="1:8" ht="14.5" x14ac:dyDescent="0.35">
      <c r="A122" s="15"/>
      <c r="B122" s="1"/>
      <c r="C122" s="16"/>
      <c r="D122" s="17"/>
      <c r="E122" s="2"/>
      <c r="F122" s="1"/>
      <c r="G122" s="1"/>
      <c r="H122" s="1"/>
    </row>
    <row r="123" spans="1:8" ht="14.5" x14ac:dyDescent="0.35">
      <c r="A123" s="15"/>
      <c r="B123" s="1"/>
      <c r="C123" s="16"/>
      <c r="D123" s="17"/>
      <c r="E123" s="1"/>
      <c r="F123" s="1"/>
      <c r="G123" s="1"/>
      <c r="H123" s="1"/>
    </row>
    <row r="124" spans="1:8" ht="14.5" x14ac:dyDescent="0.35">
      <c r="A124" s="15"/>
      <c r="B124" s="1"/>
      <c r="C124" s="16"/>
      <c r="D124" s="17"/>
      <c r="E124" s="2"/>
      <c r="F124" s="1"/>
      <c r="G124" s="1"/>
      <c r="H124" s="1"/>
    </row>
    <row r="125" spans="1:8" ht="14.5" x14ac:dyDescent="0.35">
      <c r="A125" s="15"/>
      <c r="B125" s="1"/>
      <c r="C125" s="16"/>
      <c r="D125" s="17"/>
      <c r="E125" s="2"/>
      <c r="F125" s="1"/>
      <c r="G125" s="1"/>
      <c r="H125" s="1"/>
    </row>
    <row r="126" spans="1:8" ht="14.5" x14ac:dyDescent="0.35">
      <c r="A126" s="15"/>
      <c r="B126" s="1"/>
      <c r="C126" s="16"/>
      <c r="D126" s="17"/>
      <c r="E126" s="1"/>
      <c r="F126" s="1"/>
      <c r="G126" s="1"/>
      <c r="H126" s="1"/>
    </row>
    <row r="127" spans="1:8" ht="14.5" x14ac:dyDescent="0.35">
      <c r="A127" s="15"/>
      <c r="B127" s="1"/>
      <c r="C127" s="16"/>
      <c r="D127" s="17"/>
      <c r="E127" s="1"/>
      <c r="F127" s="1"/>
      <c r="G127" s="1"/>
      <c r="H127" s="1"/>
    </row>
    <row r="128" spans="1:8" ht="14.5" x14ac:dyDescent="0.35">
      <c r="A128" s="15"/>
      <c r="B128" s="1"/>
      <c r="C128" s="16"/>
      <c r="D128" s="17"/>
      <c r="E128" s="1"/>
      <c r="F128" s="1"/>
      <c r="G128" s="1"/>
      <c r="H128" s="1"/>
    </row>
    <row r="129" spans="1:8" ht="14.5" x14ac:dyDescent="0.35">
      <c r="A129" s="15"/>
      <c r="B129" s="1"/>
      <c r="C129" s="16"/>
      <c r="D129" s="17"/>
      <c r="E129" s="1"/>
      <c r="F129" s="1"/>
      <c r="G129" s="1"/>
      <c r="H129" s="1"/>
    </row>
    <row r="130" spans="1:8" ht="14.5" x14ac:dyDescent="0.35">
      <c r="A130" s="15"/>
      <c r="B130" s="1"/>
      <c r="C130" s="16"/>
      <c r="D130" s="17"/>
      <c r="E130" s="1"/>
      <c r="F130" s="1"/>
      <c r="G130" s="1"/>
      <c r="H130" s="1"/>
    </row>
    <row r="131" spans="1:8" ht="14.5" x14ac:dyDescent="0.35">
      <c r="A131" s="15"/>
      <c r="B131" s="1"/>
      <c r="C131" s="16"/>
      <c r="D131" s="17"/>
      <c r="E131" s="2"/>
      <c r="F131" s="1"/>
      <c r="G131" s="1"/>
      <c r="H131" s="1"/>
    </row>
    <row r="132" spans="1:8" ht="14.5" x14ac:dyDescent="0.35">
      <c r="A132" s="15"/>
      <c r="B132" s="1"/>
      <c r="C132" s="16"/>
      <c r="D132" s="17"/>
      <c r="E132" s="1"/>
      <c r="F132" s="1"/>
      <c r="G132" s="1"/>
      <c r="H132" s="1"/>
    </row>
    <row r="133" spans="1:8" ht="14.5" x14ac:dyDescent="0.35">
      <c r="A133" s="15"/>
      <c r="B133" s="1"/>
      <c r="C133" s="16"/>
      <c r="D133" s="17"/>
      <c r="E133" s="1"/>
      <c r="F133" s="1"/>
      <c r="G133" s="1"/>
      <c r="H133" s="1"/>
    </row>
    <row r="134" spans="1:8" ht="14.5" x14ac:dyDescent="0.35">
      <c r="A134" s="15"/>
      <c r="B134" s="1"/>
      <c r="C134" s="16"/>
      <c r="D134" s="17"/>
      <c r="E134" s="2"/>
      <c r="F134" s="1"/>
      <c r="G134" s="1"/>
      <c r="H134" s="1"/>
    </row>
    <row r="135" spans="1:8" ht="14.5" x14ac:dyDescent="0.35">
      <c r="A135" s="15"/>
      <c r="B135" s="1"/>
      <c r="C135" s="16"/>
      <c r="D135" s="17"/>
      <c r="E135" s="1"/>
      <c r="F135" s="1"/>
      <c r="G135" s="1"/>
      <c r="H135" s="1"/>
    </row>
    <row r="136" spans="1:8" ht="14.5" x14ac:dyDescent="0.35">
      <c r="A136" s="15"/>
      <c r="B136" s="1"/>
      <c r="C136" s="16"/>
      <c r="D136" s="17"/>
      <c r="E136" s="3"/>
      <c r="F136" s="1"/>
      <c r="G136" s="1"/>
      <c r="H136" s="1"/>
    </row>
    <row r="137" spans="1:8" ht="14.5" x14ac:dyDescent="0.35">
      <c r="A137" s="15"/>
      <c r="B137" s="1"/>
      <c r="C137" s="16"/>
      <c r="D137" s="17"/>
      <c r="E137" s="1"/>
      <c r="F137" s="1"/>
      <c r="G137" s="1"/>
      <c r="H137" s="1"/>
    </row>
    <row r="138" spans="1:8" ht="14.5" x14ac:dyDescent="0.35">
      <c r="A138" s="15"/>
      <c r="B138" s="1"/>
      <c r="C138" s="16"/>
      <c r="D138" s="17"/>
      <c r="E138" s="1"/>
      <c r="F138" s="1"/>
      <c r="G138" s="1"/>
      <c r="H138" s="1"/>
    </row>
    <row r="139" spans="1:8" ht="14.5" x14ac:dyDescent="0.35">
      <c r="A139" s="15"/>
      <c r="B139" s="1"/>
      <c r="C139" s="16"/>
      <c r="D139" s="17"/>
      <c r="E139" s="2"/>
      <c r="F139" s="1"/>
      <c r="G139" s="1"/>
      <c r="H139" s="1"/>
    </row>
    <row r="140" spans="1:8" ht="14.5" x14ac:dyDescent="0.35">
      <c r="A140" s="15"/>
      <c r="B140" s="1"/>
      <c r="C140" s="16"/>
      <c r="D140" s="17"/>
      <c r="E140" s="2"/>
      <c r="F140" s="1"/>
      <c r="G140" s="1"/>
      <c r="H140" s="1"/>
    </row>
    <row r="141" spans="1:8" ht="14.5" x14ac:dyDescent="0.35">
      <c r="A141" s="15"/>
      <c r="B141" s="1"/>
      <c r="C141" s="16"/>
      <c r="D141" s="17"/>
      <c r="E141" s="2"/>
      <c r="F141" s="1"/>
      <c r="G141" s="1"/>
      <c r="H141" s="1"/>
    </row>
    <row r="142" spans="1:8" ht="14.5" x14ac:dyDescent="0.35">
      <c r="A142" s="15"/>
      <c r="B142" s="1"/>
      <c r="C142" s="16"/>
      <c r="D142" s="17"/>
      <c r="E142" s="2"/>
      <c r="F142" s="1"/>
      <c r="G142" s="1"/>
      <c r="H142" s="1"/>
    </row>
    <row r="143" spans="1:8" ht="14.5" x14ac:dyDescent="0.35">
      <c r="A143" s="15"/>
      <c r="B143" s="1"/>
      <c r="C143" s="16"/>
      <c r="D143" s="17"/>
      <c r="E143" s="1"/>
      <c r="F143" s="1"/>
      <c r="G143" s="1"/>
      <c r="H143" s="1"/>
    </row>
    <row r="144" spans="1:8" ht="14.5" x14ac:dyDescent="0.35">
      <c r="A144" s="15"/>
      <c r="B144" s="1"/>
      <c r="C144" s="16"/>
      <c r="D144" s="17"/>
      <c r="E144" s="2"/>
      <c r="F144" s="1"/>
      <c r="G144" s="1"/>
      <c r="H144" s="1"/>
    </row>
    <row r="145" spans="1:8" ht="14.5" x14ac:dyDescent="0.35">
      <c r="A145" s="15"/>
      <c r="B145" s="1"/>
      <c r="C145" s="16"/>
      <c r="D145" s="17"/>
      <c r="E145" s="1"/>
      <c r="F145" s="1"/>
      <c r="G145" s="1"/>
      <c r="H145" s="1"/>
    </row>
    <row r="146" spans="1:8" ht="14.5" x14ac:dyDescent="0.35">
      <c r="A146" s="15"/>
      <c r="B146" s="1"/>
      <c r="C146" s="16"/>
      <c r="D146" s="17"/>
      <c r="E146" s="1"/>
      <c r="F146" s="1"/>
      <c r="G146" s="1"/>
      <c r="H146" s="1"/>
    </row>
    <row r="147" spans="1:8" ht="14.5" x14ac:dyDescent="0.35">
      <c r="A147" s="15"/>
      <c r="B147" s="1"/>
      <c r="C147" s="16"/>
      <c r="D147" s="17"/>
      <c r="E147" s="2"/>
      <c r="F147" s="1"/>
      <c r="G147" s="1"/>
      <c r="H147" s="1"/>
    </row>
    <row r="148" spans="1:8" ht="14.5" x14ac:dyDescent="0.35">
      <c r="A148" s="15"/>
      <c r="B148" s="1"/>
      <c r="C148" s="16"/>
      <c r="D148" s="17"/>
      <c r="E148" s="1"/>
      <c r="F148" s="1"/>
      <c r="G148" s="1"/>
      <c r="H148" s="1"/>
    </row>
    <row r="149" spans="1:8" ht="14.5" x14ac:dyDescent="0.35">
      <c r="A149" s="15"/>
      <c r="B149" s="1"/>
      <c r="C149" s="16"/>
      <c r="D149" s="17"/>
      <c r="E149" s="2"/>
      <c r="F149" s="1"/>
      <c r="G149" s="1"/>
      <c r="H149" s="1"/>
    </row>
    <row r="150" spans="1:8" ht="14.5" x14ac:dyDescent="0.35">
      <c r="A150" s="15"/>
      <c r="B150" s="1"/>
      <c r="C150" s="16"/>
      <c r="D150" s="17"/>
      <c r="E150" s="1"/>
      <c r="F150" s="1"/>
      <c r="G150" s="1"/>
      <c r="H150" s="1"/>
    </row>
    <row r="151" spans="1:8" ht="14.5" x14ac:dyDescent="0.35">
      <c r="A151" s="15"/>
      <c r="B151" s="1"/>
      <c r="C151" s="16"/>
      <c r="D151" s="17"/>
      <c r="E151" s="2"/>
      <c r="F151" s="1"/>
      <c r="G151" s="1"/>
      <c r="H151" s="1"/>
    </row>
    <row r="152" spans="1:8" ht="14.5" x14ac:dyDescent="0.35">
      <c r="A152" s="15"/>
      <c r="B152" s="1"/>
      <c r="C152" s="16"/>
      <c r="D152" s="17"/>
      <c r="E152" s="2"/>
      <c r="F152" s="1"/>
      <c r="G152" s="1"/>
      <c r="H152" s="1"/>
    </row>
    <row r="153" spans="1:8" ht="14.5" x14ac:dyDescent="0.35">
      <c r="A153" s="15"/>
      <c r="B153" s="1"/>
      <c r="C153" s="16"/>
      <c r="D153" s="17"/>
      <c r="E153" s="1"/>
      <c r="F153" s="1"/>
      <c r="G153" s="1"/>
      <c r="H153" s="1"/>
    </row>
    <row r="154" spans="1:8" ht="14.5" x14ac:dyDescent="0.35">
      <c r="A154" s="15"/>
      <c r="B154" s="1"/>
      <c r="C154" s="16"/>
      <c r="D154" s="17"/>
      <c r="E154" s="2"/>
      <c r="F154" s="1"/>
      <c r="G154" s="1"/>
      <c r="H154" s="1"/>
    </row>
    <row r="155" spans="1:8" ht="14.5" x14ac:dyDescent="0.35">
      <c r="A155" s="15"/>
      <c r="B155" s="1"/>
      <c r="C155" s="16"/>
      <c r="D155" s="17"/>
      <c r="E155" s="1"/>
      <c r="F155" s="1"/>
      <c r="G155" s="1"/>
      <c r="H155" s="1"/>
    </row>
    <row r="156" spans="1:8" ht="14.5" x14ac:dyDescent="0.35">
      <c r="A156" s="15"/>
      <c r="B156" s="1"/>
      <c r="C156" s="16"/>
      <c r="D156" s="17"/>
      <c r="E156" s="1"/>
      <c r="F156" s="1"/>
      <c r="G156" s="1"/>
      <c r="H156" s="1"/>
    </row>
    <row r="157" spans="1:8" ht="14.5" x14ac:dyDescent="0.35">
      <c r="A157" s="15"/>
      <c r="B157" s="1"/>
      <c r="C157" s="16"/>
      <c r="D157" s="17"/>
      <c r="E157" s="1"/>
      <c r="F157" s="1"/>
      <c r="G157" s="1"/>
      <c r="H157" s="1"/>
    </row>
    <row r="158" spans="1:8" ht="14.5" x14ac:dyDescent="0.35">
      <c r="A158" s="15"/>
      <c r="B158" s="1"/>
      <c r="C158" s="16"/>
      <c r="D158" s="17"/>
      <c r="E158" s="1"/>
      <c r="F158" s="1"/>
      <c r="G158" s="1"/>
      <c r="H158" s="1"/>
    </row>
    <row r="159" spans="1:8" ht="14.5" x14ac:dyDescent="0.35">
      <c r="A159" s="15"/>
      <c r="B159" s="1"/>
      <c r="C159" s="16"/>
      <c r="D159" s="17"/>
      <c r="E159" s="1"/>
      <c r="F159" s="1"/>
      <c r="G159" s="1"/>
      <c r="H159" s="1"/>
    </row>
    <row r="160" spans="1:8" ht="14.5" x14ac:dyDescent="0.35">
      <c r="A160" s="15"/>
      <c r="B160" s="1"/>
      <c r="C160" s="16"/>
      <c r="D160" s="17"/>
      <c r="E160" s="1"/>
      <c r="F160" s="1"/>
      <c r="G160" s="1"/>
      <c r="H160" s="1"/>
    </row>
    <row r="161" spans="1:8" ht="14.5" x14ac:dyDescent="0.35">
      <c r="A161" s="15"/>
      <c r="B161" s="1"/>
      <c r="C161" s="16"/>
      <c r="D161" s="17"/>
      <c r="E161" s="2"/>
      <c r="F161" s="1"/>
      <c r="G161" s="1"/>
      <c r="H161" s="1"/>
    </row>
    <row r="162" spans="1:8" ht="14.5" x14ac:dyDescent="0.35">
      <c r="A162" s="15"/>
      <c r="B162" s="1"/>
      <c r="C162" s="16"/>
      <c r="D162" s="17"/>
      <c r="E162" s="2"/>
      <c r="F162" s="1"/>
      <c r="G162" s="1"/>
      <c r="H162" s="1"/>
    </row>
    <row r="163" spans="1:8" ht="14.5" x14ac:dyDescent="0.35">
      <c r="A163" s="15"/>
      <c r="B163" s="1"/>
      <c r="C163" s="16"/>
      <c r="D163" s="17"/>
      <c r="E163" s="1"/>
      <c r="F163" s="1"/>
      <c r="G163" s="1"/>
      <c r="H163" s="1"/>
    </row>
    <row r="164" spans="1:8" ht="14.5" x14ac:dyDescent="0.35">
      <c r="A164" s="15"/>
      <c r="B164" s="1"/>
      <c r="C164" s="16"/>
      <c r="D164" s="17"/>
      <c r="E164" s="2"/>
      <c r="F164" s="1"/>
      <c r="G164" s="1"/>
      <c r="H164" s="1"/>
    </row>
    <row r="165" spans="1:8" ht="14.5" x14ac:dyDescent="0.35">
      <c r="A165" s="15"/>
      <c r="B165" s="1"/>
      <c r="C165" s="16"/>
      <c r="D165" s="17"/>
      <c r="E165" s="2"/>
      <c r="F165" s="1"/>
      <c r="G165" s="1"/>
      <c r="H165" s="1"/>
    </row>
    <row r="166" spans="1:8" ht="14.5" x14ac:dyDescent="0.35">
      <c r="A166" s="15"/>
      <c r="B166" s="1"/>
      <c r="C166" s="16"/>
      <c r="D166" s="17"/>
      <c r="E166" s="1"/>
      <c r="F166" s="1"/>
      <c r="G166" s="1"/>
      <c r="H166" s="1"/>
    </row>
    <row r="167" spans="1:8" ht="14.5" x14ac:dyDescent="0.35">
      <c r="A167" s="15"/>
      <c r="B167" s="1"/>
      <c r="C167" s="16"/>
      <c r="D167" s="17"/>
      <c r="E167" s="1"/>
      <c r="F167" s="1"/>
      <c r="G167" s="1"/>
      <c r="H167" s="1"/>
    </row>
    <row r="168" spans="1:8" ht="14.5" x14ac:dyDescent="0.35">
      <c r="A168" s="15"/>
      <c r="B168" s="1"/>
      <c r="C168" s="16"/>
      <c r="D168" s="17"/>
      <c r="E168" s="1"/>
      <c r="F168" s="1"/>
      <c r="G168" s="1"/>
      <c r="H168" s="1"/>
    </row>
    <row r="169" spans="1:8" ht="14.5" x14ac:dyDescent="0.35">
      <c r="A169" s="15"/>
      <c r="B169" s="1"/>
      <c r="C169" s="16"/>
      <c r="D169" s="17"/>
      <c r="E169" s="2"/>
      <c r="F169" s="1"/>
      <c r="G169" s="1"/>
      <c r="H169" s="1"/>
    </row>
    <row r="170" spans="1:8" ht="14.5" x14ac:dyDescent="0.35">
      <c r="A170" s="15"/>
      <c r="B170" s="1"/>
      <c r="C170" s="16"/>
      <c r="D170" s="17"/>
      <c r="E170" s="1"/>
      <c r="F170" s="1"/>
      <c r="G170" s="1"/>
      <c r="H170" s="1"/>
    </row>
    <row r="171" spans="1:8" ht="14.5" x14ac:dyDescent="0.35">
      <c r="A171" s="15"/>
      <c r="B171" s="1"/>
      <c r="C171" s="16"/>
      <c r="D171" s="17"/>
      <c r="E171" s="2"/>
      <c r="F171" s="1"/>
      <c r="G171" s="1"/>
      <c r="H171" s="1"/>
    </row>
    <row r="172" spans="1:8" ht="14.5" x14ac:dyDescent="0.35">
      <c r="A172" s="15"/>
      <c r="B172" s="1"/>
      <c r="C172" s="16"/>
      <c r="D172" s="17"/>
      <c r="E172" s="1"/>
      <c r="F172" s="1"/>
      <c r="G172" s="1"/>
      <c r="H172" s="1"/>
    </row>
    <row r="173" spans="1:8" ht="14.5" x14ac:dyDescent="0.35">
      <c r="A173" s="15"/>
      <c r="B173" s="1"/>
      <c r="C173" s="16"/>
      <c r="D173" s="17"/>
      <c r="E173" s="1"/>
      <c r="F173" s="1"/>
      <c r="G173" s="1"/>
      <c r="H173" s="1"/>
    </row>
    <row r="174" spans="1:8" ht="14.5" x14ac:dyDescent="0.35">
      <c r="A174" s="15"/>
      <c r="B174" s="1"/>
      <c r="C174" s="16"/>
      <c r="D174" s="17"/>
      <c r="E174" s="2"/>
      <c r="F174" s="1"/>
      <c r="G174" s="1"/>
      <c r="H174" s="1"/>
    </row>
    <row r="175" spans="1:8" ht="14.5" x14ac:dyDescent="0.35">
      <c r="A175" s="15"/>
      <c r="B175" s="1"/>
      <c r="C175" s="16"/>
      <c r="D175" s="17"/>
      <c r="E175" s="1"/>
      <c r="F175" s="1"/>
      <c r="G175" s="1"/>
      <c r="H175" s="1"/>
    </row>
    <row r="176" spans="1:8" ht="14.5" x14ac:dyDescent="0.35">
      <c r="A176" s="15"/>
      <c r="B176" s="1"/>
      <c r="C176" s="16"/>
      <c r="D176" s="17"/>
      <c r="E176" s="2"/>
      <c r="F176" s="1"/>
      <c r="G176" s="1"/>
      <c r="H176" s="1"/>
    </row>
    <row r="177" spans="1:8" ht="14.5" x14ac:dyDescent="0.35">
      <c r="A177" s="15"/>
      <c r="B177" s="1"/>
      <c r="C177" s="16"/>
      <c r="D177" s="17"/>
      <c r="E177" s="3"/>
      <c r="F177" s="1"/>
      <c r="G177" s="1"/>
      <c r="H177" s="1"/>
    </row>
    <row r="178" spans="1:8" ht="14.5" x14ac:dyDescent="0.35">
      <c r="A178" s="15"/>
      <c r="B178" s="1"/>
      <c r="C178" s="16"/>
      <c r="D178" s="17"/>
      <c r="E178" s="2"/>
      <c r="F178" s="1"/>
      <c r="G178" s="1"/>
      <c r="H178" s="1"/>
    </row>
    <row r="179" spans="1:8" ht="14.5" x14ac:dyDescent="0.35">
      <c r="A179" s="15"/>
      <c r="B179" s="1"/>
      <c r="C179" s="16"/>
      <c r="D179" s="17"/>
      <c r="E179" s="2"/>
      <c r="F179" s="1"/>
      <c r="G179" s="1"/>
      <c r="H179" s="1"/>
    </row>
    <row r="180" spans="1:8" ht="14.5" x14ac:dyDescent="0.35">
      <c r="A180" s="15"/>
      <c r="B180" s="1"/>
      <c r="C180" s="16"/>
      <c r="D180" s="17"/>
      <c r="E180" s="1"/>
      <c r="F180" s="1"/>
      <c r="G180" s="1"/>
      <c r="H180" s="1"/>
    </row>
    <row r="181" spans="1:8" ht="14.5" x14ac:dyDescent="0.35">
      <c r="A181" s="15"/>
      <c r="B181" s="1"/>
      <c r="C181" s="16"/>
      <c r="D181" s="17"/>
      <c r="E181" s="2"/>
      <c r="F181" s="1"/>
      <c r="G181" s="1"/>
      <c r="H181" s="1"/>
    </row>
    <row r="182" spans="1:8" ht="14.5" x14ac:dyDescent="0.35">
      <c r="A182" s="15"/>
      <c r="B182" s="1"/>
      <c r="C182" s="16"/>
      <c r="D182" s="17"/>
      <c r="E182" s="1"/>
      <c r="F182" s="1"/>
      <c r="G182" s="1"/>
      <c r="H182" s="1"/>
    </row>
    <row r="183" spans="1:8" ht="14.5" x14ac:dyDescent="0.35">
      <c r="A183" s="15"/>
      <c r="B183" s="1"/>
      <c r="C183" s="16"/>
      <c r="D183" s="17"/>
      <c r="E183" s="1"/>
      <c r="F183" s="1"/>
      <c r="G183" s="1"/>
      <c r="H183" s="1"/>
    </row>
    <row r="184" spans="1:8" ht="14.5" x14ac:dyDescent="0.35">
      <c r="A184" s="15"/>
      <c r="B184" s="1"/>
      <c r="C184" s="16"/>
      <c r="D184" s="17"/>
      <c r="E184" s="1"/>
      <c r="F184" s="1"/>
      <c r="G184" s="1"/>
      <c r="H184" s="1"/>
    </row>
    <row r="185" spans="1:8" ht="14.5" x14ac:dyDescent="0.35">
      <c r="A185" s="15"/>
      <c r="B185" s="1"/>
      <c r="C185" s="16"/>
      <c r="D185" s="17"/>
      <c r="E185" s="1"/>
      <c r="F185" s="1"/>
      <c r="G185" s="1"/>
      <c r="H185" s="1"/>
    </row>
    <row r="186" spans="1:8" ht="14.5" x14ac:dyDescent="0.35">
      <c r="A186" s="15"/>
      <c r="B186" s="1"/>
      <c r="C186" s="16"/>
      <c r="D186" s="17"/>
      <c r="E186" s="2"/>
      <c r="F186" s="1"/>
      <c r="G186" s="1"/>
      <c r="H186" s="1"/>
    </row>
    <row r="187" spans="1:8" ht="14.5" x14ac:dyDescent="0.35">
      <c r="A187" s="15"/>
      <c r="B187" s="1"/>
      <c r="C187" s="16"/>
      <c r="D187" s="17"/>
      <c r="E187" s="2"/>
      <c r="F187" s="1"/>
      <c r="G187" s="1"/>
      <c r="H187" s="1"/>
    </row>
    <row r="188" spans="1:8" ht="14.5" x14ac:dyDescent="0.35">
      <c r="A188" s="15"/>
      <c r="B188" s="1"/>
      <c r="C188" s="16"/>
      <c r="D188" s="17"/>
      <c r="E188" s="1"/>
      <c r="F188" s="1"/>
      <c r="G188" s="1"/>
      <c r="H188" s="1"/>
    </row>
    <row r="189" spans="1:8" ht="14.5" x14ac:dyDescent="0.35">
      <c r="A189" s="15"/>
      <c r="B189" s="1"/>
      <c r="C189" s="16"/>
      <c r="D189" s="17"/>
      <c r="E189" s="2"/>
      <c r="F189" s="1"/>
      <c r="G189" s="1"/>
      <c r="H189" s="1"/>
    </row>
    <row r="190" spans="1:8" ht="14.5" x14ac:dyDescent="0.35">
      <c r="A190" s="15"/>
      <c r="B190" s="1"/>
      <c r="C190" s="16"/>
      <c r="D190" s="17"/>
      <c r="E190" s="2"/>
      <c r="F190" s="1"/>
      <c r="G190" s="1"/>
      <c r="H190" s="1"/>
    </row>
    <row r="191" spans="1:8" ht="14.5" x14ac:dyDescent="0.35">
      <c r="A191" s="15"/>
      <c r="B191" s="1"/>
      <c r="C191" s="16"/>
      <c r="D191" s="17"/>
      <c r="E191" s="3"/>
      <c r="F191" s="1"/>
      <c r="G191" s="1"/>
      <c r="H191" s="1"/>
    </row>
    <row r="192" spans="1:8" ht="14.5" x14ac:dyDescent="0.35">
      <c r="A192" s="15"/>
      <c r="B192" s="1"/>
      <c r="C192" s="16"/>
      <c r="D192" s="17"/>
      <c r="E192" s="2"/>
      <c r="F192" s="1"/>
      <c r="G192" s="1"/>
      <c r="H192" s="1"/>
    </row>
    <row r="193" spans="1:8" ht="14.5" x14ac:dyDescent="0.35">
      <c r="A193" s="15"/>
      <c r="B193" s="1"/>
      <c r="C193" s="16"/>
      <c r="D193" s="17"/>
      <c r="E193" s="2"/>
      <c r="F193" s="1"/>
      <c r="G193" s="1"/>
      <c r="H193" s="1"/>
    </row>
    <row r="194" spans="1:8" ht="14.5" x14ac:dyDescent="0.35">
      <c r="A194" s="15"/>
      <c r="B194" s="1"/>
      <c r="C194" s="16"/>
      <c r="D194" s="17"/>
      <c r="E194" s="1"/>
      <c r="F194" s="1"/>
      <c r="G194" s="1"/>
      <c r="H194" s="1"/>
    </row>
    <row r="195" spans="1:8" ht="14.5" x14ac:dyDescent="0.35">
      <c r="A195" s="15"/>
      <c r="B195" s="1"/>
      <c r="C195" s="16"/>
      <c r="D195" s="17"/>
      <c r="E195" s="2"/>
      <c r="F195" s="1"/>
      <c r="G195" s="1"/>
      <c r="H195" s="1"/>
    </row>
    <row r="196" spans="1:8" ht="14.5" x14ac:dyDescent="0.35">
      <c r="A196" s="15"/>
      <c r="B196" s="1"/>
      <c r="C196" s="16"/>
      <c r="D196" s="17"/>
      <c r="E196" s="1"/>
      <c r="F196" s="1"/>
      <c r="G196" s="1"/>
      <c r="H196" s="1"/>
    </row>
    <row r="197" spans="1:8" ht="14.5" x14ac:dyDescent="0.35">
      <c r="A197" s="15"/>
      <c r="B197" s="1"/>
      <c r="C197" s="16"/>
      <c r="D197" s="17"/>
      <c r="E197" s="2"/>
      <c r="F197" s="1"/>
      <c r="G197" s="1"/>
      <c r="H197" s="1"/>
    </row>
    <row r="198" spans="1:8" ht="14.5" x14ac:dyDescent="0.35">
      <c r="A198" s="15"/>
      <c r="B198" s="1"/>
      <c r="C198" s="16"/>
      <c r="D198" s="17"/>
      <c r="E198" s="1"/>
      <c r="F198" s="1"/>
      <c r="G198" s="1"/>
      <c r="H198" s="1"/>
    </row>
    <row r="199" spans="1:8" ht="14.5" x14ac:dyDescent="0.35">
      <c r="A199" s="15"/>
      <c r="B199" s="1"/>
      <c r="C199" s="16"/>
      <c r="D199" s="17"/>
      <c r="E199" s="1"/>
      <c r="F199" s="1"/>
      <c r="G199" s="1"/>
      <c r="H199" s="1"/>
    </row>
    <row r="200" spans="1:8" ht="14.5" x14ac:dyDescent="0.35">
      <c r="A200" s="15"/>
      <c r="B200" s="1"/>
      <c r="C200" s="16"/>
      <c r="D200" s="17"/>
      <c r="E200" s="1"/>
      <c r="F200" s="1"/>
      <c r="G200" s="1"/>
      <c r="H200" s="1"/>
    </row>
    <row r="201" spans="1:8" ht="14.5" x14ac:dyDescent="0.35">
      <c r="A201" s="15"/>
      <c r="B201" s="1"/>
      <c r="C201" s="16"/>
      <c r="D201" s="17"/>
      <c r="E201" s="1"/>
      <c r="F201" s="1"/>
      <c r="G201" s="1"/>
      <c r="H201" s="1"/>
    </row>
    <row r="202" spans="1:8" ht="14.5" x14ac:dyDescent="0.35">
      <c r="A202" s="15"/>
      <c r="B202" s="1"/>
      <c r="C202" s="16"/>
      <c r="D202" s="17"/>
      <c r="E202" s="1"/>
      <c r="F202" s="1"/>
      <c r="G202" s="1"/>
      <c r="H202" s="1"/>
    </row>
    <row r="203" spans="1:8" ht="14.5" x14ac:dyDescent="0.35">
      <c r="A203" s="15"/>
      <c r="B203" s="1"/>
      <c r="C203" s="16"/>
      <c r="D203" s="17"/>
      <c r="E203" s="2"/>
      <c r="F203" s="1"/>
      <c r="G203" s="1"/>
      <c r="H203" s="1"/>
    </row>
    <row r="204" spans="1:8" ht="14.5" x14ac:dyDescent="0.35">
      <c r="A204" s="15"/>
      <c r="B204" s="1"/>
      <c r="C204" s="16"/>
      <c r="D204" s="17"/>
      <c r="E204" s="2"/>
      <c r="F204" s="1"/>
      <c r="G204" s="1"/>
      <c r="H204" s="1"/>
    </row>
    <row r="205" spans="1:8" ht="14.5" x14ac:dyDescent="0.35">
      <c r="A205" s="15"/>
      <c r="B205" s="1"/>
      <c r="C205" s="16"/>
      <c r="D205" s="17"/>
      <c r="E205" s="2"/>
      <c r="F205" s="1"/>
      <c r="G205" s="1"/>
      <c r="H205" s="1"/>
    </row>
    <row r="206" spans="1:8" ht="14.5" x14ac:dyDescent="0.35">
      <c r="A206" s="15"/>
      <c r="B206" s="1"/>
      <c r="C206" s="16"/>
      <c r="D206" s="17"/>
      <c r="E206" s="1"/>
      <c r="F206" s="1"/>
      <c r="G206" s="1"/>
      <c r="H206" s="1"/>
    </row>
    <row r="207" spans="1:8" ht="14.5" x14ac:dyDescent="0.35">
      <c r="A207" s="15"/>
      <c r="B207" s="1"/>
      <c r="C207" s="16"/>
      <c r="D207" s="17"/>
      <c r="E207" s="1"/>
      <c r="F207" s="1"/>
      <c r="G207" s="1"/>
      <c r="H207" s="1"/>
    </row>
    <row r="208" spans="1:8" ht="14.5" x14ac:dyDescent="0.35">
      <c r="A208" s="15"/>
      <c r="B208" s="1"/>
      <c r="C208" s="16"/>
      <c r="D208" s="17"/>
      <c r="E208" s="1"/>
      <c r="F208" s="1"/>
      <c r="G208" s="1"/>
      <c r="H208" s="1"/>
    </row>
    <row r="209" spans="1:8" ht="14.5" x14ac:dyDescent="0.35">
      <c r="A209" s="15"/>
      <c r="B209" s="1"/>
      <c r="C209" s="16"/>
      <c r="D209" s="17"/>
      <c r="E209" s="1"/>
      <c r="F209" s="1"/>
      <c r="G209" s="1"/>
      <c r="H209" s="1"/>
    </row>
    <row r="210" spans="1:8" ht="14.5" x14ac:dyDescent="0.35">
      <c r="A210" s="15"/>
      <c r="B210" s="1"/>
      <c r="C210" s="16"/>
      <c r="D210" s="17"/>
      <c r="E210" s="2"/>
      <c r="F210" s="1"/>
      <c r="G210" s="1"/>
      <c r="H210" s="1"/>
    </row>
    <row r="211" spans="1:8" ht="14.5" x14ac:dyDescent="0.35">
      <c r="A211" s="15"/>
      <c r="B211" s="1"/>
      <c r="C211" s="16"/>
      <c r="D211" s="17"/>
      <c r="E211" s="1"/>
      <c r="F211" s="1"/>
      <c r="G211" s="1"/>
      <c r="H211" s="1"/>
    </row>
    <row r="212" spans="1:8" ht="14.5" x14ac:dyDescent="0.35">
      <c r="A212" s="15"/>
      <c r="B212" s="1"/>
      <c r="C212" s="16"/>
      <c r="D212" s="17"/>
      <c r="E212" s="2"/>
      <c r="F212" s="1"/>
      <c r="G212" s="1"/>
      <c r="H212" s="1"/>
    </row>
    <row r="213" spans="1:8" ht="14.5" x14ac:dyDescent="0.35">
      <c r="A213" s="15"/>
      <c r="B213" s="1"/>
      <c r="C213" s="16"/>
      <c r="D213" s="17"/>
      <c r="E213" s="2"/>
      <c r="F213" s="1"/>
      <c r="G213" s="1"/>
      <c r="H213" s="1"/>
    </row>
    <row r="214" spans="1:8" ht="14.5" x14ac:dyDescent="0.35">
      <c r="A214" s="15"/>
      <c r="B214" s="1"/>
      <c r="C214" s="16"/>
      <c r="D214" s="17"/>
      <c r="E214" s="2"/>
      <c r="F214" s="1"/>
      <c r="G214" s="1"/>
      <c r="H214" s="1"/>
    </row>
    <row r="215" spans="1:8" ht="14.5" x14ac:dyDescent="0.35">
      <c r="A215" s="15"/>
      <c r="B215" s="1"/>
      <c r="C215" s="16"/>
      <c r="D215" s="17"/>
      <c r="E215" s="2"/>
      <c r="F215" s="1"/>
      <c r="G215" s="1"/>
      <c r="H215" s="1"/>
    </row>
    <row r="216" spans="1:8" ht="14.5" x14ac:dyDescent="0.35">
      <c r="A216" s="15"/>
      <c r="B216" s="1"/>
      <c r="C216" s="16"/>
      <c r="D216" s="17"/>
      <c r="E216" s="1"/>
      <c r="F216" s="1"/>
      <c r="G216" s="1"/>
      <c r="H216" s="1"/>
    </row>
    <row r="217" spans="1:8" ht="14.5" x14ac:dyDescent="0.35">
      <c r="A217" s="15"/>
      <c r="B217" s="1"/>
      <c r="C217" s="16"/>
      <c r="D217" s="17"/>
      <c r="E217" s="2"/>
      <c r="F217" s="1"/>
      <c r="G217" s="1"/>
      <c r="H217" s="1"/>
    </row>
    <row r="218" spans="1:8" ht="14.5" x14ac:dyDescent="0.35">
      <c r="A218" s="15"/>
      <c r="B218" s="1"/>
      <c r="C218" s="16"/>
      <c r="D218" s="17"/>
      <c r="E218" s="1"/>
      <c r="F218" s="1"/>
      <c r="G218" s="1"/>
      <c r="H218" s="1"/>
    </row>
    <row r="219" spans="1:8" ht="14.5" x14ac:dyDescent="0.35">
      <c r="A219" s="15"/>
      <c r="B219" s="1"/>
      <c r="C219" s="16"/>
      <c r="D219" s="17"/>
      <c r="E219" s="1"/>
      <c r="F219" s="1"/>
      <c r="G219" s="1"/>
      <c r="H219" s="1"/>
    </row>
    <row r="220" spans="1:8" ht="14.5" x14ac:dyDescent="0.35">
      <c r="A220" s="15"/>
      <c r="B220" s="1"/>
      <c r="C220" s="16"/>
      <c r="D220" s="17"/>
      <c r="E220" s="1"/>
      <c r="F220" s="1"/>
      <c r="G220" s="1"/>
      <c r="H220" s="1"/>
    </row>
    <row r="221" spans="1:8" ht="14.5" x14ac:dyDescent="0.35">
      <c r="A221" s="15"/>
      <c r="B221" s="1"/>
      <c r="C221" s="16"/>
      <c r="D221" s="17"/>
      <c r="E221" s="2"/>
      <c r="F221" s="1"/>
      <c r="G221" s="1"/>
      <c r="H221" s="1"/>
    </row>
    <row r="222" spans="1:8" ht="14.5" x14ac:dyDescent="0.35">
      <c r="A222" s="15"/>
      <c r="B222" s="1"/>
      <c r="C222" s="16"/>
      <c r="D222" s="17"/>
      <c r="E222" s="1"/>
      <c r="F222" s="1"/>
      <c r="G222" s="1"/>
      <c r="H222" s="1"/>
    </row>
    <row r="223" spans="1:8" ht="14.5" x14ac:dyDescent="0.35">
      <c r="A223" s="15"/>
      <c r="B223" s="1"/>
      <c r="C223" s="16"/>
      <c r="D223" s="17"/>
      <c r="E223" s="2"/>
      <c r="F223" s="1"/>
      <c r="G223" s="1"/>
      <c r="H223" s="1"/>
    </row>
    <row r="224" spans="1:8" ht="14.5" x14ac:dyDescent="0.35">
      <c r="A224" s="15"/>
      <c r="B224" s="1"/>
      <c r="C224" s="16"/>
      <c r="D224" s="17"/>
      <c r="E224" s="3"/>
      <c r="F224" s="1"/>
      <c r="G224" s="1"/>
      <c r="H224" s="1"/>
    </row>
    <row r="225" spans="1:8" ht="14.5" x14ac:dyDescent="0.35">
      <c r="A225" s="15"/>
      <c r="B225" s="1"/>
      <c r="C225" s="16"/>
      <c r="D225" s="17"/>
      <c r="E225" s="2"/>
      <c r="F225" s="1"/>
      <c r="G225" s="1"/>
      <c r="H225" s="1"/>
    </row>
    <row r="226" spans="1:8" ht="14.5" x14ac:dyDescent="0.35">
      <c r="A226" s="15"/>
      <c r="B226" s="1"/>
      <c r="C226" s="16"/>
      <c r="D226" s="17"/>
      <c r="E226" s="1"/>
      <c r="F226" s="1"/>
      <c r="G226" s="1"/>
      <c r="H226" s="1"/>
    </row>
    <row r="227" spans="1:8" ht="14.5" x14ac:dyDescent="0.35">
      <c r="A227" s="15"/>
      <c r="B227" s="1"/>
      <c r="C227" s="16"/>
      <c r="D227" s="17"/>
      <c r="E227" s="2"/>
      <c r="F227" s="1"/>
      <c r="G227" s="1"/>
      <c r="H227" s="1"/>
    </row>
    <row r="228" spans="1:8" ht="14.5" x14ac:dyDescent="0.35">
      <c r="A228" s="15"/>
      <c r="B228" s="1"/>
      <c r="C228" s="16"/>
      <c r="D228" s="17"/>
      <c r="E228" s="2"/>
      <c r="F228" s="1"/>
      <c r="G228" s="1"/>
      <c r="H228" s="1"/>
    </row>
    <row r="229" spans="1:8" ht="14.5" x14ac:dyDescent="0.35">
      <c r="A229" s="15"/>
      <c r="B229" s="1"/>
      <c r="C229" s="16"/>
      <c r="D229" s="17"/>
      <c r="E229" s="1"/>
      <c r="F229" s="1"/>
      <c r="G229" s="1"/>
      <c r="H229" s="1"/>
    </row>
    <row r="230" spans="1:8" ht="14.5" x14ac:dyDescent="0.35">
      <c r="A230" s="15"/>
      <c r="B230" s="1"/>
      <c r="C230" s="16"/>
      <c r="D230" s="17"/>
      <c r="E230" s="1"/>
      <c r="F230" s="1"/>
      <c r="G230" s="1"/>
      <c r="H230" s="1"/>
    </row>
    <row r="231" spans="1:8" ht="14.5" x14ac:dyDescent="0.35">
      <c r="A231" s="15"/>
      <c r="B231" s="1"/>
      <c r="C231" s="16"/>
      <c r="D231" s="17"/>
      <c r="E231" s="2"/>
      <c r="F231" s="1"/>
      <c r="G231" s="1"/>
      <c r="H231" s="1"/>
    </row>
    <row r="232" spans="1:8" ht="14.5" x14ac:dyDescent="0.35">
      <c r="A232" s="15"/>
      <c r="B232" s="1"/>
      <c r="C232" s="16"/>
      <c r="D232" s="17"/>
      <c r="E232" s="1"/>
      <c r="F232" s="1"/>
      <c r="G232" s="1"/>
      <c r="H232" s="1"/>
    </row>
    <row r="233" spans="1:8" ht="14.5" x14ac:dyDescent="0.35">
      <c r="A233" s="15"/>
      <c r="B233" s="1"/>
      <c r="C233" s="16"/>
      <c r="D233" s="17"/>
      <c r="E233" s="1"/>
      <c r="F233" s="1"/>
      <c r="G233" s="1"/>
      <c r="H233" s="1"/>
    </row>
    <row r="234" spans="1:8" ht="14.5" x14ac:dyDescent="0.35">
      <c r="A234" s="15"/>
      <c r="B234" s="1"/>
      <c r="C234" s="16"/>
      <c r="D234" s="17"/>
      <c r="E234" s="1"/>
      <c r="F234" s="1"/>
      <c r="G234" s="1"/>
      <c r="H234" s="1"/>
    </row>
    <row r="235" spans="1:8" ht="14.5" x14ac:dyDescent="0.35">
      <c r="A235" s="15"/>
      <c r="B235" s="1"/>
      <c r="C235" s="16"/>
      <c r="D235" s="17"/>
      <c r="E235" s="2"/>
      <c r="F235" s="1"/>
      <c r="G235" s="1"/>
      <c r="H235" s="1"/>
    </row>
    <row r="236" spans="1:8" ht="14.5" x14ac:dyDescent="0.35">
      <c r="A236" s="15"/>
      <c r="B236" s="1"/>
      <c r="C236" s="16"/>
      <c r="D236" s="17"/>
      <c r="E236" s="2"/>
      <c r="F236" s="1"/>
      <c r="G236" s="1"/>
      <c r="H236" s="1"/>
    </row>
    <row r="237" spans="1:8" ht="14.5" x14ac:dyDescent="0.35">
      <c r="A237" s="15"/>
      <c r="B237" s="1"/>
      <c r="C237" s="16"/>
      <c r="D237" s="17"/>
      <c r="E237" s="2"/>
      <c r="F237" s="1"/>
      <c r="G237" s="1"/>
      <c r="H237" s="1"/>
    </row>
    <row r="238" spans="1:8" ht="14.5" x14ac:dyDescent="0.35">
      <c r="A238" s="15"/>
      <c r="B238" s="1"/>
      <c r="C238" s="16"/>
      <c r="D238" s="17"/>
      <c r="E238" s="1"/>
      <c r="F238" s="1"/>
      <c r="G238" s="1"/>
      <c r="H238" s="1"/>
    </row>
    <row r="239" spans="1:8" ht="14.5" x14ac:dyDescent="0.35">
      <c r="A239" s="15"/>
      <c r="B239" s="1"/>
      <c r="C239" s="16"/>
      <c r="D239" s="17"/>
      <c r="E239" s="1"/>
      <c r="F239" s="1"/>
      <c r="G239" s="1"/>
      <c r="H239" s="1"/>
    </row>
    <row r="240" spans="1:8" ht="14.5" x14ac:dyDescent="0.35">
      <c r="A240" s="15"/>
      <c r="B240" s="1"/>
      <c r="C240" s="16"/>
      <c r="D240" s="17"/>
      <c r="E240" s="2"/>
      <c r="F240" s="1"/>
      <c r="G240" s="1"/>
      <c r="H240" s="1"/>
    </row>
    <row r="241" spans="1:8" ht="14.5" x14ac:dyDescent="0.35">
      <c r="A241" s="15"/>
      <c r="B241" s="1"/>
      <c r="C241" s="16"/>
      <c r="D241" s="17"/>
      <c r="E241" s="1"/>
      <c r="F241" s="1"/>
      <c r="G241" s="1"/>
      <c r="H241" s="1"/>
    </row>
    <row r="242" spans="1:8" ht="14.5" x14ac:dyDescent="0.35">
      <c r="A242" s="15"/>
      <c r="B242" s="1"/>
      <c r="C242" s="16"/>
      <c r="D242" s="17"/>
      <c r="E242" s="2"/>
      <c r="F242" s="1"/>
      <c r="G242" s="1"/>
      <c r="H242" s="1"/>
    </row>
    <row r="243" spans="1:8" ht="14.5" x14ac:dyDescent="0.35">
      <c r="A243" s="15"/>
      <c r="B243" s="1"/>
      <c r="C243" s="16"/>
      <c r="D243" s="17"/>
      <c r="E243" s="1"/>
      <c r="F243" s="1"/>
      <c r="G243" s="1"/>
      <c r="H243" s="1"/>
    </row>
    <row r="244" spans="1:8" ht="14.5" x14ac:dyDescent="0.35">
      <c r="A244" s="15"/>
      <c r="B244" s="1"/>
      <c r="C244" s="16"/>
      <c r="D244" s="17"/>
      <c r="E244" s="1"/>
      <c r="F244" s="1"/>
      <c r="G244" s="1"/>
      <c r="H244" s="1"/>
    </row>
    <row r="245" spans="1:8" ht="14.5" x14ac:dyDescent="0.35">
      <c r="A245" s="15"/>
      <c r="B245" s="1"/>
      <c r="C245" s="16"/>
      <c r="D245" s="17"/>
      <c r="E245" s="1"/>
      <c r="F245" s="1"/>
      <c r="G245" s="1"/>
      <c r="H245" s="1"/>
    </row>
    <row r="246" spans="1:8" ht="14.5" x14ac:dyDescent="0.35">
      <c r="A246" s="15"/>
      <c r="B246" s="1"/>
      <c r="C246" s="16"/>
      <c r="D246" s="17"/>
      <c r="E246" s="1"/>
      <c r="F246" s="1"/>
      <c r="G246" s="1"/>
      <c r="H246" s="1"/>
    </row>
    <row r="247" spans="1:8" ht="14.5" x14ac:dyDescent="0.35">
      <c r="A247" s="15"/>
      <c r="B247" s="1"/>
      <c r="C247" s="16"/>
      <c r="D247" s="17"/>
      <c r="E247" s="1"/>
      <c r="F247" s="1"/>
      <c r="G247" s="1"/>
      <c r="H247" s="1"/>
    </row>
    <row r="248" spans="1:8" ht="14.5" x14ac:dyDescent="0.35">
      <c r="A248" s="15"/>
      <c r="B248" s="1"/>
      <c r="C248" s="16"/>
      <c r="D248" s="17"/>
      <c r="E248" s="1"/>
      <c r="F248" s="1"/>
      <c r="G248" s="1"/>
      <c r="H248" s="1"/>
    </row>
    <row r="249" spans="1:8" ht="14.5" x14ac:dyDescent="0.35">
      <c r="A249" s="15"/>
      <c r="B249" s="1"/>
      <c r="C249" s="16"/>
      <c r="D249" s="17"/>
      <c r="E249" s="1"/>
      <c r="F249" s="1"/>
      <c r="G249" s="1"/>
      <c r="H249" s="1"/>
    </row>
    <row r="250" spans="1:8" ht="14.5" x14ac:dyDescent="0.35">
      <c r="A250" s="15"/>
      <c r="B250" s="1"/>
      <c r="C250" s="16"/>
      <c r="D250" s="17"/>
      <c r="E250" s="1"/>
      <c r="F250" s="1"/>
      <c r="G250" s="1"/>
      <c r="H250" s="1"/>
    </row>
    <row r="251" spans="1:8" ht="14.5" x14ac:dyDescent="0.35">
      <c r="A251" s="15"/>
      <c r="B251" s="1"/>
      <c r="C251" s="16"/>
      <c r="D251" s="17"/>
      <c r="E251" s="2"/>
      <c r="F251" s="1"/>
      <c r="G251" s="1"/>
      <c r="H251" s="1"/>
    </row>
    <row r="252" spans="1:8" ht="14.5" x14ac:dyDescent="0.35">
      <c r="A252" s="15"/>
      <c r="B252" s="1"/>
      <c r="C252" s="16"/>
      <c r="D252" s="17"/>
      <c r="E252" s="1"/>
      <c r="F252" s="1"/>
      <c r="G252" s="1"/>
      <c r="H252" s="1"/>
    </row>
    <row r="253" spans="1:8" ht="14.5" x14ac:dyDescent="0.35">
      <c r="A253" s="15"/>
      <c r="B253" s="1"/>
      <c r="C253" s="16"/>
      <c r="D253" s="17"/>
      <c r="E253" s="1"/>
      <c r="F253" s="1"/>
      <c r="G253" s="1"/>
      <c r="H253" s="1"/>
    </row>
    <row r="254" spans="1:8" ht="14.5" x14ac:dyDescent="0.35">
      <c r="A254" s="15"/>
      <c r="B254" s="1"/>
      <c r="C254" s="16"/>
      <c r="D254" s="17"/>
      <c r="E254" s="1"/>
      <c r="F254" s="1"/>
      <c r="G254" s="1"/>
      <c r="H254" s="1"/>
    </row>
    <row r="255" spans="1:8" ht="14.5" x14ac:dyDescent="0.35">
      <c r="A255" s="15"/>
      <c r="B255" s="1"/>
      <c r="C255" s="16"/>
      <c r="D255" s="17"/>
      <c r="E255" s="1"/>
      <c r="F255" s="1"/>
      <c r="G255" s="1"/>
      <c r="H255" s="1"/>
    </row>
    <row r="256" spans="1:8" ht="14.5" x14ac:dyDescent="0.35">
      <c r="A256" s="15"/>
      <c r="B256" s="1"/>
      <c r="C256" s="16"/>
      <c r="D256" s="17"/>
      <c r="E256" s="1"/>
      <c r="F256" s="1"/>
      <c r="G256" s="1"/>
      <c r="H256" s="1"/>
    </row>
    <row r="257" spans="1:8" ht="14.5" x14ac:dyDescent="0.35">
      <c r="A257" s="15"/>
      <c r="B257" s="1"/>
      <c r="C257" s="16"/>
      <c r="D257" s="17"/>
      <c r="E257" s="1"/>
      <c r="F257" s="1"/>
      <c r="G257" s="1"/>
      <c r="H257" s="1"/>
    </row>
    <row r="258" spans="1:8" ht="14.5" x14ac:dyDescent="0.35">
      <c r="A258" s="15"/>
      <c r="B258" s="1"/>
      <c r="C258" s="16"/>
      <c r="D258" s="17"/>
      <c r="E258" s="1"/>
      <c r="F258" s="1"/>
      <c r="G258" s="1"/>
      <c r="H258" s="1"/>
    </row>
    <row r="259" spans="1:8" ht="14.5" x14ac:dyDescent="0.35">
      <c r="A259" s="15"/>
      <c r="B259" s="1"/>
      <c r="C259" s="16"/>
      <c r="D259" s="17"/>
      <c r="E259" s="2"/>
      <c r="F259" s="1"/>
      <c r="G259" s="1"/>
      <c r="H259" s="1"/>
    </row>
    <row r="260" spans="1:8" ht="14.5" x14ac:dyDescent="0.35">
      <c r="A260" s="15"/>
      <c r="B260" s="1"/>
      <c r="C260" s="16"/>
      <c r="D260" s="17"/>
      <c r="E260" s="1"/>
      <c r="F260" s="1"/>
      <c r="G260" s="1"/>
      <c r="H260" s="1"/>
    </row>
    <row r="261" spans="1:8" ht="14.5" x14ac:dyDescent="0.35">
      <c r="A261" s="15"/>
      <c r="B261" s="1"/>
      <c r="C261" s="16"/>
      <c r="D261" s="17"/>
      <c r="E261" s="1"/>
      <c r="F261" s="1"/>
      <c r="G261" s="1"/>
      <c r="H261" s="1"/>
    </row>
    <row r="262" spans="1:8" ht="14.5" x14ac:dyDescent="0.35">
      <c r="A262" s="15"/>
      <c r="B262" s="1"/>
      <c r="C262" s="16"/>
      <c r="D262" s="17"/>
      <c r="E262" s="1"/>
      <c r="F262" s="1"/>
      <c r="G262" s="1"/>
      <c r="H262" s="1"/>
    </row>
    <row r="263" spans="1:8" ht="14.5" x14ac:dyDescent="0.35">
      <c r="A263" s="15"/>
      <c r="B263" s="1"/>
      <c r="C263" s="16"/>
      <c r="D263" s="17"/>
      <c r="E263" s="2"/>
      <c r="F263" s="1"/>
      <c r="G263" s="1"/>
      <c r="H263" s="1"/>
    </row>
    <row r="264" spans="1:8" ht="14.5" x14ac:dyDescent="0.35">
      <c r="A264" s="15"/>
      <c r="B264" s="1"/>
      <c r="C264" s="16"/>
      <c r="D264" s="17"/>
      <c r="E264" s="1"/>
      <c r="F264" s="1"/>
      <c r="G264" s="1"/>
      <c r="H264" s="1"/>
    </row>
    <row r="265" spans="1:8" ht="14.5" x14ac:dyDescent="0.35">
      <c r="A265" s="15"/>
      <c r="B265" s="1"/>
      <c r="C265" s="16"/>
      <c r="D265" s="17"/>
      <c r="E265" s="1"/>
      <c r="F265" s="1"/>
      <c r="G265" s="1"/>
      <c r="H265" s="1"/>
    </row>
    <row r="266" spans="1:8" ht="14.5" x14ac:dyDescent="0.35">
      <c r="A266" s="15"/>
      <c r="B266" s="1"/>
      <c r="C266" s="16"/>
      <c r="D266" s="17"/>
      <c r="E266" s="2"/>
      <c r="F266" s="1"/>
      <c r="G266" s="1"/>
      <c r="H266" s="1"/>
    </row>
    <row r="267" spans="1:8" ht="14.5" x14ac:dyDescent="0.35">
      <c r="A267" s="15"/>
      <c r="B267" s="1"/>
      <c r="C267" s="16"/>
      <c r="D267" s="17"/>
      <c r="E267" s="2"/>
      <c r="F267" s="1"/>
      <c r="G267" s="1"/>
      <c r="H267" s="1"/>
    </row>
    <row r="268" spans="1:8" ht="14.5" x14ac:dyDescent="0.35">
      <c r="A268" s="15"/>
      <c r="B268" s="1"/>
      <c r="C268" s="16"/>
      <c r="D268" s="17"/>
      <c r="E268" s="3"/>
      <c r="F268" s="1"/>
      <c r="G268" s="1"/>
      <c r="H268" s="1"/>
    </row>
    <row r="269" spans="1:8" ht="14.5" x14ac:dyDescent="0.35">
      <c r="A269" s="15"/>
      <c r="B269" s="1"/>
      <c r="C269" s="16"/>
      <c r="D269" s="17"/>
      <c r="E269" s="1"/>
      <c r="F269" s="1"/>
      <c r="G269" s="1"/>
      <c r="H269" s="1"/>
    </row>
    <row r="270" spans="1:8" ht="14.5" x14ac:dyDescent="0.35">
      <c r="A270" s="15"/>
      <c r="B270" s="1"/>
      <c r="C270" s="16"/>
      <c r="D270" s="17"/>
      <c r="E270" s="1"/>
      <c r="F270" s="1"/>
      <c r="G270" s="1"/>
      <c r="H270" s="1"/>
    </row>
    <row r="271" spans="1:8" ht="14.5" x14ac:dyDescent="0.35">
      <c r="A271" s="15"/>
      <c r="B271" s="1"/>
      <c r="C271" s="16"/>
      <c r="D271" s="17"/>
      <c r="E271" s="1"/>
      <c r="F271" s="1"/>
      <c r="G271" s="1"/>
      <c r="H271" s="1"/>
    </row>
    <row r="272" spans="1:8" ht="14.5" x14ac:dyDescent="0.35">
      <c r="A272" s="15"/>
      <c r="B272" s="1"/>
      <c r="C272" s="16"/>
      <c r="D272" s="17"/>
      <c r="E272" s="2"/>
      <c r="F272" s="1"/>
      <c r="G272" s="1"/>
      <c r="H272" s="1"/>
    </row>
    <row r="273" spans="1:8" ht="14.5" x14ac:dyDescent="0.35">
      <c r="A273" s="15"/>
      <c r="B273" s="1"/>
      <c r="C273" s="16"/>
      <c r="D273" s="17"/>
      <c r="E273" s="1"/>
      <c r="F273" s="1"/>
      <c r="G273" s="1"/>
      <c r="H273" s="1"/>
    </row>
    <row r="274" spans="1:8" ht="14.5" x14ac:dyDescent="0.35">
      <c r="A274" s="15"/>
      <c r="B274" s="1"/>
      <c r="C274" s="16"/>
      <c r="D274" s="17"/>
      <c r="E274" s="1"/>
      <c r="F274" s="1"/>
      <c r="G274" s="1"/>
      <c r="H274" s="1"/>
    </row>
    <row r="275" spans="1:8" ht="14.5" x14ac:dyDescent="0.35">
      <c r="A275" s="15"/>
      <c r="B275" s="1"/>
      <c r="C275" s="16"/>
      <c r="D275" s="17"/>
      <c r="E275" s="2"/>
      <c r="F275" s="1"/>
      <c r="G275" s="1"/>
      <c r="H275" s="1"/>
    </row>
    <row r="276" spans="1:8" ht="14.5" x14ac:dyDescent="0.35">
      <c r="A276" s="15"/>
      <c r="B276" s="1"/>
      <c r="C276" s="16"/>
      <c r="D276" s="17"/>
      <c r="E276" s="2"/>
      <c r="F276" s="1"/>
      <c r="G276" s="1"/>
      <c r="H276" s="1"/>
    </row>
    <row r="277" spans="1:8" ht="14.5" x14ac:dyDescent="0.35">
      <c r="A277" s="15"/>
      <c r="B277" s="1"/>
      <c r="C277" s="16"/>
      <c r="D277" s="17"/>
      <c r="E277" s="1"/>
      <c r="F277" s="1"/>
      <c r="G277" s="1"/>
      <c r="H277" s="1"/>
    </row>
    <row r="278" spans="1:8" ht="14.5" x14ac:dyDescent="0.35">
      <c r="A278" s="15"/>
      <c r="B278" s="1"/>
      <c r="C278" s="16"/>
      <c r="D278" s="17"/>
      <c r="E278" s="1"/>
      <c r="F278" s="1"/>
      <c r="G278" s="1"/>
      <c r="H278" s="1"/>
    </row>
    <row r="279" spans="1:8" ht="14.5" x14ac:dyDescent="0.35">
      <c r="A279" s="15"/>
      <c r="B279" s="1"/>
      <c r="C279" s="16"/>
      <c r="D279" s="17"/>
      <c r="E279" s="2"/>
      <c r="F279" s="1"/>
      <c r="G279" s="1"/>
      <c r="H279" s="1"/>
    </row>
    <row r="280" spans="1:8" ht="14.5" x14ac:dyDescent="0.35">
      <c r="A280" s="15"/>
      <c r="B280" s="1"/>
      <c r="C280" s="16"/>
      <c r="D280" s="17"/>
      <c r="E280" s="1"/>
      <c r="F280" s="1"/>
      <c r="G280" s="1"/>
      <c r="H280" s="1"/>
    </row>
    <row r="281" spans="1:8" ht="14.5" x14ac:dyDescent="0.35">
      <c r="A281" s="15"/>
      <c r="B281" s="1"/>
      <c r="C281" s="16"/>
      <c r="D281" s="17"/>
      <c r="E281" s="2"/>
      <c r="F281" s="1"/>
      <c r="G281" s="1"/>
      <c r="H281" s="1"/>
    </row>
    <row r="282" spans="1:8" ht="14.5" x14ac:dyDescent="0.35">
      <c r="A282" s="15"/>
      <c r="B282" s="1"/>
      <c r="C282" s="16"/>
      <c r="D282" s="17"/>
      <c r="E282" s="2"/>
      <c r="F282" s="1"/>
      <c r="G282" s="1"/>
      <c r="H282" s="1"/>
    </row>
    <row r="283" spans="1:8" ht="14.5" x14ac:dyDescent="0.35">
      <c r="A283" s="15"/>
      <c r="B283" s="1"/>
      <c r="C283" s="16"/>
      <c r="D283" s="17"/>
      <c r="E283" s="1"/>
      <c r="F283" s="1"/>
      <c r="G283" s="1"/>
      <c r="H283" s="1"/>
    </row>
    <row r="284" spans="1:8" ht="14.5" x14ac:dyDescent="0.35">
      <c r="A284" s="15"/>
      <c r="B284" s="1"/>
      <c r="C284" s="16"/>
      <c r="D284" s="17"/>
      <c r="E284" s="1"/>
      <c r="F284" s="1"/>
      <c r="G284" s="1"/>
      <c r="H284" s="1"/>
    </row>
    <row r="285" spans="1:8" ht="14.5" x14ac:dyDescent="0.35">
      <c r="A285" s="15"/>
      <c r="B285" s="1"/>
      <c r="C285" s="16"/>
      <c r="D285" s="17"/>
      <c r="E285" s="2"/>
      <c r="F285" s="1"/>
      <c r="G285" s="1"/>
      <c r="H285" s="1"/>
    </row>
    <row r="286" spans="1:8" ht="14.5" x14ac:dyDescent="0.35">
      <c r="A286" s="15"/>
      <c r="B286" s="1"/>
      <c r="C286" s="16"/>
      <c r="D286" s="17"/>
      <c r="E286" s="1"/>
      <c r="F286" s="1"/>
      <c r="G286" s="1"/>
      <c r="H286" s="1"/>
    </row>
    <row r="287" spans="1:8" ht="14.5" x14ac:dyDescent="0.35">
      <c r="A287" s="15"/>
      <c r="B287" s="1"/>
      <c r="C287" s="16"/>
      <c r="D287" s="17"/>
      <c r="E287" s="1"/>
      <c r="F287" s="1"/>
      <c r="G287" s="1"/>
      <c r="H287" s="1"/>
    </row>
    <row r="288" spans="1:8" ht="14.5" x14ac:dyDescent="0.35">
      <c r="A288" s="15"/>
      <c r="B288" s="1"/>
      <c r="C288" s="16"/>
      <c r="D288" s="17"/>
      <c r="E288" s="1"/>
      <c r="F288" s="1"/>
      <c r="G288" s="1"/>
      <c r="H288" s="1"/>
    </row>
    <row r="289" spans="1:8" ht="14.5" x14ac:dyDescent="0.35">
      <c r="A289" s="15"/>
      <c r="B289" s="1"/>
      <c r="C289" s="16"/>
      <c r="D289" s="17"/>
      <c r="E289" s="2"/>
      <c r="F289" s="1"/>
      <c r="G289" s="1"/>
      <c r="H289" s="1"/>
    </row>
    <row r="290" spans="1:8" ht="14.5" x14ac:dyDescent="0.35">
      <c r="A290" s="15"/>
      <c r="B290" s="1"/>
      <c r="C290" s="16"/>
      <c r="D290" s="17"/>
      <c r="E290" s="1"/>
      <c r="F290" s="1"/>
      <c r="G290" s="1"/>
      <c r="H290" s="1"/>
    </row>
    <row r="291" spans="1:8" ht="14.5" x14ac:dyDescent="0.35">
      <c r="A291" s="15"/>
      <c r="B291" s="1"/>
      <c r="C291" s="16"/>
      <c r="D291" s="17"/>
      <c r="E291" s="2"/>
      <c r="F291" s="1"/>
      <c r="G291" s="1"/>
      <c r="H291" s="1"/>
    </row>
    <row r="292" spans="1:8" ht="14.5" x14ac:dyDescent="0.35">
      <c r="A292" s="15"/>
      <c r="B292" s="1"/>
      <c r="C292" s="16"/>
      <c r="D292" s="17"/>
      <c r="E292" s="2"/>
      <c r="F292" s="1"/>
      <c r="G292" s="1"/>
      <c r="H292" s="1"/>
    </row>
    <row r="293" spans="1:8" ht="14.5" x14ac:dyDescent="0.35">
      <c r="A293" s="15"/>
      <c r="B293" s="1"/>
      <c r="C293" s="16"/>
      <c r="D293" s="17"/>
      <c r="E293" s="1"/>
      <c r="F293" s="1"/>
      <c r="G293" s="1"/>
      <c r="H293" s="1"/>
    </row>
    <row r="294" spans="1:8" ht="14.5" x14ac:dyDescent="0.35">
      <c r="A294" s="15"/>
      <c r="B294" s="1"/>
      <c r="C294" s="16"/>
      <c r="D294" s="17"/>
      <c r="E294" s="2"/>
      <c r="F294" s="1"/>
      <c r="G294" s="1"/>
      <c r="H294" s="1"/>
    </row>
    <row r="295" spans="1:8" ht="14.5" x14ac:dyDescent="0.35">
      <c r="A295" s="15"/>
      <c r="B295" s="1"/>
      <c r="C295" s="16"/>
      <c r="D295" s="17"/>
      <c r="E295" s="1"/>
      <c r="F295" s="1"/>
      <c r="G295" s="1"/>
      <c r="H295" s="1"/>
    </row>
    <row r="296" spans="1:8" ht="14.5" x14ac:dyDescent="0.35">
      <c r="A296" s="15"/>
      <c r="B296" s="1"/>
      <c r="C296" s="16"/>
      <c r="D296" s="17"/>
      <c r="E296" s="1"/>
      <c r="F296" s="1"/>
      <c r="G296" s="1"/>
      <c r="H296" s="1"/>
    </row>
    <row r="297" spans="1:8" ht="14.5" x14ac:dyDescent="0.35">
      <c r="A297" s="15"/>
      <c r="B297" s="1"/>
      <c r="C297" s="16"/>
      <c r="D297" s="17"/>
      <c r="E297" s="1"/>
      <c r="F297" s="1"/>
      <c r="G297" s="1"/>
      <c r="H297" s="1"/>
    </row>
    <row r="298" spans="1:8" ht="14.5" x14ac:dyDescent="0.35">
      <c r="A298" s="15"/>
      <c r="B298" s="1"/>
      <c r="C298" s="16"/>
      <c r="D298" s="17"/>
      <c r="E298" s="1"/>
      <c r="F298" s="1"/>
      <c r="G298" s="1"/>
      <c r="H298" s="1"/>
    </row>
    <row r="299" spans="1:8" ht="14.5" x14ac:dyDescent="0.35">
      <c r="A299" s="15"/>
      <c r="B299" s="1"/>
      <c r="C299" s="16"/>
      <c r="D299" s="17"/>
      <c r="E299" s="1"/>
      <c r="F299" s="1"/>
      <c r="G299" s="1"/>
      <c r="H299" s="1"/>
    </row>
    <row r="300" spans="1:8" ht="14.5" x14ac:dyDescent="0.35">
      <c r="A300" s="15"/>
      <c r="B300" s="1"/>
      <c r="C300" s="16"/>
      <c r="D300" s="17"/>
      <c r="E300" s="2"/>
      <c r="F300" s="1"/>
      <c r="G300" s="1"/>
      <c r="H300" s="1"/>
    </row>
    <row r="301" spans="1:8" ht="14.5" x14ac:dyDescent="0.35">
      <c r="A301" s="15"/>
      <c r="B301" s="1"/>
      <c r="C301" s="16"/>
      <c r="D301" s="17"/>
      <c r="E301" s="2"/>
      <c r="F301" s="1"/>
      <c r="G301" s="1"/>
      <c r="H301" s="1"/>
    </row>
    <row r="302" spans="1:8" ht="14.5" x14ac:dyDescent="0.35">
      <c r="A302" s="15"/>
      <c r="B302" s="1"/>
      <c r="C302" s="16"/>
      <c r="D302" s="17"/>
      <c r="E302" s="1"/>
      <c r="F302" s="1"/>
      <c r="G302" s="1"/>
      <c r="H302" s="1"/>
    </row>
    <row r="303" spans="1:8" ht="14.5" x14ac:dyDescent="0.35">
      <c r="A303" s="15"/>
      <c r="B303" s="1"/>
      <c r="C303" s="16"/>
      <c r="D303" s="17"/>
      <c r="E303" s="1"/>
      <c r="F303" s="1"/>
      <c r="G303" s="1"/>
      <c r="H303" s="1"/>
    </row>
    <row r="304" spans="1:8" ht="14.5" x14ac:dyDescent="0.35">
      <c r="A304" s="15"/>
      <c r="B304" s="1"/>
      <c r="C304" s="16"/>
      <c r="D304" s="17"/>
      <c r="E304" s="1"/>
      <c r="F304" s="1"/>
      <c r="G304" s="1"/>
      <c r="H304" s="1"/>
    </row>
    <row r="305" spans="1:8" ht="14.5" x14ac:dyDescent="0.35">
      <c r="A305" s="15"/>
      <c r="B305" s="1"/>
      <c r="C305" s="16"/>
      <c r="D305" s="17"/>
      <c r="E305" s="1"/>
      <c r="F305" s="1"/>
      <c r="G305" s="1"/>
      <c r="H305" s="1"/>
    </row>
    <row r="306" spans="1:8" ht="14.5" x14ac:dyDescent="0.35">
      <c r="A306" s="15"/>
      <c r="B306" s="1"/>
      <c r="C306" s="16"/>
      <c r="D306" s="17"/>
      <c r="E306" s="1"/>
      <c r="F306" s="1"/>
      <c r="G306" s="1"/>
      <c r="H306" s="1"/>
    </row>
    <row r="307" spans="1:8" ht="14.5" x14ac:dyDescent="0.35">
      <c r="A307" s="15"/>
      <c r="B307" s="1"/>
      <c r="C307" s="16"/>
      <c r="D307" s="17"/>
      <c r="E307" s="1"/>
      <c r="F307" s="1"/>
      <c r="G307" s="1"/>
      <c r="H307" s="1"/>
    </row>
    <row r="308" spans="1:8" ht="14.5" x14ac:dyDescent="0.35">
      <c r="A308" s="15"/>
      <c r="B308" s="1"/>
      <c r="C308" s="16"/>
      <c r="D308" s="17"/>
      <c r="E308" s="1"/>
      <c r="F308" s="1"/>
      <c r="G308" s="1"/>
      <c r="H308" s="1"/>
    </row>
    <row r="309" spans="1:8" ht="14.5" x14ac:dyDescent="0.35">
      <c r="A309" s="15"/>
      <c r="B309" s="1"/>
      <c r="C309" s="16"/>
      <c r="D309" s="17"/>
      <c r="E309" s="2"/>
      <c r="F309" s="1"/>
      <c r="G309" s="1"/>
      <c r="H309" s="1"/>
    </row>
    <row r="310" spans="1:8" ht="14.5" x14ac:dyDescent="0.35">
      <c r="A310" s="15"/>
      <c r="B310" s="1"/>
      <c r="C310" s="16"/>
      <c r="D310" s="17"/>
      <c r="E310" s="1"/>
      <c r="F310" s="1"/>
      <c r="G310" s="1"/>
      <c r="H310" s="1"/>
    </row>
    <row r="311" spans="1:8" ht="14.5" x14ac:dyDescent="0.35">
      <c r="A311" s="15"/>
      <c r="B311" s="1"/>
      <c r="C311" s="16"/>
      <c r="D311" s="17"/>
      <c r="E311" s="2"/>
      <c r="F311" s="1"/>
      <c r="G311" s="1"/>
      <c r="H311" s="1"/>
    </row>
    <row r="312" spans="1:8" ht="14.5" x14ac:dyDescent="0.35">
      <c r="A312" s="15"/>
      <c r="B312" s="1"/>
      <c r="C312" s="16"/>
      <c r="D312" s="17"/>
      <c r="E312" s="1"/>
      <c r="F312" s="1"/>
      <c r="G312" s="1"/>
      <c r="H312" s="1"/>
    </row>
    <row r="313" spans="1:8" ht="14.5" x14ac:dyDescent="0.35">
      <c r="A313" s="15"/>
      <c r="B313" s="1"/>
      <c r="C313" s="16"/>
      <c r="D313" s="17"/>
      <c r="E313" s="1"/>
      <c r="F313" s="1"/>
      <c r="G313" s="1"/>
      <c r="H313" s="1"/>
    </row>
    <row r="314" spans="1:8" ht="14.5" x14ac:dyDescent="0.35">
      <c r="A314" s="15"/>
      <c r="B314" s="1"/>
      <c r="C314" s="16"/>
      <c r="D314" s="17"/>
      <c r="E314" s="2"/>
      <c r="F314" s="1"/>
      <c r="G314" s="1"/>
      <c r="H314" s="1"/>
    </row>
    <row r="315" spans="1:8" ht="14.5" x14ac:dyDescent="0.35">
      <c r="A315" s="15"/>
      <c r="B315" s="1"/>
      <c r="C315" s="16"/>
      <c r="D315" s="17"/>
      <c r="E315" s="1"/>
      <c r="F315" s="1"/>
      <c r="G315" s="1"/>
      <c r="H315" s="1"/>
    </row>
    <row r="316" spans="1:8" ht="14.5" x14ac:dyDescent="0.35">
      <c r="A316" s="15"/>
      <c r="B316" s="1"/>
      <c r="C316" s="16"/>
      <c r="D316" s="17"/>
      <c r="E316" s="1"/>
      <c r="F316" s="1"/>
      <c r="G316" s="1"/>
      <c r="H316" s="1"/>
    </row>
    <row r="317" spans="1:8" ht="14.5" x14ac:dyDescent="0.35">
      <c r="A317" s="15"/>
      <c r="B317" s="1"/>
      <c r="C317" s="16"/>
      <c r="D317" s="17"/>
      <c r="E317" s="1"/>
      <c r="F317" s="1"/>
      <c r="G317" s="1"/>
      <c r="H317" s="1"/>
    </row>
    <row r="318" spans="1:8" ht="14.5" x14ac:dyDescent="0.35">
      <c r="A318" s="15"/>
      <c r="B318" s="1"/>
      <c r="C318" s="16"/>
      <c r="D318" s="17"/>
      <c r="E318" s="2"/>
      <c r="F318" s="1"/>
      <c r="G318" s="1"/>
      <c r="H318" s="1"/>
    </row>
    <row r="319" spans="1:8" ht="14.5" x14ac:dyDescent="0.35">
      <c r="A319" s="15"/>
      <c r="B319" s="1"/>
      <c r="C319" s="16"/>
      <c r="D319" s="17"/>
      <c r="E319" s="2"/>
      <c r="F319" s="1"/>
      <c r="G319" s="1"/>
      <c r="H319" s="1"/>
    </row>
    <row r="320" spans="1:8" ht="14.5" x14ac:dyDescent="0.35">
      <c r="A320" s="15"/>
      <c r="B320" s="1"/>
      <c r="C320" s="16"/>
      <c r="D320" s="17"/>
      <c r="E320" s="2"/>
      <c r="F320" s="1"/>
      <c r="G320" s="1"/>
      <c r="H320" s="1"/>
    </row>
    <row r="321" spans="1:8" ht="14.5" x14ac:dyDescent="0.35">
      <c r="A321" s="15"/>
      <c r="B321" s="1"/>
      <c r="C321" s="16"/>
      <c r="D321" s="17"/>
      <c r="E321" s="1"/>
      <c r="F321" s="1"/>
      <c r="G321" s="1"/>
      <c r="H321" s="1"/>
    </row>
    <row r="322" spans="1:8" ht="14.5" x14ac:dyDescent="0.35">
      <c r="A322" s="15"/>
      <c r="B322" s="1"/>
      <c r="C322" s="16"/>
      <c r="D322" s="17"/>
      <c r="E322" s="3"/>
      <c r="F322" s="1"/>
      <c r="G322" s="1"/>
      <c r="H322" s="1"/>
    </row>
    <row r="323" spans="1:8" ht="14.5" x14ac:dyDescent="0.35">
      <c r="A323" s="15"/>
      <c r="B323" s="1"/>
      <c r="C323" s="16"/>
      <c r="D323" s="17"/>
      <c r="E323" s="2"/>
      <c r="F323" s="1"/>
      <c r="G323" s="1"/>
      <c r="H323" s="1"/>
    </row>
    <row r="324" spans="1:8" ht="14.5" x14ac:dyDescent="0.35">
      <c r="A324" s="15"/>
      <c r="B324" s="1"/>
      <c r="C324" s="16"/>
      <c r="D324" s="17"/>
      <c r="E324" s="1"/>
      <c r="F324" s="1"/>
      <c r="G324" s="1"/>
      <c r="H324" s="1"/>
    </row>
    <row r="325" spans="1:8" ht="14.5" x14ac:dyDescent="0.35">
      <c r="A325" s="15"/>
      <c r="B325" s="1"/>
      <c r="C325" s="16"/>
      <c r="D325" s="17"/>
      <c r="E325" s="2"/>
      <c r="F325" s="1"/>
      <c r="G325" s="1"/>
      <c r="H325" s="1"/>
    </row>
    <row r="326" spans="1:8" ht="14.5" x14ac:dyDescent="0.35">
      <c r="A326" s="15"/>
      <c r="B326" s="1"/>
      <c r="C326" s="16"/>
      <c r="D326" s="17"/>
      <c r="E326" s="2"/>
      <c r="F326" s="1"/>
      <c r="G326" s="1"/>
      <c r="H326" s="1"/>
    </row>
    <row r="327" spans="1:8" ht="14.5" x14ac:dyDescent="0.35">
      <c r="A327" s="15"/>
      <c r="B327" s="1"/>
      <c r="C327" s="16"/>
      <c r="D327" s="17"/>
      <c r="E327" s="2"/>
      <c r="F327" s="1"/>
      <c r="G327" s="1"/>
      <c r="H327" s="1"/>
    </row>
    <row r="328" spans="1:8" ht="14.5" x14ac:dyDescent="0.35">
      <c r="A328" s="15"/>
      <c r="B328" s="1"/>
      <c r="C328" s="16"/>
      <c r="D328" s="17"/>
      <c r="E328" s="1"/>
      <c r="F328" s="1"/>
      <c r="G328" s="1"/>
      <c r="H328" s="1"/>
    </row>
    <row r="329" spans="1:8" ht="14.5" x14ac:dyDescent="0.35">
      <c r="A329" s="15"/>
      <c r="B329" s="1"/>
      <c r="C329" s="16"/>
      <c r="D329" s="17"/>
      <c r="E329" s="2"/>
      <c r="F329" s="1"/>
      <c r="G329" s="1"/>
      <c r="H329" s="1"/>
    </row>
    <row r="330" spans="1:8" ht="14.5" x14ac:dyDescent="0.35">
      <c r="A330" s="15"/>
      <c r="B330" s="1"/>
      <c r="C330" s="16"/>
      <c r="D330" s="17"/>
      <c r="E330" s="1"/>
      <c r="F330" s="1"/>
      <c r="G330" s="1"/>
      <c r="H330" s="1"/>
    </row>
    <row r="331" spans="1:8" ht="14.5" x14ac:dyDescent="0.35">
      <c r="A331" s="15"/>
      <c r="B331" s="1"/>
      <c r="C331" s="16"/>
      <c r="D331" s="17"/>
      <c r="E331" s="1"/>
      <c r="F331" s="1"/>
      <c r="G331" s="1"/>
      <c r="H331" s="1"/>
    </row>
    <row r="332" spans="1:8" ht="14.5" x14ac:dyDescent="0.35">
      <c r="A332" s="15"/>
      <c r="B332" s="1"/>
      <c r="C332" s="16"/>
      <c r="D332" s="17"/>
      <c r="E332" s="2"/>
      <c r="F332" s="1"/>
      <c r="G332" s="1"/>
      <c r="H332" s="1"/>
    </row>
    <row r="333" spans="1:8" ht="14.5" x14ac:dyDescent="0.35">
      <c r="A333" s="15"/>
      <c r="B333" s="1"/>
      <c r="C333" s="16"/>
      <c r="D333" s="17"/>
      <c r="E333" s="1"/>
      <c r="F333" s="1"/>
      <c r="G333" s="1"/>
      <c r="H333" s="1"/>
    </row>
    <row r="334" spans="1:8" ht="14.5" x14ac:dyDescent="0.35">
      <c r="A334" s="15"/>
      <c r="B334" s="1"/>
      <c r="C334" s="16"/>
      <c r="D334" s="17"/>
      <c r="E334" s="1"/>
      <c r="F334" s="1"/>
      <c r="G334" s="1"/>
      <c r="H334" s="1"/>
    </row>
    <row r="335" spans="1:8" ht="14.5" x14ac:dyDescent="0.35">
      <c r="A335" s="15"/>
      <c r="B335" s="1"/>
      <c r="C335" s="16"/>
      <c r="D335" s="17"/>
      <c r="E335" s="1"/>
      <c r="F335" s="1"/>
      <c r="G335" s="1"/>
      <c r="H335" s="1"/>
    </row>
    <row r="336" spans="1:8" ht="14.5" x14ac:dyDescent="0.35">
      <c r="A336" s="15"/>
      <c r="B336" s="1"/>
      <c r="C336" s="16"/>
      <c r="D336" s="17"/>
      <c r="E336" s="1"/>
      <c r="F336" s="1"/>
      <c r="G336" s="1"/>
      <c r="H336" s="1"/>
    </row>
    <row r="337" spans="1:8" ht="14.5" x14ac:dyDescent="0.35">
      <c r="A337" s="15"/>
      <c r="B337" s="1"/>
      <c r="C337" s="16"/>
      <c r="D337" s="17"/>
      <c r="E337" s="2"/>
      <c r="F337" s="1"/>
      <c r="G337" s="1"/>
      <c r="H337" s="1"/>
    </row>
    <row r="338" spans="1:8" ht="14.5" x14ac:dyDescent="0.35">
      <c r="A338" s="15"/>
      <c r="B338" s="1"/>
      <c r="C338" s="16"/>
      <c r="D338" s="17"/>
      <c r="E338" s="2"/>
      <c r="F338" s="1"/>
      <c r="G338" s="1"/>
      <c r="H338" s="1"/>
    </row>
    <row r="339" spans="1:8" ht="14.5" x14ac:dyDescent="0.35">
      <c r="A339" s="15"/>
      <c r="B339" s="1"/>
      <c r="C339" s="16"/>
      <c r="D339" s="17"/>
      <c r="E339" s="2"/>
      <c r="F339" s="1"/>
      <c r="G339" s="1"/>
      <c r="H339" s="1"/>
    </row>
    <row r="340" spans="1:8" ht="14.5" x14ac:dyDescent="0.35">
      <c r="A340" s="15"/>
      <c r="B340" s="1"/>
      <c r="C340" s="16"/>
      <c r="D340" s="17"/>
      <c r="E340" s="2"/>
      <c r="F340" s="1"/>
      <c r="G340" s="1"/>
      <c r="H340" s="1"/>
    </row>
    <row r="341" spans="1:8" ht="14.5" x14ac:dyDescent="0.35">
      <c r="A341" s="15"/>
      <c r="B341" s="1"/>
      <c r="C341" s="16"/>
      <c r="D341" s="17"/>
      <c r="E341" s="2"/>
      <c r="F341" s="1"/>
      <c r="G341" s="1"/>
      <c r="H341" s="1"/>
    </row>
    <row r="342" spans="1:8" ht="14.5" x14ac:dyDescent="0.35">
      <c r="A342" s="15"/>
      <c r="B342" s="1"/>
      <c r="C342" s="16"/>
      <c r="D342" s="17"/>
      <c r="E342" s="1"/>
      <c r="F342" s="1"/>
      <c r="G342" s="1"/>
      <c r="H342" s="1"/>
    </row>
    <row r="343" spans="1:8" ht="14.5" x14ac:dyDescent="0.35">
      <c r="A343" s="15"/>
      <c r="B343" s="1"/>
      <c r="C343" s="16"/>
      <c r="D343" s="17"/>
      <c r="E343" s="1"/>
      <c r="F343" s="1"/>
      <c r="G343" s="1"/>
      <c r="H343" s="1"/>
    </row>
    <row r="344" spans="1:8" ht="14.5" x14ac:dyDescent="0.35">
      <c r="A344" s="15"/>
      <c r="B344" s="1"/>
      <c r="C344" s="16"/>
      <c r="D344" s="17"/>
      <c r="E344" s="1"/>
      <c r="F344" s="1"/>
      <c r="G344" s="1"/>
      <c r="H344" s="1"/>
    </row>
    <row r="345" spans="1:8" ht="14.5" x14ac:dyDescent="0.35">
      <c r="A345" s="15"/>
      <c r="B345" s="1"/>
      <c r="C345" s="16"/>
      <c r="D345" s="17"/>
      <c r="E345" s="2"/>
      <c r="F345" s="1"/>
      <c r="G345" s="1"/>
      <c r="H345" s="1"/>
    </row>
    <row r="346" spans="1:8" ht="14.5" x14ac:dyDescent="0.35">
      <c r="A346" s="15"/>
      <c r="B346" s="1"/>
      <c r="C346" s="16"/>
      <c r="D346" s="17"/>
      <c r="E346" s="1"/>
      <c r="F346" s="1"/>
      <c r="G346" s="1"/>
      <c r="H346" s="1"/>
    </row>
    <row r="347" spans="1:8" ht="14.5" x14ac:dyDescent="0.35">
      <c r="A347" s="15"/>
      <c r="B347" s="1"/>
      <c r="C347" s="16"/>
      <c r="D347" s="17"/>
      <c r="E347" s="1"/>
      <c r="F347" s="1"/>
      <c r="G347" s="1"/>
      <c r="H347" s="1"/>
    </row>
    <row r="348" spans="1:8" ht="14.5" x14ac:dyDescent="0.35">
      <c r="A348" s="15"/>
      <c r="B348" s="1"/>
      <c r="C348" s="16"/>
      <c r="D348" s="17"/>
      <c r="E348" s="1"/>
      <c r="F348" s="1"/>
      <c r="G348" s="1"/>
      <c r="H348" s="1"/>
    </row>
    <row r="349" spans="1:8" ht="14.5" x14ac:dyDescent="0.35">
      <c r="A349" s="15"/>
      <c r="B349" s="1"/>
      <c r="C349" s="16"/>
      <c r="D349" s="17"/>
      <c r="E349" s="1"/>
      <c r="F349" s="1"/>
      <c r="G349" s="1"/>
      <c r="H349" s="1"/>
    </row>
    <row r="350" spans="1:8" ht="14.5" x14ac:dyDescent="0.35">
      <c r="A350" s="15"/>
      <c r="B350" s="1"/>
      <c r="C350" s="16"/>
      <c r="D350" s="17"/>
      <c r="E350" s="2"/>
      <c r="F350" s="1"/>
      <c r="G350" s="1"/>
      <c r="H350" s="1"/>
    </row>
    <row r="351" spans="1:8" ht="14.5" x14ac:dyDescent="0.35">
      <c r="A351" s="15"/>
      <c r="B351" s="1"/>
      <c r="C351" s="16"/>
      <c r="D351" s="17"/>
      <c r="E351" s="1"/>
      <c r="F351" s="1"/>
      <c r="G351" s="1"/>
      <c r="H351" s="1"/>
    </row>
    <row r="352" spans="1:8" ht="14.5" x14ac:dyDescent="0.35">
      <c r="A352" s="15"/>
      <c r="B352" s="1"/>
      <c r="C352" s="16"/>
      <c r="D352" s="17"/>
      <c r="E352" s="1"/>
      <c r="F352" s="1"/>
      <c r="G352" s="1"/>
      <c r="H352" s="1"/>
    </row>
    <row r="353" spans="1:8" ht="14.5" x14ac:dyDescent="0.35">
      <c r="A353" s="15"/>
      <c r="B353" s="1"/>
      <c r="C353" s="16"/>
      <c r="D353" s="17"/>
      <c r="E353" s="2"/>
      <c r="F353" s="1"/>
      <c r="G353" s="1"/>
      <c r="H353" s="1"/>
    </row>
    <row r="354" spans="1:8" ht="14.5" x14ac:dyDescent="0.35">
      <c r="A354" s="15"/>
      <c r="B354" s="1"/>
      <c r="C354" s="16"/>
      <c r="D354" s="17"/>
      <c r="E354" s="1"/>
      <c r="F354" s="1"/>
      <c r="G354" s="1"/>
      <c r="H354" s="1"/>
    </row>
    <row r="355" spans="1:8" ht="14.5" x14ac:dyDescent="0.35">
      <c r="A355" s="15"/>
      <c r="B355" s="1"/>
      <c r="C355" s="16"/>
      <c r="D355" s="17"/>
      <c r="E355" s="1"/>
      <c r="F355" s="1"/>
      <c r="G355" s="1"/>
      <c r="H355" s="1"/>
    </row>
    <row r="356" spans="1:8" ht="14.5" x14ac:dyDescent="0.35">
      <c r="A356" s="15"/>
      <c r="B356" s="1"/>
      <c r="C356" s="16"/>
      <c r="D356" s="17"/>
      <c r="E356" s="2"/>
      <c r="F356" s="1"/>
      <c r="G356" s="1"/>
      <c r="H356" s="1"/>
    </row>
    <row r="357" spans="1:8" ht="14.5" x14ac:dyDescent="0.35">
      <c r="A357" s="15"/>
      <c r="B357" s="1"/>
      <c r="C357" s="16"/>
      <c r="D357" s="17"/>
      <c r="E357" s="1"/>
      <c r="F357" s="1"/>
      <c r="G357" s="1"/>
      <c r="H357" s="1"/>
    </row>
    <row r="358" spans="1:8" ht="14.5" x14ac:dyDescent="0.35">
      <c r="A358" s="15"/>
      <c r="B358" s="1"/>
      <c r="C358" s="16"/>
      <c r="D358" s="17"/>
      <c r="E358" s="1"/>
      <c r="F358" s="1"/>
      <c r="G358" s="1"/>
      <c r="H358" s="1"/>
    </row>
    <row r="359" spans="1:8" ht="14.5" x14ac:dyDescent="0.35">
      <c r="A359" s="15"/>
      <c r="B359" s="1"/>
      <c r="C359" s="16"/>
      <c r="D359" s="17"/>
      <c r="E359" s="1"/>
      <c r="F359" s="1"/>
      <c r="G359" s="1"/>
      <c r="H359" s="1"/>
    </row>
    <row r="360" spans="1:8" ht="14.5" x14ac:dyDescent="0.35">
      <c r="A360" s="15"/>
      <c r="B360" s="1"/>
      <c r="C360" s="16"/>
      <c r="D360" s="17"/>
      <c r="E360" s="1"/>
      <c r="F360" s="1"/>
      <c r="G360" s="1"/>
      <c r="H360" s="1"/>
    </row>
    <row r="361" spans="1:8" ht="14.5" x14ac:dyDescent="0.35">
      <c r="A361" s="15"/>
      <c r="B361" s="1"/>
      <c r="C361" s="16"/>
      <c r="D361" s="17"/>
      <c r="E361" s="1"/>
      <c r="F361" s="1"/>
      <c r="G361" s="1"/>
      <c r="H361" s="1"/>
    </row>
    <row r="362" spans="1:8" ht="14.5" x14ac:dyDescent="0.35">
      <c r="A362" s="15"/>
      <c r="B362" s="1"/>
      <c r="C362" s="16"/>
      <c r="D362" s="17"/>
      <c r="E362" s="2"/>
      <c r="F362" s="1"/>
      <c r="G362" s="1"/>
      <c r="H362" s="1"/>
    </row>
    <row r="363" spans="1:8" ht="14.5" x14ac:dyDescent="0.35">
      <c r="A363" s="15"/>
      <c r="B363" s="1"/>
      <c r="C363" s="16"/>
      <c r="D363" s="17"/>
      <c r="E363" s="1"/>
      <c r="F363" s="1"/>
      <c r="G363" s="1"/>
      <c r="H363" s="1"/>
    </row>
    <row r="364" spans="1:8" ht="14.5" x14ac:dyDescent="0.35">
      <c r="A364" s="15"/>
      <c r="B364" s="1"/>
      <c r="C364" s="16"/>
      <c r="D364" s="17"/>
      <c r="E364" s="2"/>
      <c r="F364" s="1"/>
      <c r="G364" s="1"/>
      <c r="H364" s="1"/>
    </row>
    <row r="365" spans="1:8" ht="14.5" x14ac:dyDescent="0.35">
      <c r="A365" s="15"/>
      <c r="B365" s="1"/>
      <c r="C365" s="16"/>
      <c r="D365" s="17"/>
      <c r="E365" s="1"/>
      <c r="F365" s="1"/>
      <c r="G365" s="1"/>
      <c r="H365" s="1"/>
    </row>
    <row r="366" spans="1:8" ht="14.5" x14ac:dyDescent="0.35">
      <c r="A366" s="15"/>
      <c r="B366" s="1"/>
      <c r="C366" s="16"/>
      <c r="D366" s="17"/>
      <c r="E366" s="1"/>
      <c r="F366" s="1"/>
      <c r="G366" s="1"/>
      <c r="H366" s="1"/>
    </row>
    <row r="367" spans="1:8" ht="14.5" x14ac:dyDescent="0.35">
      <c r="A367" s="15"/>
      <c r="B367" s="1"/>
      <c r="C367" s="16"/>
      <c r="D367" s="17"/>
      <c r="E367" s="2"/>
      <c r="F367" s="1"/>
      <c r="G367" s="1"/>
      <c r="H367" s="1"/>
    </row>
    <row r="368" spans="1:8" ht="14.5" x14ac:dyDescent="0.35">
      <c r="A368" s="15"/>
      <c r="B368" s="1"/>
      <c r="C368" s="16"/>
      <c r="D368" s="17"/>
      <c r="E368" s="2"/>
      <c r="F368" s="1"/>
      <c r="G368" s="1"/>
      <c r="H368" s="1"/>
    </row>
    <row r="369" spans="1:8" ht="14.5" x14ac:dyDescent="0.35">
      <c r="A369" s="15"/>
      <c r="B369" s="1"/>
      <c r="C369" s="16"/>
      <c r="D369" s="17"/>
      <c r="E369" s="1"/>
      <c r="F369" s="1"/>
      <c r="G369" s="1"/>
      <c r="H369" s="1"/>
    </row>
    <row r="370" spans="1:8" ht="14.5" x14ac:dyDescent="0.35">
      <c r="A370" s="15"/>
      <c r="B370" s="1"/>
      <c r="C370" s="16"/>
      <c r="D370" s="17"/>
      <c r="E370" s="1"/>
      <c r="F370" s="1"/>
      <c r="G370" s="1"/>
      <c r="H370" s="1"/>
    </row>
    <row r="371" spans="1:8" ht="14.5" x14ac:dyDescent="0.35">
      <c r="A371" s="15"/>
      <c r="B371" s="1"/>
      <c r="C371" s="16"/>
      <c r="D371" s="17"/>
      <c r="E371" s="1"/>
      <c r="F371" s="1"/>
      <c r="G371" s="1"/>
      <c r="H371" s="1"/>
    </row>
    <row r="372" spans="1:8" ht="14.5" x14ac:dyDescent="0.35">
      <c r="A372" s="15"/>
      <c r="B372" s="1"/>
      <c r="C372" s="16"/>
      <c r="D372" s="17"/>
      <c r="E372" s="1"/>
      <c r="F372" s="1"/>
      <c r="G372" s="1"/>
      <c r="H372" s="1"/>
    </row>
    <row r="373" spans="1:8" ht="14.5" x14ac:dyDescent="0.35">
      <c r="A373" s="15"/>
      <c r="B373" s="1"/>
      <c r="C373" s="16"/>
      <c r="D373" s="17"/>
      <c r="E373" s="1"/>
      <c r="F373" s="1"/>
      <c r="G373" s="1"/>
      <c r="H373" s="1"/>
    </row>
    <row r="374" spans="1:8" ht="14.5" x14ac:dyDescent="0.35">
      <c r="A374" s="15"/>
      <c r="B374" s="1"/>
      <c r="C374" s="16"/>
      <c r="D374" s="17"/>
      <c r="E374" s="2"/>
      <c r="F374" s="1"/>
      <c r="G374" s="1"/>
      <c r="H374" s="1"/>
    </row>
    <row r="375" spans="1:8" ht="14.5" x14ac:dyDescent="0.35">
      <c r="A375" s="15"/>
      <c r="B375" s="1"/>
      <c r="C375" s="16"/>
      <c r="D375" s="17"/>
      <c r="E375" s="2"/>
      <c r="F375" s="1"/>
      <c r="G375" s="1"/>
      <c r="H375" s="1"/>
    </row>
    <row r="376" spans="1:8" ht="14.5" x14ac:dyDescent="0.35">
      <c r="A376" s="15"/>
      <c r="B376" s="1"/>
      <c r="C376" s="16"/>
      <c r="D376" s="17"/>
      <c r="E376" s="2"/>
      <c r="F376" s="1"/>
      <c r="G376" s="1"/>
      <c r="H376" s="1"/>
    </row>
    <row r="377" spans="1:8" ht="14.5" x14ac:dyDescent="0.35">
      <c r="A377" s="15"/>
      <c r="B377" s="1"/>
      <c r="C377" s="16"/>
      <c r="D377" s="17"/>
      <c r="E377" s="2"/>
      <c r="F377" s="1"/>
      <c r="G377" s="1"/>
      <c r="H377" s="1"/>
    </row>
    <row r="378" spans="1:8" ht="14.5" x14ac:dyDescent="0.35">
      <c r="A378" s="15"/>
      <c r="B378" s="1"/>
      <c r="C378" s="16"/>
      <c r="D378" s="17"/>
      <c r="E378" s="1"/>
      <c r="F378" s="1"/>
      <c r="G378" s="1"/>
      <c r="H378" s="1"/>
    </row>
    <row r="379" spans="1:8" ht="14.5" x14ac:dyDescent="0.35">
      <c r="A379" s="15"/>
      <c r="B379" s="1"/>
      <c r="C379" s="16"/>
      <c r="D379" s="17"/>
      <c r="E379" s="2"/>
      <c r="F379" s="1"/>
      <c r="G379" s="1"/>
      <c r="H379" s="1"/>
    </row>
    <row r="380" spans="1:8" ht="14.5" x14ac:dyDescent="0.35">
      <c r="A380" s="15"/>
      <c r="B380" s="1"/>
      <c r="C380" s="16"/>
      <c r="D380" s="17"/>
      <c r="E380" s="2"/>
      <c r="F380" s="1"/>
      <c r="G380" s="1"/>
      <c r="H380" s="1"/>
    </row>
    <row r="381" spans="1:8" ht="14.5" x14ac:dyDescent="0.35">
      <c r="A381" s="15"/>
      <c r="B381" s="1"/>
      <c r="C381" s="16"/>
      <c r="D381" s="17"/>
      <c r="E381" s="1"/>
      <c r="F381" s="1"/>
      <c r="G381" s="1"/>
      <c r="H381" s="1"/>
    </row>
    <row r="382" spans="1:8" ht="14.5" x14ac:dyDescent="0.35">
      <c r="A382" s="15"/>
      <c r="B382" s="1"/>
      <c r="C382" s="16"/>
      <c r="D382" s="17"/>
      <c r="E382" s="1"/>
      <c r="F382" s="1"/>
      <c r="G382" s="1"/>
      <c r="H382" s="1"/>
    </row>
    <row r="383" spans="1:8" ht="14.5" x14ac:dyDescent="0.35">
      <c r="A383" s="15"/>
      <c r="B383" s="1"/>
      <c r="C383" s="16"/>
      <c r="D383" s="17"/>
      <c r="E383" s="2"/>
      <c r="F383" s="1"/>
      <c r="G383" s="1"/>
      <c r="H383" s="1"/>
    </row>
    <row r="384" spans="1:8" ht="14.5" x14ac:dyDescent="0.35">
      <c r="A384" s="15"/>
      <c r="B384" s="1"/>
      <c r="C384" s="16"/>
      <c r="D384" s="17"/>
      <c r="E384" s="1"/>
      <c r="F384" s="1"/>
      <c r="G384" s="1"/>
      <c r="H384" s="1"/>
    </row>
    <row r="385" spans="1:8" ht="14.5" x14ac:dyDescent="0.35">
      <c r="A385" s="15"/>
      <c r="B385" s="1"/>
      <c r="C385" s="16"/>
      <c r="D385" s="17"/>
      <c r="E385" s="1"/>
      <c r="F385" s="1"/>
      <c r="G385" s="1"/>
      <c r="H385" s="1"/>
    </row>
    <row r="386" spans="1:8" ht="14.5" x14ac:dyDescent="0.35">
      <c r="A386" s="15"/>
      <c r="B386" s="1"/>
      <c r="C386" s="16"/>
      <c r="D386" s="17"/>
      <c r="E386" s="1"/>
      <c r="F386" s="1"/>
      <c r="G386" s="1"/>
      <c r="H386" s="1"/>
    </row>
    <row r="387" spans="1:8" ht="14.5" x14ac:dyDescent="0.35">
      <c r="A387" s="15"/>
      <c r="B387" s="1"/>
      <c r="C387" s="16"/>
      <c r="D387" s="17"/>
      <c r="E387" s="2"/>
      <c r="F387" s="1"/>
      <c r="G387" s="1"/>
      <c r="H387" s="1"/>
    </row>
    <row r="388" spans="1:8" ht="14.5" x14ac:dyDescent="0.35">
      <c r="A388" s="15"/>
      <c r="B388" s="1"/>
      <c r="C388" s="16"/>
      <c r="D388" s="17"/>
      <c r="E388" s="1"/>
      <c r="F388" s="1"/>
      <c r="G388" s="1"/>
      <c r="H388" s="1"/>
    </row>
    <row r="389" spans="1:8" ht="14.5" x14ac:dyDescent="0.35">
      <c r="A389" s="15"/>
      <c r="B389" s="1"/>
      <c r="C389" s="16"/>
      <c r="D389" s="17"/>
      <c r="E389" s="1"/>
      <c r="F389" s="1"/>
      <c r="G389" s="1"/>
      <c r="H389" s="1"/>
    </row>
    <row r="390" spans="1:8" ht="14.5" x14ac:dyDescent="0.35">
      <c r="A390" s="15"/>
      <c r="B390" s="1"/>
      <c r="C390" s="16"/>
      <c r="D390" s="17"/>
      <c r="E390" s="1"/>
      <c r="F390" s="1"/>
      <c r="G390" s="1"/>
      <c r="H390" s="1"/>
    </row>
    <row r="391" spans="1:8" ht="14.5" x14ac:dyDescent="0.35">
      <c r="A391" s="15"/>
      <c r="B391" s="1"/>
      <c r="C391" s="16"/>
      <c r="D391" s="17"/>
      <c r="E391" s="2"/>
      <c r="F391" s="1"/>
      <c r="G391" s="1"/>
      <c r="H391" s="1"/>
    </row>
    <row r="392" spans="1:8" ht="14.5" x14ac:dyDescent="0.35">
      <c r="A392" s="15"/>
      <c r="B392" s="1"/>
      <c r="C392" s="16"/>
      <c r="D392" s="17"/>
      <c r="E392" s="3"/>
      <c r="F392" s="1"/>
      <c r="G392" s="1"/>
      <c r="H392" s="1"/>
    </row>
    <row r="393" spans="1:8" ht="14.5" x14ac:dyDescent="0.35">
      <c r="A393" s="15"/>
      <c r="B393" s="1"/>
      <c r="C393" s="16"/>
      <c r="D393" s="17"/>
      <c r="E393" s="2"/>
      <c r="F393" s="1"/>
      <c r="G393" s="1"/>
      <c r="H393" s="1"/>
    </row>
    <row r="394" spans="1:8" ht="14.5" x14ac:dyDescent="0.35">
      <c r="A394" s="15"/>
      <c r="B394" s="1"/>
      <c r="C394" s="16"/>
      <c r="D394" s="17"/>
      <c r="E394" s="2"/>
      <c r="F394" s="1"/>
      <c r="G394" s="1"/>
      <c r="H394" s="1"/>
    </row>
    <row r="395" spans="1:8" ht="14.5" x14ac:dyDescent="0.35">
      <c r="A395" s="15"/>
      <c r="B395" s="1"/>
      <c r="C395" s="16"/>
      <c r="D395" s="17"/>
      <c r="E395" s="1"/>
      <c r="F395" s="1"/>
      <c r="G395" s="1"/>
      <c r="H395" s="1"/>
    </row>
    <row r="396" spans="1:8" ht="14.5" x14ac:dyDescent="0.35">
      <c r="A396" s="15"/>
      <c r="B396" s="1"/>
      <c r="C396" s="16"/>
      <c r="D396" s="17"/>
      <c r="E396" s="1"/>
      <c r="F396" s="1"/>
      <c r="G396" s="1"/>
      <c r="H396" s="1"/>
    </row>
    <row r="397" spans="1:8" ht="14.5" x14ac:dyDescent="0.35">
      <c r="A397" s="15"/>
      <c r="B397" s="1"/>
      <c r="C397" s="16"/>
      <c r="D397" s="17"/>
      <c r="E397" s="2"/>
      <c r="F397" s="1"/>
      <c r="G397" s="1"/>
      <c r="H397" s="1"/>
    </row>
    <row r="398" spans="1:8" ht="14.5" x14ac:dyDescent="0.35">
      <c r="A398" s="15"/>
      <c r="B398" s="1"/>
      <c r="C398" s="16"/>
      <c r="D398" s="17"/>
      <c r="E398" s="1"/>
      <c r="F398" s="1"/>
      <c r="G398" s="1"/>
      <c r="H398" s="1"/>
    </row>
    <row r="399" spans="1:8" ht="14.5" x14ac:dyDescent="0.35">
      <c r="A399" s="15"/>
      <c r="B399" s="1"/>
      <c r="C399" s="16"/>
      <c r="D399" s="17"/>
      <c r="E399" s="2"/>
      <c r="F399" s="1"/>
      <c r="G399" s="1"/>
      <c r="H399" s="1"/>
    </row>
    <row r="400" spans="1:8" ht="14.5" x14ac:dyDescent="0.35">
      <c r="A400" s="15"/>
      <c r="B400" s="1"/>
      <c r="C400" s="16"/>
      <c r="D400" s="17"/>
      <c r="E400" s="1"/>
      <c r="F400" s="1"/>
      <c r="G400" s="1"/>
      <c r="H400" s="1"/>
    </row>
    <row r="401" spans="1:8" ht="14.5" x14ac:dyDescent="0.35">
      <c r="A401" s="15"/>
      <c r="B401" s="1"/>
      <c r="C401" s="16"/>
      <c r="D401" s="17"/>
      <c r="E401" s="1"/>
      <c r="F401" s="1"/>
      <c r="G401" s="1"/>
      <c r="H401" s="1"/>
    </row>
    <row r="402" spans="1:8" ht="14.5" x14ac:dyDescent="0.35">
      <c r="A402" s="15"/>
      <c r="B402" s="1"/>
      <c r="C402" s="16"/>
      <c r="D402" s="17"/>
      <c r="E402" s="1"/>
      <c r="F402" s="1"/>
      <c r="G402" s="1"/>
      <c r="H402" s="1"/>
    </row>
    <row r="403" spans="1:8" ht="14.5" x14ac:dyDescent="0.35">
      <c r="A403" s="15"/>
      <c r="B403" s="1"/>
      <c r="C403" s="16"/>
      <c r="D403" s="17"/>
      <c r="E403" s="2"/>
      <c r="F403" s="1"/>
      <c r="G403" s="1"/>
      <c r="H403" s="1"/>
    </row>
    <row r="404" spans="1:8" ht="14.5" x14ac:dyDescent="0.35">
      <c r="A404" s="15"/>
      <c r="B404" s="1"/>
      <c r="C404" s="16"/>
      <c r="D404" s="17"/>
      <c r="E404" s="2"/>
      <c r="F404" s="1"/>
      <c r="G404" s="1"/>
      <c r="H404" s="1"/>
    </row>
    <row r="405" spans="1:8" ht="14.5" x14ac:dyDescent="0.35">
      <c r="A405" s="15"/>
      <c r="B405" s="1"/>
      <c r="C405" s="16"/>
      <c r="D405" s="17"/>
      <c r="E405" s="1"/>
      <c r="F405" s="1"/>
      <c r="G405" s="1"/>
      <c r="H405" s="1"/>
    </row>
    <row r="406" spans="1:8" ht="14.5" x14ac:dyDescent="0.35">
      <c r="A406" s="15"/>
      <c r="B406" s="1"/>
      <c r="C406" s="16"/>
      <c r="D406" s="17"/>
      <c r="E406" s="2"/>
      <c r="F406" s="1"/>
      <c r="G406" s="1"/>
      <c r="H406" s="1"/>
    </row>
    <row r="407" spans="1:8" ht="14.5" x14ac:dyDescent="0.35">
      <c r="A407" s="15"/>
      <c r="B407" s="1"/>
      <c r="C407" s="16"/>
      <c r="D407" s="17"/>
      <c r="E407" s="2"/>
      <c r="F407" s="1"/>
      <c r="G407" s="1"/>
      <c r="H407" s="1"/>
    </row>
    <row r="408" spans="1:8" ht="14.5" x14ac:dyDescent="0.35">
      <c r="A408" s="15"/>
      <c r="B408" s="1"/>
      <c r="C408" s="16"/>
      <c r="D408" s="17"/>
      <c r="E408" s="1"/>
      <c r="F408" s="1"/>
      <c r="G408" s="1"/>
      <c r="H408" s="1"/>
    </row>
    <row r="409" spans="1:8" ht="14.5" x14ac:dyDescent="0.35">
      <c r="A409" s="15"/>
      <c r="B409" s="1"/>
      <c r="C409" s="16"/>
      <c r="D409" s="17"/>
      <c r="E409" s="1"/>
      <c r="F409" s="1"/>
      <c r="G409" s="1"/>
      <c r="H409" s="1"/>
    </row>
    <row r="410" spans="1:8" ht="14.5" x14ac:dyDescent="0.35">
      <c r="A410" s="15"/>
      <c r="B410" s="1"/>
      <c r="C410" s="16"/>
      <c r="D410" s="17"/>
      <c r="E410" s="2"/>
      <c r="F410" s="1"/>
      <c r="G410" s="1"/>
      <c r="H410" s="1"/>
    </row>
    <row r="411" spans="1:8" ht="14.5" x14ac:dyDescent="0.35">
      <c r="A411" s="15"/>
      <c r="B411" s="1"/>
      <c r="C411" s="16"/>
      <c r="D411" s="17"/>
      <c r="E411" s="1"/>
      <c r="F411" s="1"/>
      <c r="G411" s="1"/>
      <c r="H411" s="1"/>
    </row>
    <row r="412" spans="1:8" ht="14.5" x14ac:dyDescent="0.35">
      <c r="A412" s="15"/>
      <c r="B412" s="1"/>
      <c r="C412" s="16"/>
      <c r="D412" s="17"/>
      <c r="E412" s="1"/>
      <c r="F412" s="1"/>
      <c r="G412" s="1"/>
      <c r="H412" s="1"/>
    </row>
    <row r="413" spans="1:8" ht="14.5" x14ac:dyDescent="0.35">
      <c r="A413" s="15"/>
      <c r="B413" s="1"/>
      <c r="C413" s="16"/>
      <c r="D413" s="17"/>
      <c r="E413" s="1"/>
      <c r="F413" s="1"/>
      <c r="G413" s="1"/>
      <c r="H413" s="1"/>
    </row>
    <row r="414" spans="1:8" ht="14.5" x14ac:dyDescent="0.35">
      <c r="A414" s="15"/>
      <c r="B414" s="1"/>
      <c r="C414" s="16"/>
      <c r="D414" s="17"/>
      <c r="E414" s="1"/>
      <c r="F414" s="1"/>
      <c r="G414" s="1"/>
      <c r="H414" s="1"/>
    </row>
    <row r="415" spans="1:8" ht="14.5" x14ac:dyDescent="0.35">
      <c r="A415" s="15"/>
      <c r="B415" s="1"/>
      <c r="C415" s="16"/>
      <c r="D415" s="17"/>
      <c r="E415" s="3"/>
      <c r="F415" s="1"/>
      <c r="G415" s="1"/>
      <c r="H415" s="1"/>
    </row>
    <row r="416" spans="1:8" ht="14.5" x14ac:dyDescent="0.35">
      <c r="A416" s="15"/>
      <c r="B416" s="1"/>
      <c r="C416" s="16"/>
      <c r="D416" s="17"/>
      <c r="E416" s="1"/>
      <c r="F416" s="1"/>
      <c r="G416" s="1"/>
      <c r="H416" s="1"/>
    </row>
    <row r="417" spans="1:8" ht="14.5" x14ac:dyDescent="0.35">
      <c r="A417" s="15"/>
      <c r="B417" s="1"/>
      <c r="C417" s="16"/>
      <c r="D417" s="17"/>
      <c r="E417" s="1"/>
      <c r="F417" s="1"/>
      <c r="G417" s="1"/>
      <c r="H417" s="1"/>
    </row>
    <row r="418" spans="1:8" ht="14.5" x14ac:dyDescent="0.35">
      <c r="A418" s="15"/>
      <c r="B418" s="1"/>
      <c r="C418" s="16"/>
      <c r="D418" s="17"/>
      <c r="E418" s="1"/>
      <c r="F418" s="1"/>
      <c r="G418" s="1"/>
      <c r="H418" s="1"/>
    </row>
    <row r="419" spans="1:8" ht="14.5" x14ac:dyDescent="0.35">
      <c r="A419" s="15"/>
      <c r="B419" s="1"/>
      <c r="C419" s="16"/>
      <c r="D419" s="17"/>
      <c r="E419" s="1"/>
      <c r="F419" s="1"/>
      <c r="G419" s="1"/>
      <c r="H419" s="1"/>
    </row>
    <row r="420" spans="1:8" ht="14.5" x14ac:dyDescent="0.35">
      <c r="A420" s="15"/>
      <c r="B420" s="1"/>
      <c r="C420" s="16"/>
      <c r="D420" s="17"/>
      <c r="E420" s="1"/>
      <c r="F420" s="1"/>
      <c r="G420" s="1"/>
      <c r="H420" s="1"/>
    </row>
    <row r="421" spans="1:8" ht="14.5" x14ac:dyDescent="0.35">
      <c r="A421" s="15"/>
      <c r="B421" s="1"/>
      <c r="C421" s="16"/>
      <c r="D421" s="17"/>
      <c r="E421" s="1"/>
      <c r="F421" s="1"/>
      <c r="G421" s="1"/>
      <c r="H421" s="1"/>
    </row>
    <row r="422" spans="1:8" ht="14.5" x14ac:dyDescent="0.35">
      <c r="A422" s="15"/>
      <c r="B422" s="1"/>
      <c r="C422" s="16"/>
      <c r="D422" s="17"/>
      <c r="E422" s="1"/>
      <c r="F422" s="1"/>
      <c r="G422" s="1"/>
      <c r="H422" s="1"/>
    </row>
    <row r="423" spans="1:8" ht="14.5" x14ac:dyDescent="0.35">
      <c r="A423" s="15"/>
      <c r="B423" s="1"/>
      <c r="C423" s="16"/>
      <c r="D423" s="17"/>
      <c r="E423" s="1"/>
      <c r="F423" s="1"/>
      <c r="G423" s="1"/>
      <c r="H423" s="1"/>
    </row>
    <row r="424" spans="1:8" ht="14.5" x14ac:dyDescent="0.35">
      <c r="A424" s="15"/>
      <c r="B424" s="1"/>
      <c r="C424" s="16"/>
      <c r="D424" s="17"/>
      <c r="E424" s="2"/>
      <c r="F424" s="1"/>
      <c r="G424" s="1"/>
      <c r="H424" s="1"/>
    </row>
    <row r="425" spans="1:8" ht="14.5" x14ac:dyDescent="0.35">
      <c r="A425" s="15"/>
      <c r="B425" s="1"/>
      <c r="C425" s="16"/>
      <c r="D425" s="17"/>
      <c r="E425" s="2"/>
      <c r="F425" s="1"/>
      <c r="G425" s="1"/>
      <c r="H425" s="1"/>
    </row>
    <row r="426" spans="1:8" ht="14.5" x14ac:dyDescent="0.35">
      <c r="A426" s="15"/>
      <c r="B426" s="1"/>
      <c r="C426" s="16"/>
      <c r="D426" s="17"/>
      <c r="E426" s="2"/>
      <c r="F426" s="1"/>
      <c r="G426" s="1"/>
      <c r="H426" s="1"/>
    </row>
    <row r="427" spans="1:8" ht="14.5" x14ac:dyDescent="0.35">
      <c r="A427" s="15"/>
      <c r="B427" s="1"/>
      <c r="C427" s="16"/>
      <c r="D427" s="17"/>
      <c r="E427" s="1"/>
      <c r="F427" s="1"/>
      <c r="G427" s="1"/>
      <c r="H427" s="1"/>
    </row>
    <row r="428" spans="1:8" ht="14.5" x14ac:dyDescent="0.35">
      <c r="A428" s="15"/>
      <c r="B428" s="1"/>
      <c r="C428" s="16"/>
      <c r="D428" s="17"/>
      <c r="E428" s="2"/>
      <c r="F428" s="1"/>
      <c r="G428" s="1"/>
      <c r="H428" s="1"/>
    </row>
    <row r="429" spans="1:8" ht="14.5" x14ac:dyDescent="0.35">
      <c r="A429" s="15"/>
      <c r="B429" s="1"/>
      <c r="C429" s="16"/>
      <c r="D429" s="17"/>
      <c r="E429" s="2"/>
      <c r="F429" s="1"/>
      <c r="G429" s="1"/>
      <c r="H429" s="1"/>
    </row>
    <row r="430" spans="1:8" ht="14.5" x14ac:dyDescent="0.35">
      <c r="A430" s="15"/>
      <c r="B430" s="1"/>
      <c r="C430" s="16"/>
      <c r="D430" s="17"/>
      <c r="E430" s="1"/>
      <c r="F430" s="1"/>
      <c r="G430" s="1"/>
      <c r="H430" s="1"/>
    </row>
    <row r="431" spans="1:8" ht="14.5" x14ac:dyDescent="0.35">
      <c r="A431" s="15"/>
      <c r="B431" s="1"/>
      <c r="C431" s="16"/>
      <c r="D431" s="17"/>
      <c r="E431" s="1"/>
      <c r="F431" s="1"/>
      <c r="G431" s="1"/>
      <c r="H431" s="1"/>
    </row>
    <row r="432" spans="1:8" ht="14.5" x14ac:dyDescent="0.35">
      <c r="A432" s="15"/>
      <c r="B432" s="1"/>
      <c r="C432" s="16"/>
      <c r="D432" s="17"/>
      <c r="E432" s="1"/>
      <c r="F432" s="1"/>
      <c r="G432" s="1"/>
      <c r="H432" s="1"/>
    </row>
    <row r="433" spans="1:8" ht="14.5" x14ac:dyDescent="0.35">
      <c r="A433" s="15"/>
      <c r="B433" s="1"/>
      <c r="C433" s="16"/>
      <c r="D433" s="17"/>
      <c r="E433" s="1"/>
      <c r="F433" s="1"/>
      <c r="G433" s="1"/>
      <c r="H433" s="1"/>
    </row>
    <row r="434" spans="1:8" ht="14.5" x14ac:dyDescent="0.35">
      <c r="A434" s="15"/>
      <c r="B434" s="1"/>
      <c r="C434" s="16"/>
      <c r="D434" s="17"/>
      <c r="E434" s="1"/>
      <c r="F434" s="1"/>
      <c r="G434" s="1"/>
      <c r="H434" s="1"/>
    </row>
    <row r="435" spans="1:8" ht="14.5" x14ac:dyDescent="0.35">
      <c r="A435" s="15"/>
      <c r="B435" s="1"/>
      <c r="C435" s="16"/>
      <c r="D435" s="17"/>
      <c r="E435" s="1"/>
      <c r="F435" s="1"/>
      <c r="G435" s="1"/>
      <c r="H435" s="1"/>
    </row>
    <row r="436" spans="1:8" ht="14.5" x14ac:dyDescent="0.35">
      <c r="A436" s="15"/>
      <c r="B436" s="1"/>
      <c r="C436" s="16"/>
      <c r="D436" s="17"/>
      <c r="E436" s="2"/>
      <c r="F436" s="1"/>
      <c r="G436" s="1"/>
      <c r="H436" s="1"/>
    </row>
    <row r="437" spans="1:8" ht="14.5" x14ac:dyDescent="0.35">
      <c r="A437" s="15"/>
      <c r="B437" s="1"/>
      <c r="C437" s="16"/>
      <c r="D437" s="17"/>
      <c r="E437" s="2"/>
      <c r="F437" s="1"/>
      <c r="G437" s="1"/>
      <c r="H437" s="1"/>
    </row>
    <row r="438" spans="1:8" ht="14.5" x14ac:dyDescent="0.35">
      <c r="A438" s="15"/>
      <c r="B438" s="1"/>
      <c r="C438" s="16"/>
      <c r="D438" s="17"/>
      <c r="E438" s="1"/>
      <c r="F438" s="1"/>
      <c r="G438" s="1"/>
      <c r="H438" s="1"/>
    </row>
    <row r="439" spans="1:8" ht="14.5" x14ac:dyDescent="0.35">
      <c r="A439" s="15"/>
      <c r="B439" s="1"/>
      <c r="C439" s="16"/>
      <c r="D439" s="17"/>
      <c r="E439" s="2"/>
      <c r="F439" s="1"/>
      <c r="G439" s="1"/>
      <c r="H439" s="1"/>
    </row>
    <row r="440" spans="1:8" ht="14.5" x14ac:dyDescent="0.35">
      <c r="A440" s="15"/>
      <c r="B440" s="1"/>
      <c r="C440" s="16"/>
      <c r="D440" s="17"/>
      <c r="E440" s="1"/>
      <c r="F440" s="1"/>
      <c r="G440" s="1"/>
      <c r="H440" s="1"/>
    </row>
    <row r="441" spans="1:8" ht="14.5" x14ac:dyDescent="0.35">
      <c r="A441" s="15"/>
      <c r="B441" s="1"/>
      <c r="C441" s="16"/>
      <c r="D441" s="17"/>
      <c r="E441" s="2"/>
      <c r="F441" s="1"/>
      <c r="G441" s="1"/>
      <c r="H441" s="1"/>
    </row>
    <row r="442" spans="1:8" ht="14.5" x14ac:dyDescent="0.35">
      <c r="A442" s="15"/>
      <c r="B442" s="1"/>
      <c r="C442" s="16"/>
      <c r="D442" s="17"/>
      <c r="E442" s="1"/>
      <c r="F442" s="1"/>
      <c r="G442" s="1"/>
      <c r="H442" s="1"/>
    </row>
    <row r="443" spans="1:8" ht="14.5" x14ac:dyDescent="0.35">
      <c r="A443" s="15"/>
      <c r="B443" s="1"/>
      <c r="C443" s="16"/>
      <c r="D443" s="17"/>
      <c r="E443" s="1"/>
      <c r="F443" s="1"/>
      <c r="G443" s="1"/>
      <c r="H443" s="1"/>
    </row>
    <row r="444" spans="1:8" ht="14.5" x14ac:dyDescent="0.35">
      <c r="A444" s="15"/>
      <c r="B444" s="1"/>
      <c r="C444" s="16"/>
      <c r="D444" s="17"/>
      <c r="E444" s="1"/>
      <c r="F444" s="1"/>
      <c r="G444" s="1"/>
      <c r="H444" s="1"/>
    </row>
    <row r="445" spans="1:8" ht="14.5" x14ac:dyDescent="0.35">
      <c r="A445" s="15"/>
      <c r="B445" s="1"/>
      <c r="C445" s="16"/>
      <c r="D445" s="17"/>
      <c r="E445" s="2"/>
      <c r="F445" s="1"/>
      <c r="G445" s="1"/>
      <c r="H445" s="1"/>
    </row>
    <row r="446" spans="1:8" ht="14.5" x14ac:dyDescent="0.35">
      <c r="A446" s="15"/>
      <c r="B446" s="1"/>
      <c r="C446" s="16"/>
      <c r="D446" s="17"/>
      <c r="E446" s="2"/>
      <c r="F446" s="1"/>
      <c r="G446" s="1"/>
      <c r="H446" s="1"/>
    </row>
    <row r="447" spans="1:8" ht="14.5" x14ac:dyDescent="0.35">
      <c r="A447" s="15"/>
      <c r="B447" s="1"/>
      <c r="C447" s="16"/>
      <c r="D447" s="17"/>
      <c r="E447" s="1"/>
      <c r="F447" s="1"/>
      <c r="G447" s="1"/>
      <c r="H447" s="1"/>
    </row>
    <row r="448" spans="1:8" ht="14.5" x14ac:dyDescent="0.35">
      <c r="A448" s="15"/>
      <c r="B448" s="1"/>
      <c r="C448" s="16"/>
      <c r="D448" s="17"/>
      <c r="E448" s="2"/>
      <c r="F448" s="1"/>
      <c r="G448" s="1"/>
      <c r="H448" s="1"/>
    </row>
    <row r="449" spans="1:8" ht="14.5" x14ac:dyDescent="0.35">
      <c r="A449" s="15"/>
      <c r="B449" s="1"/>
      <c r="C449" s="16"/>
      <c r="D449" s="17"/>
      <c r="E449" s="1"/>
      <c r="F449" s="1"/>
      <c r="G449" s="1"/>
      <c r="H449" s="1"/>
    </row>
    <row r="450" spans="1:8" ht="14.5" x14ac:dyDescent="0.35">
      <c r="A450" s="15"/>
      <c r="B450" s="1"/>
      <c r="C450" s="16"/>
      <c r="D450" s="17"/>
      <c r="E450" s="1"/>
      <c r="F450" s="1"/>
      <c r="G450" s="1"/>
      <c r="H450" s="1"/>
    </row>
    <row r="451" spans="1:8" ht="14.5" x14ac:dyDescent="0.35">
      <c r="A451" s="15"/>
      <c r="B451" s="1"/>
      <c r="C451" s="16"/>
      <c r="D451" s="17"/>
      <c r="E451" s="1"/>
      <c r="F451" s="1"/>
      <c r="G451" s="1"/>
      <c r="H451" s="1"/>
    </row>
    <row r="452" spans="1:8" ht="14.5" x14ac:dyDescent="0.35">
      <c r="A452" s="15"/>
      <c r="B452" s="1"/>
      <c r="C452" s="16"/>
      <c r="D452" s="17"/>
      <c r="E452" s="1"/>
      <c r="F452" s="1"/>
      <c r="G452" s="1"/>
      <c r="H452" s="1"/>
    </row>
    <row r="453" spans="1:8" ht="14.5" x14ac:dyDescent="0.35">
      <c r="A453" s="15"/>
      <c r="B453" s="1"/>
      <c r="C453" s="16"/>
      <c r="D453" s="17"/>
      <c r="E453" s="2"/>
      <c r="F453" s="1"/>
      <c r="G453" s="1"/>
      <c r="H453" s="1"/>
    </row>
    <row r="454" spans="1:8" ht="14.5" x14ac:dyDescent="0.35">
      <c r="A454" s="15"/>
      <c r="B454" s="1"/>
      <c r="C454" s="16"/>
      <c r="D454" s="17"/>
      <c r="E454" s="2"/>
      <c r="F454" s="1"/>
      <c r="G454" s="1"/>
      <c r="H454" s="1"/>
    </row>
    <row r="455" spans="1:8" ht="14.5" x14ac:dyDescent="0.35">
      <c r="A455" s="15"/>
      <c r="B455" s="1"/>
      <c r="C455" s="16"/>
      <c r="D455" s="17"/>
      <c r="E455" s="2"/>
      <c r="F455" s="1"/>
      <c r="G455" s="1"/>
      <c r="H455" s="1"/>
    </row>
    <row r="456" spans="1:8" ht="14.5" x14ac:dyDescent="0.35">
      <c r="A456" s="15"/>
      <c r="B456" s="1"/>
      <c r="C456" s="16"/>
      <c r="D456" s="17"/>
      <c r="E456" s="3"/>
      <c r="F456" s="1"/>
      <c r="G456" s="1"/>
      <c r="H456" s="1"/>
    </row>
    <row r="457" spans="1:8" ht="14.5" x14ac:dyDescent="0.35">
      <c r="A457" s="15"/>
      <c r="B457" s="1"/>
      <c r="C457" s="16"/>
      <c r="D457" s="17"/>
      <c r="E457" s="1"/>
      <c r="F457" s="1"/>
      <c r="G457" s="1"/>
      <c r="H457" s="1"/>
    </row>
    <row r="458" spans="1:8" ht="14.5" x14ac:dyDescent="0.35">
      <c r="A458" s="15"/>
      <c r="B458" s="1"/>
      <c r="C458" s="16"/>
      <c r="D458" s="17"/>
      <c r="E458" s="3"/>
      <c r="F458" s="1"/>
      <c r="G458" s="1"/>
      <c r="H458" s="1"/>
    </row>
    <row r="459" spans="1:8" ht="14.5" x14ac:dyDescent="0.35">
      <c r="A459" s="15"/>
      <c r="B459" s="1"/>
      <c r="C459" s="16"/>
      <c r="D459" s="17"/>
      <c r="E459" s="2"/>
      <c r="F459" s="1"/>
      <c r="G459" s="1"/>
      <c r="H459" s="1"/>
    </row>
    <row r="460" spans="1:8" ht="14.5" x14ac:dyDescent="0.35">
      <c r="A460" s="15"/>
      <c r="B460" s="1"/>
      <c r="C460" s="16"/>
      <c r="D460" s="17"/>
      <c r="E460" s="1"/>
      <c r="F460" s="1"/>
      <c r="G460" s="1"/>
      <c r="H460" s="1"/>
    </row>
    <row r="461" spans="1:8" ht="14.5" x14ac:dyDescent="0.35">
      <c r="A461" s="15"/>
      <c r="B461" s="1"/>
      <c r="C461" s="16"/>
      <c r="D461" s="17"/>
      <c r="E461" s="2"/>
      <c r="F461" s="1"/>
      <c r="G461" s="1"/>
      <c r="H461" s="1"/>
    </row>
    <row r="462" spans="1:8" ht="14.5" x14ac:dyDescent="0.35">
      <c r="A462" s="15"/>
      <c r="B462" s="1"/>
      <c r="C462" s="16"/>
      <c r="D462" s="17"/>
      <c r="E462" s="2"/>
      <c r="F462" s="1"/>
      <c r="G462" s="1"/>
      <c r="H462" s="1"/>
    </row>
    <row r="463" spans="1:8" ht="14.5" x14ac:dyDescent="0.35">
      <c r="A463" s="15"/>
      <c r="B463" s="1"/>
      <c r="C463" s="16"/>
      <c r="D463" s="17"/>
      <c r="E463" s="1"/>
      <c r="F463" s="1"/>
      <c r="G463" s="1"/>
      <c r="H463" s="1"/>
    </row>
    <row r="464" spans="1:8" ht="14.5" x14ac:dyDescent="0.35">
      <c r="A464" s="15"/>
      <c r="B464" s="1"/>
      <c r="C464" s="16"/>
      <c r="D464" s="17"/>
      <c r="E464" s="1"/>
      <c r="F464" s="1"/>
      <c r="G464" s="1"/>
      <c r="H464" s="1"/>
    </row>
    <row r="465" spans="1:8" ht="14.5" x14ac:dyDescent="0.35">
      <c r="A465" s="15"/>
      <c r="B465" s="1"/>
      <c r="C465" s="16"/>
      <c r="D465" s="17"/>
      <c r="E465" s="2"/>
      <c r="F465" s="1"/>
      <c r="G465" s="1"/>
      <c r="H465" s="1"/>
    </row>
    <row r="466" spans="1:8" ht="14.5" x14ac:dyDescent="0.35">
      <c r="A466" s="15"/>
      <c r="B466" s="1"/>
      <c r="C466" s="16"/>
      <c r="D466" s="17"/>
      <c r="E466" s="1"/>
      <c r="F466" s="1"/>
      <c r="G466" s="1"/>
      <c r="H466" s="1"/>
    </row>
    <row r="467" spans="1:8" ht="14.5" x14ac:dyDescent="0.35">
      <c r="A467" s="15"/>
      <c r="B467" s="1"/>
      <c r="C467" s="16"/>
      <c r="D467" s="17"/>
      <c r="E467" s="1"/>
      <c r="F467" s="1"/>
      <c r="G467" s="1"/>
      <c r="H467" s="1"/>
    </row>
    <row r="468" spans="1:8" ht="14.5" x14ac:dyDescent="0.35">
      <c r="A468" s="15"/>
      <c r="B468" s="1"/>
      <c r="C468" s="16"/>
      <c r="D468" s="17"/>
      <c r="E468" s="1"/>
      <c r="F468" s="1"/>
      <c r="G468" s="1"/>
      <c r="H468" s="1"/>
    </row>
    <row r="469" spans="1:8" ht="14.5" x14ac:dyDescent="0.35">
      <c r="A469" s="15"/>
      <c r="B469" s="1"/>
      <c r="C469" s="16"/>
      <c r="D469" s="17"/>
      <c r="E469" s="2"/>
      <c r="F469" s="1"/>
      <c r="G469" s="1"/>
      <c r="H469" s="1"/>
    </row>
    <row r="470" spans="1:8" ht="14.5" x14ac:dyDescent="0.35">
      <c r="A470" s="15"/>
      <c r="B470" s="1"/>
      <c r="C470" s="16"/>
      <c r="D470" s="17"/>
      <c r="E470" s="1"/>
      <c r="F470" s="1"/>
      <c r="G470" s="1"/>
      <c r="H470" s="1"/>
    </row>
    <row r="471" spans="1:8" ht="14.5" x14ac:dyDescent="0.35">
      <c r="A471" s="15"/>
      <c r="B471" s="1"/>
      <c r="C471" s="16"/>
      <c r="D471" s="17"/>
      <c r="E471" s="1"/>
      <c r="F471" s="1"/>
      <c r="G471" s="1"/>
      <c r="H471" s="1"/>
    </row>
    <row r="472" spans="1:8" ht="14.5" x14ac:dyDescent="0.35">
      <c r="A472" s="15"/>
      <c r="B472" s="1"/>
      <c r="C472" s="16"/>
      <c r="D472" s="17"/>
      <c r="E472" s="1"/>
      <c r="F472" s="1"/>
      <c r="G472" s="1"/>
      <c r="H472" s="1"/>
    </row>
    <row r="473" spans="1:8" ht="14.5" x14ac:dyDescent="0.35">
      <c r="A473" s="15"/>
      <c r="B473" s="1"/>
      <c r="C473" s="16"/>
      <c r="D473" s="17"/>
      <c r="E473" s="1"/>
      <c r="F473" s="1"/>
      <c r="G473" s="1"/>
      <c r="H473" s="1"/>
    </row>
    <row r="474" spans="1:8" ht="14.5" x14ac:dyDescent="0.35">
      <c r="A474" s="15"/>
      <c r="B474" s="1"/>
      <c r="C474" s="16"/>
      <c r="D474" s="17"/>
      <c r="E474" s="2"/>
      <c r="F474" s="1"/>
      <c r="G474" s="1"/>
      <c r="H474" s="1"/>
    </row>
    <row r="475" spans="1:8" ht="14.5" x14ac:dyDescent="0.35">
      <c r="A475" s="15"/>
      <c r="B475" s="1"/>
      <c r="C475" s="16"/>
      <c r="D475" s="17"/>
      <c r="E475" s="2"/>
      <c r="F475" s="1"/>
      <c r="G475" s="1"/>
      <c r="H475" s="1"/>
    </row>
    <row r="476" spans="1:8" ht="14.5" x14ac:dyDescent="0.35">
      <c r="A476" s="15"/>
      <c r="B476" s="1"/>
      <c r="C476" s="16"/>
      <c r="D476" s="17"/>
      <c r="E476" s="1"/>
      <c r="F476" s="1"/>
      <c r="G476" s="1"/>
      <c r="H476" s="1"/>
    </row>
    <row r="477" spans="1:8" ht="14.5" x14ac:dyDescent="0.35">
      <c r="A477" s="15"/>
      <c r="B477" s="1"/>
      <c r="C477" s="16"/>
      <c r="D477" s="17"/>
      <c r="E477" s="1"/>
      <c r="F477" s="1"/>
      <c r="G477" s="1"/>
      <c r="H477" s="1"/>
    </row>
    <row r="478" spans="1:8" ht="14.5" x14ac:dyDescent="0.35">
      <c r="A478" s="15"/>
      <c r="B478" s="1"/>
      <c r="C478" s="16"/>
      <c r="D478" s="17"/>
      <c r="E478" s="2"/>
      <c r="F478" s="1"/>
      <c r="G478" s="1"/>
      <c r="H478" s="1"/>
    </row>
    <row r="479" spans="1:8" ht="14.5" x14ac:dyDescent="0.35">
      <c r="A479" s="15"/>
      <c r="B479" s="1"/>
      <c r="C479" s="16"/>
      <c r="D479" s="17"/>
      <c r="E479" s="2"/>
      <c r="F479" s="1"/>
      <c r="G479" s="1"/>
      <c r="H479" s="1"/>
    </row>
    <row r="480" spans="1:8" ht="14.5" x14ac:dyDescent="0.35">
      <c r="A480" s="15"/>
      <c r="B480" s="1"/>
      <c r="C480" s="16"/>
      <c r="D480" s="17"/>
      <c r="E480" s="1"/>
      <c r="F480" s="1"/>
      <c r="G480" s="1"/>
      <c r="H480" s="1"/>
    </row>
    <row r="481" spans="1:8" ht="14.5" x14ac:dyDescent="0.35">
      <c r="A481" s="15"/>
      <c r="B481" s="1"/>
      <c r="C481" s="16"/>
      <c r="D481" s="17"/>
      <c r="E481" s="2"/>
      <c r="F481" s="1"/>
      <c r="G481" s="1"/>
      <c r="H481" s="1"/>
    </row>
    <row r="482" spans="1:8" ht="14.5" x14ac:dyDescent="0.35">
      <c r="A482" s="15"/>
      <c r="B482" s="1"/>
      <c r="C482" s="16"/>
      <c r="D482" s="17"/>
      <c r="E482" s="1"/>
      <c r="F482" s="1"/>
      <c r="G482" s="1"/>
      <c r="H482" s="1"/>
    </row>
    <row r="483" spans="1:8" ht="14.5" x14ac:dyDescent="0.35">
      <c r="A483" s="15"/>
      <c r="B483" s="1"/>
      <c r="C483" s="16"/>
      <c r="D483" s="17"/>
      <c r="E483" s="1"/>
      <c r="F483" s="1"/>
      <c r="G483" s="1"/>
      <c r="H483" s="1"/>
    </row>
    <row r="484" spans="1:8" ht="14.5" x14ac:dyDescent="0.35">
      <c r="A484" s="15"/>
      <c r="B484" s="1"/>
      <c r="C484" s="16"/>
      <c r="D484" s="17"/>
      <c r="E484" s="2"/>
      <c r="F484" s="1"/>
      <c r="G484" s="1"/>
      <c r="H484" s="1"/>
    </row>
    <row r="485" spans="1:8" ht="14.5" x14ac:dyDescent="0.35">
      <c r="A485" s="15"/>
      <c r="B485" s="1"/>
      <c r="C485" s="16"/>
      <c r="D485" s="17"/>
      <c r="E485" s="2"/>
      <c r="F485" s="1"/>
      <c r="G485" s="1"/>
      <c r="H485" s="1"/>
    </row>
    <row r="486" spans="1:8" ht="14.5" x14ac:dyDescent="0.35">
      <c r="A486" s="15"/>
      <c r="B486" s="1"/>
      <c r="C486" s="16"/>
      <c r="D486" s="17"/>
      <c r="E486" s="1"/>
      <c r="F486" s="1"/>
      <c r="G486" s="1"/>
      <c r="H486" s="1"/>
    </row>
    <row r="487" spans="1:8" ht="14.5" x14ac:dyDescent="0.35">
      <c r="A487" s="15"/>
      <c r="B487" s="1"/>
      <c r="C487" s="16"/>
      <c r="D487" s="17"/>
      <c r="E487" s="2"/>
      <c r="F487" s="1"/>
      <c r="G487" s="1"/>
      <c r="H487" s="1"/>
    </row>
    <row r="488" spans="1:8" ht="14.5" x14ac:dyDescent="0.35">
      <c r="A488" s="15"/>
      <c r="B488" s="1"/>
      <c r="C488" s="16"/>
      <c r="D488" s="17"/>
      <c r="E488" s="2"/>
      <c r="F488" s="1"/>
      <c r="G488" s="1"/>
      <c r="H488" s="1"/>
    </row>
    <row r="489" spans="1:8" ht="14.5" x14ac:dyDescent="0.35">
      <c r="A489" s="15"/>
      <c r="B489" s="1"/>
      <c r="C489" s="16"/>
      <c r="D489" s="17"/>
      <c r="E489" s="1"/>
      <c r="F489" s="1"/>
      <c r="G489" s="1"/>
      <c r="H489" s="1"/>
    </row>
    <row r="490" spans="1:8" ht="14.5" x14ac:dyDescent="0.35">
      <c r="A490" s="15"/>
      <c r="B490" s="1"/>
      <c r="C490" s="16"/>
      <c r="D490" s="17"/>
      <c r="E490" s="1"/>
      <c r="F490" s="1"/>
      <c r="G490" s="1"/>
      <c r="H490" s="1"/>
    </row>
    <row r="491" spans="1:8" ht="14.5" x14ac:dyDescent="0.35">
      <c r="A491" s="15"/>
      <c r="B491" s="1"/>
      <c r="C491" s="16"/>
      <c r="D491" s="17"/>
      <c r="E491" s="1"/>
      <c r="F491" s="1"/>
      <c r="G491" s="1"/>
      <c r="H491" s="1"/>
    </row>
    <row r="492" spans="1:8" ht="14.5" x14ac:dyDescent="0.35">
      <c r="A492" s="15"/>
      <c r="B492" s="1"/>
      <c r="C492" s="16"/>
      <c r="D492" s="17"/>
      <c r="E492" s="2"/>
      <c r="F492" s="1"/>
      <c r="G492" s="1"/>
      <c r="H492" s="1"/>
    </row>
    <row r="493" spans="1:8" ht="14.5" x14ac:dyDescent="0.35">
      <c r="A493" s="15"/>
      <c r="B493" s="1"/>
      <c r="C493" s="16"/>
      <c r="D493" s="17"/>
      <c r="E493" s="1"/>
      <c r="F493" s="1"/>
      <c r="G493" s="1"/>
      <c r="H493" s="1"/>
    </row>
    <row r="494" spans="1:8" ht="14.5" x14ac:dyDescent="0.35">
      <c r="A494" s="15"/>
      <c r="B494" s="1"/>
      <c r="C494" s="16"/>
      <c r="D494" s="17"/>
      <c r="E494" s="1"/>
      <c r="F494" s="1"/>
      <c r="G494" s="1"/>
      <c r="H494" s="1"/>
    </row>
    <row r="495" spans="1:8" ht="14.5" x14ac:dyDescent="0.35">
      <c r="A495" s="15"/>
      <c r="B495" s="1"/>
      <c r="C495" s="16"/>
      <c r="D495" s="17"/>
      <c r="E495" s="1"/>
      <c r="F495" s="1"/>
      <c r="G495" s="1"/>
      <c r="H495" s="1"/>
    </row>
    <row r="496" spans="1:8" ht="14.5" x14ac:dyDescent="0.35">
      <c r="A496" s="15"/>
      <c r="B496" s="1"/>
      <c r="C496" s="16"/>
      <c r="D496" s="17"/>
      <c r="E496" s="1"/>
      <c r="F496" s="1"/>
      <c r="G496" s="1"/>
      <c r="H496" s="1"/>
    </row>
    <row r="497" spans="1:8" ht="14.5" x14ac:dyDescent="0.35">
      <c r="A497" s="15"/>
      <c r="B497" s="1"/>
      <c r="C497" s="16"/>
      <c r="D497" s="17"/>
      <c r="E497" s="1"/>
      <c r="F497" s="1"/>
      <c r="G497" s="1"/>
      <c r="H497" s="1"/>
    </row>
    <row r="498" spans="1:8" ht="14.5" x14ac:dyDescent="0.35">
      <c r="A498" s="15"/>
      <c r="B498" s="1"/>
      <c r="C498" s="16"/>
      <c r="D498" s="17"/>
      <c r="E498" s="2"/>
      <c r="F498" s="1"/>
      <c r="G498" s="1"/>
      <c r="H498" s="1"/>
    </row>
    <row r="499" spans="1:8" ht="14.5" x14ac:dyDescent="0.35">
      <c r="A499" s="15"/>
      <c r="B499" s="1"/>
      <c r="C499" s="16"/>
      <c r="D499" s="17"/>
      <c r="E499" s="1"/>
      <c r="F499" s="1"/>
      <c r="G499" s="1"/>
      <c r="H499" s="1"/>
    </row>
    <row r="500" spans="1:8" ht="14.5" x14ac:dyDescent="0.35">
      <c r="A500" s="15"/>
      <c r="B500" s="1"/>
      <c r="C500" s="16"/>
      <c r="D500" s="17"/>
      <c r="E500" s="1"/>
      <c r="F500" s="1"/>
      <c r="G500" s="1"/>
      <c r="H500" s="1"/>
    </row>
    <row r="501" spans="1:8" ht="14.5" x14ac:dyDescent="0.35">
      <c r="A501" s="15"/>
      <c r="B501" s="1"/>
      <c r="C501" s="16"/>
      <c r="D501" s="17"/>
      <c r="E501" s="1"/>
      <c r="F501" s="1"/>
      <c r="G501" s="1"/>
      <c r="H501" s="1"/>
    </row>
    <row r="502" spans="1:8" ht="14.5" x14ac:dyDescent="0.35">
      <c r="A502" s="15"/>
      <c r="B502" s="1"/>
      <c r="C502" s="16"/>
      <c r="D502" s="17"/>
      <c r="E502" s="3"/>
      <c r="F502" s="1"/>
      <c r="G502" s="1"/>
      <c r="H502" s="1"/>
    </row>
    <row r="503" spans="1:8" ht="14.5" x14ac:dyDescent="0.35">
      <c r="A503" s="15"/>
      <c r="B503" s="1"/>
      <c r="C503" s="16"/>
      <c r="D503" s="17"/>
      <c r="E503" s="1"/>
      <c r="F503" s="1"/>
      <c r="G503" s="1"/>
      <c r="H503" s="1"/>
    </row>
    <row r="504" spans="1:8" ht="14.5" x14ac:dyDescent="0.35">
      <c r="A504" s="15"/>
      <c r="B504" s="1"/>
      <c r="C504" s="16"/>
      <c r="D504" s="17"/>
      <c r="E504" s="2"/>
      <c r="F504" s="1"/>
      <c r="G504" s="1"/>
      <c r="H504" s="1"/>
    </row>
    <row r="505" spans="1:8" ht="14.5" x14ac:dyDescent="0.35">
      <c r="A505" s="15"/>
      <c r="B505" s="1"/>
      <c r="C505" s="16"/>
      <c r="D505" s="17"/>
      <c r="E505" s="1"/>
      <c r="F505" s="1"/>
      <c r="G505" s="1"/>
      <c r="H505" s="1"/>
    </row>
    <row r="506" spans="1:8" ht="14.5" x14ac:dyDescent="0.35">
      <c r="A506" s="15"/>
      <c r="B506" s="1"/>
      <c r="C506" s="16"/>
      <c r="D506" s="17"/>
      <c r="E506" s="1"/>
      <c r="F506" s="1"/>
      <c r="G506" s="1"/>
      <c r="H506" s="1"/>
    </row>
    <row r="507" spans="1:8" ht="14.5" x14ac:dyDescent="0.35">
      <c r="A507" s="15"/>
      <c r="B507" s="1"/>
      <c r="C507" s="16"/>
      <c r="D507" s="17"/>
      <c r="E507" s="1"/>
      <c r="F507" s="1"/>
      <c r="G507" s="1"/>
      <c r="H507" s="1"/>
    </row>
    <row r="508" spans="1:8" ht="14.5" x14ac:dyDescent="0.35">
      <c r="A508" s="15"/>
      <c r="B508" s="1"/>
      <c r="C508" s="16"/>
      <c r="D508" s="17"/>
      <c r="E508" s="1"/>
      <c r="F508" s="1"/>
      <c r="G508" s="1"/>
      <c r="H508" s="1"/>
    </row>
    <row r="509" spans="1:8" ht="14.5" x14ac:dyDescent="0.35">
      <c r="A509" s="15"/>
      <c r="B509" s="1"/>
      <c r="C509" s="16"/>
      <c r="D509" s="17"/>
      <c r="E509" s="2"/>
      <c r="F509" s="1"/>
      <c r="G509" s="1"/>
      <c r="H509" s="1"/>
    </row>
    <row r="510" spans="1:8" ht="14.5" x14ac:dyDescent="0.35">
      <c r="A510" s="15"/>
      <c r="B510" s="1"/>
      <c r="C510" s="16"/>
      <c r="D510" s="17"/>
      <c r="E510" s="1"/>
      <c r="F510" s="1"/>
      <c r="G510" s="1"/>
      <c r="H510" s="1"/>
    </row>
    <row r="511" spans="1:8" ht="14.5" x14ac:dyDescent="0.35">
      <c r="A511" s="15"/>
      <c r="B511" s="1"/>
      <c r="C511" s="16"/>
      <c r="D511" s="17"/>
      <c r="E511" s="1"/>
      <c r="F511" s="1"/>
      <c r="G511" s="1"/>
      <c r="H511" s="1"/>
    </row>
    <row r="512" spans="1:8" ht="14.5" x14ac:dyDescent="0.35">
      <c r="A512" s="15"/>
      <c r="B512" s="1"/>
      <c r="C512" s="16"/>
      <c r="D512" s="17"/>
      <c r="E512" s="1"/>
      <c r="F512" s="1"/>
      <c r="G512" s="1"/>
      <c r="H512" s="1"/>
    </row>
    <row r="513" spans="1:8" ht="14.5" x14ac:dyDescent="0.35">
      <c r="A513" s="15"/>
      <c r="B513" s="1"/>
      <c r="C513" s="16"/>
      <c r="D513" s="17"/>
      <c r="E513" s="1"/>
      <c r="F513" s="1"/>
      <c r="G513" s="1"/>
      <c r="H513" s="1"/>
    </row>
    <row r="514" spans="1:8" ht="14.5" x14ac:dyDescent="0.35">
      <c r="A514" s="15"/>
      <c r="B514" s="1"/>
      <c r="C514" s="16"/>
      <c r="D514" s="17"/>
      <c r="E514" s="2"/>
      <c r="F514" s="1"/>
      <c r="G514" s="1"/>
      <c r="H514" s="1"/>
    </row>
    <row r="515" spans="1:8" ht="14.5" x14ac:dyDescent="0.35">
      <c r="A515" s="15"/>
      <c r="B515" s="1"/>
      <c r="C515" s="16"/>
      <c r="D515" s="17"/>
      <c r="E515" s="1"/>
      <c r="F515" s="1"/>
      <c r="G515" s="1"/>
      <c r="H515" s="1"/>
    </row>
    <row r="516" spans="1:8" ht="14.5" x14ac:dyDescent="0.35">
      <c r="A516" s="15"/>
      <c r="B516" s="1"/>
      <c r="C516" s="16"/>
      <c r="D516" s="17"/>
      <c r="E516" s="2"/>
      <c r="F516" s="1"/>
      <c r="G516" s="1"/>
      <c r="H516" s="1"/>
    </row>
    <row r="517" spans="1:8" ht="14.5" x14ac:dyDescent="0.35">
      <c r="A517" s="15"/>
      <c r="B517" s="1"/>
      <c r="C517" s="16"/>
      <c r="D517" s="17"/>
      <c r="E517" s="2"/>
      <c r="F517" s="1"/>
      <c r="G517" s="1"/>
      <c r="H517" s="1"/>
    </row>
    <row r="518" spans="1:8" ht="14.5" x14ac:dyDescent="0.35">
      <c r="A518" s="15"/>
      <c r="B518" s="1"/>
      <c r="C518" s="16"/>
      <c r="D518" s="17"/>
      <c r="E518" s="1"/>
      <c r="F518" s="1"/>
      <c r="G518" s="1"/>
      <c r="H518" s="1"/>
    </row>
    <row r="519" spans="1:8" ht="14.5" x14ac:dyDescent="0.35">
      <c r="A519" s="15"/>
      <c r="B519" s="1"/>
      <c r="C519" s="16"/>
      <c r="D519" s="17"/>
      <c r="E519" s="2"/>
      <c r="F519" s="1"/>
      <c r="G519" s="1"/>
      <c r="H519" s="1"/>
    </row>
    <row r="520" spans="1:8" ht="14.5" x14ac:dyDescent="0.35">
      <c r="A520" s="15"/>
      <c r="B520" s="1"/>
      <c r="C520" s="16"/>
      <c r="D520" s="17"/>
      <c r="E520" s="1"/>
      <c r="F520" s="1"/>
      <c r="G520" s="1"/>
      <c r="H520" s="1"/>
    </row>
    <row r="521" spans="1:8" ht="14.5" x14ac:dyDescent="0.35">
      <c r="A521" s="15"/>
      <c r="B521" s="1"/>
      <c r="C521" s="16"/>
      <c r="D521" s="17"/>
      <c r="E521" s="2"/>
      <c r="F521" s="1"/>
      <c r="G521" s="1"/>
      <c r="H521" s="1"/>
    </row>
    <row r="522" spans="1:8" ht="14.5" x14ac:dyDescent="0.35">
      <c r="A522" s="15"/>
      <c r="B522" s="1"/>
      <c r="C522" s="16"/>
      <c r="D522" s="17"/>
      <c r="E522" s="2"/>
      <c r="F522" s="1"/>
      <c r="G522" s="1"/>
      <c r="H522" s="1"/>
    </row>
    <row r="523" spans="1:8" ht="14.5" x14ac:dyDescent="0.35">
      <c r="A523" s="15"/>
      <c r="B523" s="1"/>
      <c r="C523" s="16"/>
      <c r="D523" s="17"/>
      <c r="E523" s="1"/>
      <c r="F523" s="1"/>
      <c r="G523" s="1"/>
      <c r="H523" s="1"/>
    </row>
    <row r="524" spans="1:8" ht="14.5" x14ac:dyDescent="0.35">
      <c r="A524" s="15"/>
      <c r="B524" s="1"/>
      <c r="C524" s="16"/>
      <c r="D524" s="17"/>
      <c r="E524" s="1"/>
      <c r="F524" s="1"/>
      <c r="G524" s="1"/>
      <c r="H524" s="1"/>
    </row>
    <row r="525" spans="1:8" ht="14.5" x14ac:dyDescent="0.35">
      <c r="A525" s="15"/>
      <c r="B525" s="1"/>
      <c r="C525" s="16"/>
      <c r="D525" s="17"/>
      <c r="E525" s="1"/>
      <c r="F525" s="1"/>
      <c r="G525" s="1"/>
      <c r="H525" s="1"/>
    </row>
    <row r="526" spans="1:8" ht="14.5" x14ac:dyDescent="0.35">
      <c r="A526" s="15"/>
      <c r="B526" s="1"/>
      <c r="C526" s="16"/>
      <c r="D526" s="17"/>
      <c r="E526" s="1"/>
      <c r="F526" s="1"/>
      <c r="G526" s="1"/>
      <c r="H526" s="1"/>
    </row>
    <row r="527" spans="1:8" ht="14.5" x14ac:dyDescent="0.35">
      <c r="A527" s="15"/>
      <c r="B527" s="1"/>
      <c r="C527" s="16"/>
      <c r="D527" s="17"/>
      <c r="E527" s="2"/>
      <c r="F527" s="1"/>
      <c r="G527" s="1"/>
      <c r="H527" s="1"/>
    </row>
    <row r="528" spans="1:8" ht="14.5" x14ac:dyDescent="0.35">
      <c r="A528" s="15"/>
      <c r="B528" s="1"/>
      <c r="C528" s="16"/>
      <c r="D528" s="17"/>
      <c r="E528" s="1"/>
      <c r="F528" s="1"/>
      <c r="G528" s="1"/>
      <c r="H528" s="1"/>
    </row>
    <row r="529" spans="1:8" ht="14.5" x14ac:dyDescent="0.35">
      <c r="A529" s="15"/>
      <c r="B529" s="1"/>
      <c r="C529" s="16"/>
      <c r="D529" s="17"/>
      <c r="E529" s="1"/>
      <c r="F529" s="1"/>
      <c r="G529" s="1"/>
      <c r="H529" s="1"/>
    </row>
    <row r="530" spans="1:8" ht="14.5" x14ac:dyDescent="0.35">
      <c r="A530" s="15"/>
      <c r="B530" s="1"/>
      <c r="C530" s="16"/>
      <c r="D530" s="17"/>
      <c r="E530" s="1"/>
      <c r="F530" s="1"/>
      <c r="G530" s="1"/>
      <c r="H530" s="1"/>
    </row>
    <row r="531" spans="1:8" ht="14.5" x14ac:dyDescent="0.35">
      <c r="A531" s="15"/>
      <c r="B531" s="1"/>
      <c r="C531" s="16"/>
      <c r="D531" s="17"/>
      <c r="E531" s="1"/>
      <c r="F531" s="1"/>
      <c r="G531" s="1"/>
      <c r="H531" s="1"/>
    </row>
    <row r="532" spans="1:8" ht="14.5" x14ac:dyDescent="0.35">
      <c r="A532" s="15"/>
      <c r="B532" s="1"/>
      <c r="C532" s="16"/>
      <c r="D532" s="17"/>
      <c r="E532" s="2"/>
      <c r="F532" s="1"/>
      <c r="G532" s="1"/>
      <c r="H532" s="1"/>
    </row>
    <row r="533" spans="1:8" ht="14.5" x14ac:dyDescent="0.35">
      <c r="A533" s="15"/>
      <c r="B533" s="1"/>
      <c r="C533" s="16"/>
      <c r="D533" s="17"/>
      <c r="E533" s="1"/>
      <c r="F533" s="1"/>
      <c r="G533" s="1"/>
      <c r="H533" s="1"/>
    </row>
    <row r="534" spans="1:8" ht="14.5" x14ac:dyDescent="0.35">
      <c r="A534" s="15"/>
      <c r="B534" s="1"/>
      <c r="C534" s="16"/>
      <c r="D534" s="17"/>
      <c r="E534" s="2"/>
      <c r="F534" s="1"/>
      <c r="G534" s="1"/>
      <c r="H534" s="1"/>
    </row>
    <row r="535" spans="1:8" ht="14.5" x14ac:dyDescent="0.35">
      <c r="A535" s="15"/>
      <c r="B535" s="1"/>
      <c r="C535" s="16"/>
      <c r="D535" s="17"/>
      <c r="E535" s="1"/>
      <c r="F535" s="1"/>
      <c r="G535" s="1"/>
      <c r="H535" s="1"/>
    </row>
    <row r="536" spans="1:8" ht="14.5" x14ac:dyDescent="0.35">
      <c r="A536" s="15"/>
      <c r="B536" s="1"/>
      <c r="C536" s="16"/>
      <c r="D536" s="17"/>
      <c r="E536" s="1"/>
      <c r="F536" s="1"/>
      <c r="G536" s="1"/>
      <c r="H536" s="1"/>
    </row>
    <row r="537" spans="1:8" ht="14.5" x14ac:dyDescent="0.35">
      <c r="A537" s="15"/>
      <c r="B537" s="1"/>
      <c r="C537" s="16"/>
      <c r="D537" s="17"/>
      <c r="E537" s="1"/>
      <c r="F537" s="1"/>
      <c r="G537" s="1"/>
      <c r="H537" s="1"/>
    </row>
    <row r="538" spans="1:8" ht="14.5" x14ac:dyDescent="0.35">
      <c r="A538" s="15"/>
      <c r="B538" s="1"/>
      <c r="C538" s="16"/>
      <c r="D538" s="17"/>
      <c r="E538" s="1"/>
      <c r="F538" s="1"/>
      <c r="G538" s="1"/>
      <c r="H538" s="1"/>
    </row>
    <row r="539" spans="1:8" ht="14.5" x14ac:dyDescent="0.35">
      <c r="A539" s="15"/>
      <c r="B539" s="1"/>
      <c r="C539" s="16"/>
      <c r="D539" s="17"/>
      <c r="E539" s="2"/>
      <c r="F539" s="1"/>
      <c r="G539" s="1"/>
      <c r="H539" s="1"/>
    </row>
    <row r="540" spans="1:8" ht="14.5" x14ac:dyDescent="0.35">
      <c r="A540" s="15"/>
      <c r="B540" s="1"/>
      <c r="C540" s="16"/>
      <c r="D540" s="17"/>
      <c r="E540" s="1"/>
      <c r="F540" s="1"/>
      <c r="G540" s="1"/>
      <c r="H540" s="1"/>
    </row>
    <row r="541" spans="1:8" ht="14.5" x14ac:dyDescent="0.35">
      <c r="A541" s="15"/>
      <c r="B541" s="1"/>
      <c r="C541" s="16"/>
      <c r="D541" s="17"/>
      <c r="E541" s="1"/>
      <c r="F541" s="1"/>
      <c r="G541" s="1"/>
      <c r="H541" s="1"/>
    </row>
    <row r="542" spans="1:8" ht="14.5" x14ac:dyDescent="0.35">
      <c r="A542" s="15"/>
      <c r="B542" s="1"/>
      <c r="C542" s="16"/>
      <c r="D542" s="17"/>
      <c r="E542" s="2"/>
      <c r="F542" s="1"/>
      <c r="G542" s="1"/>
      <c r="H542" s="1"/>
    </row>
    <row r="543" spans="1:8" ht="14.5" x14ac:dyDescent="0.35">
      <c r="A543" s="15"/>
      <c r="B543" s="1"/>
      <c r="C543" s="16"/>
      <c r="D543" s="17"/>
      <c r="E543" s="1"/>
      <c r="F543" s="1"/>
      <c r="G543" s="1"/>
      <c r="H543" s="1"/>
    </row>
    <row r="544" spans="1:8" ht="14.5" x14ac:dyDescent="0.35">
      <c r="A544" s="15"/>
      <c r="B544" s="1"/>
      <c r="C544" s="16"/>
      <c r="D544" s="17"/>
      <c r="E544" s="1"/>
      <c r="F544" s="1"/>
      <c r="G544" s="1"/>
      <c r="H544" s="1"/>
    </row>
    <row r="545" spans="1:8" ht="14.5" x14ac:dyDescent="0.35">
      <c r="A545" s="15"/>
      <c r="B545" s="1"/>
      <c r="C545" s="16"/>
      <c r="D545" s="17"/>
      <c r="E545" s="2"/>
      <c r="F545" s="1"/>
      <c r="G545" s="1"/>
      <c r="H545" s="1"/>
    </row>
    <row r="546" spans="1:8" ht="14.5" x14ac:dyDescent="0.35">
      <c r="A546" s="15"/>
      <c r="B546" s="1"/>
      <c r="C546" s="16"/>
      <c r="D546" s="17"/>
      <c r="E546" s="2"/>
      <c r="F546" s="1"/>
      <c r="G546" s="1"/>
      <c r="H546" s="1"/>
    </row>
    <row r="547" spans="1:8" ht="14.5" x14ac:dyDescent="0.35">
      <c r="A547" s="15"/>
      <c r="B547" s="1"/>
      <c r="C547" s="16"/>
      <c r="D547" s="17"/>
      <c r="E547" s="2"/>
      <c r="F547" s="1"/>
      <c r="G547" s="1"/>
      <c r="H547" s="1"/>
    </row>
    <row r="548" spans="1:8" ht="14.5" x14ac:dyDescent="0.35">
      <c r="A548" s="15"/>
      <c r="B548" s="1"/>
      <c r="C548" s="16"/>
      <c r="D548" s="17"/>
      <c r="E548" s="2"/>
      <c r="F548" s="1"/>
      <c r="G548" s="1"/>
      <c r="H548" s="1"/>
    </row>
    <row r="549" spans="1:8" ht="14.5" x14ac:dyDescent="0.35">
      <c r="A549" s="15"/>
      <c r="B549" s="1"/>
      <c r="C549" s="16"/>
      <c r="D549" s="17"/>
      <c r="E549" s="2"/>
      <c r="F549" s="1"/>
      <c r="G549" s="1"/>
      <c r="H549" s="1"/>
    </row>
    <row r="550" spans="1:8" ht="14.5" x14ac:dyDescent="0.35">
      <c r="A550" s="15"/>
      <c r="B550" s="1"/>
      <c r="C550" s="16"/>
      <c r="D550" s="17"/>
      <c r="E550" s="2"/>
      <c r="F550" s="1"/>
      <c r="G550" s="1"/>
      <c r="H550" s="1"/>
    </row>
    <row r="551" spans="1:8" ht="14.5" x14ac:dyDescent="0.35">
      <c r="A551" s="15"/>
      <c r="B551" s="1"/>
      <c r="C551" s="16"/>
      <c r="D551" s="17"/>
      <c r="E551" s="1"/>
      <c r="F551" s="1"/>
      <c r="G551" s="1"/>
      <c r="H551" s="1"/>
    </row>
    <row r="552" spans="1:8" ht="14.5" x14ac:dyDescent="0.35">
      <c r="A552" s="15"/>
      <c r="B552" s="1"/>
      <c r="C552" s="16"/>
      <c r="D552" s="17"/>
      <c r="E552" s="1"/>
      <c r="F552" s="1"/>
      <c r="G552" s="1"/>
      <c r="H552" s="1"/>
    </row>
    <row r="553" spans="1:8" ht="14.5" x14ac:dyDescent="0.35">
      <c r="A553" s="15"/>
      <c r="B553" s="1"/>
      <c r="C553" s="16"/>
      <c r="D553" s="17"/>
      <c r="E553" s="2"/>
      <c r="F553" s="1"/>
      <c r="G553" s="1"/>
      <c r="H553" s="1"/>
    </row>
    <row r="554" spans="1:8" ht="14.5" x14ac:dyDescent="0.35">
      <c r="A554" s="15"/>
      <c r="B554" s="1"/>
      <c r="C554" s="16"/>
      <c r="D554" s="17"/>
      <c r="E554" s="1"/>
      <c r="F554" s="1"/>
      <c r="G554" s="1"/>
      <c r="H554" s="1"/>
    </row>
    <row r="555" spans="1:8" ht="14.5" x14ac:dyDescent="0.35">
      <c r="A555" s="15"/>
      <c r="B555" s="1"/>
      <c r="C555" s="16"/>
      <c r="D555" s="17"/>
      <c r="E555" s="2"/>
      <c r="F555" s="1"/>
      <c r="G555" s="1"/>
      <c r="H555" s="1"/>
    </row>
    <row r="556" spans="1:8" ht="14.5" x14ac:dyDescent="0.35">
      <c r="A556" s="15"/>
      <c r="B556" s="1"/>
      <c r="C556" s="16"/>
      <c r="D556" s="17"/>
      <c r="E556" s="1"/>
      <c r="F556" s="1"/>
      <c r="G556" s="1"/>
      <c r="H556" s="1"/>
    </row>
    <row r="557" spans="1:8" ht="14.5" x14ac:dyDescent="0.35">
      <c r="A557" s="15"/>
      <c r="B557" s="1"/>
      <c r="C557" s="16"/>
      <c r="D557" s="17"/>
      <c r="E557" s="1"/>
      <c r="F557" s="1"/>
      <c r="G557" s="1"/>
      <c r="H557" s="1"/>
    </row>
    <row r="558" spans="1:8" ht="14.5" x14ac:dyDescent="0.35">
      <c r="A558" s="15"/>
      <c r="B558" s="1"/>
      <c r="C558" s="16"/>
      <c r="D558" s="17"/>
      <c r="E558" s="3"/>
      <c r="F558" s="1"/>
      <c r="G558" s="1"/>
      <c r="H558" s="1"/>
    </row>
    <row r="559" spans="1:8" ht="14.5" x14ac:dyDescent="0.35">
      <c r="A559" s="15"/>
      <c r="B559" s="1"/>
      <c r="C559" s="16"/>
      <c r="D559" s="17"/>
      <c r="E559" s="1"/>
      <c r="F559" s="1"/>
      <c r="G559" s="1"/>
      <c r="H559" s="1"/>
    </row>
    <row r="560" spans="1:8" ht="14.5" x14ac:dyDescent="0.35">
      <c r="A560" s="15"/>
      <c r="B560" s="1"/>
      <c r="C560" s="16"/>
      <c r="D560" s="17"/>
      <c r="E560" s="1"/>
      <c r="F560" s="1"/>
      <c r="G560" s="1"/>
      <c r="H560" s="1"/>
    </row>
    <row r="561" spans="1:8" ht="14.5" x14ac:dyDescent="0.35">
      <c r="A561" s="15"/>
      <c r="B561" s="1"/>
      <c r="C561" s="16"/>
      <c r="D561" s="17"/>
      <c r="E561" s="1"/>
      <c r="F561" s="1"/>
      <c r="G561" s="1"/>
      <c r="H561" s="1"/>
    </row>
    <row r="562" spans="1:8" ht="14.5" x14ac:dyDescent="0.35">
      <c r="A562" s="15"/>
      <c r="B562" s="1"/>
      <c r="C562" s="16"/>
      <c r="D562" s="17"/>
      <c r="E562" s="2"/>
      <c r="F562" s="1"/>
      <c r="G562" s="1"/>
      <c r="H562" s="1"/>
    </row>
    <row r="563" spans="1:8" ht="14.5" x14ac:dyDescent="0.35">
      <c r="A563" s="15"/>
      <c r="B563" s="1"/>
      <c r="C563" s="16"/>
      <c r="D563" s="17"/>
      <c r="E563" s="1"/>
      <c r="F563" s="1"/>
      <c r="G563" s="1"/>
      <c r="H563" s="1"/>
    </row>
    <row r="564" spans="1:8" ht="14.5" x14ac:dyDescent="0.35">
      <c r="A564" s="15"/>
      <c r="B564" s="1"/>
      <c r="C564" s="16"/>
      <c r="D564" s="17"/>
      <c r="E564" s="3"/>
      <c r="F564" s="1"/>
      <c r="G564" s="1"/>
      <c r="H564" s="1"/>
    </row>
    <row r="565" spans="1:8" ht="14.5" x14ac:dyDescent="0.35">
      <c r="A565" s="15"/>
      <c r="B565" s="1"/>
      <c r="C565" s="16"/>
      <c r="D565" s="17"/>
      <c r="E565" s="2"/>
      <c r="F565" s="1"/>
      <c r="G565" s="1"/>
      <c r="H565" s="1"/>
    </row>
    <row r="566" spans="1:8" ht="14.5" x14ac:dyDescent="0.35">
      <c r="A566" s="15"/>
      <c r="B566" s="1"/>
      <c r="C566" s="16"/>
      <c r="D566" s="17"/>
      <c r="E566" s="1"/>
      <c r="F566" s="1"/>
      <c r="G566" s="1"/>
      <c r="H566" s="1"/>
    </row>
    <row r="567" spans="1:8" ht="14.5" x14ac:dyDescent="0.35">
      <c r="A567" s="15"/>
      <c r="B567" s="1"/>
      <c r="C567" s="16"/>
      <c r="D567" s="17"/>
      <c r="E567" s="1"/>
      <c r="F567" s="1"/>
      <c r="G567" s="1"/>
      <c r="H567" s="1"/>
    </row>
    <row r="568" spans="1:8" ht="14.5" x14ac:dyDescent="0.35">
      <c r="A568" s="15"/>
      <c r="B568" s="1"/>
      <c r="C568" s="16"/>
      <c r="D568" s="17"/>
      <c r="E568" s="2"/>
      <c r="F568" s="1"/>
      <c r="G568" s="1"/>
      <c r="H568" s="1"/>
    </row>
    <row r="569" spans="1:8" ht="14.5" x14ac:dyDescent="0.35">
      <c r="A569" s="15"/>
      <c r="B569" s="1"/>
      <c r="C569" s="16"/>
      <c r="D569" s="17"/>
      <c r="E569" s="1"/>
      <c r="F569" s="1"/>
      <c r="G569" s="1"/>
      <c r="H569" s="1"/>
    </row>
    <row r="570" spans="1:8" ht="14.5" x14ac:dyDescent="0.35">
      <c r="A570" s="15"/>
      <c r="B570" s="1"/>
      <c r="C570" s="16"/>
      <c r="D570" s="17"/>
      <c r="E570" s="1"/>
      <c r="F570" s="1"/>
      <c r="G570" s="1"/>
      <c r="H570" s="1"/>
    </row>
    <row r="571" spans="1:8" ht="14.5" x14ac:dyDescent="0.35">
      <c r="A571" s="15"/>
      <c r="B571" s="1"/>
      <c r="C571" s="16"/>
      <c r="D571" s="17"/>
      <c r="E571" s="2"/>
      <c r="F571" s="1"/>
      <c r="G571" s="1"/>
      <c r="H571" s="1"/>
    </row>
    <row r="572" spans="1:8" ht="14.5" x14ac:dyDescent="0.35">
      <c r="A572" s="15"/>
      <c r="B572" s="1"/>
      <c r="C572" s="16"/>
      <c r="D572" s="17"/>
      <c r="E572" s="1"/>
      <c r="F572" s="1"/>
      <c r="G572" s="1"/>
      <c r="H572" s="1"/>
    </row>
    <row r="573" spans="1:8" ht="14.5" x14ac:dyDescent="0.35">
      <c r="A573" s="15"/>
      <c r="B573" s="1"/>
      <c r="C573" s="16"/>
      <c r="D573" s="17"/>
      <c r="E573" s="1"/>
      <c r="F573" s="1"/>
      <c r="G573" s="1"/>
      <c r="H573" s="1"/>
    </row>
    <row r="574" spans="1:8" ht="14.5" x14ac:dyDescent="0.35">
      <c r="A574" s="15"/>
      <c r="B574" s="1"/>
      <c r="C574" s="16"/>
      <c r="D574" s="17"/>
      <c r="E574" s="1"/>
      <c r="F574" s="1"/>
      <c r="G574" s="1"/>
      <c r="H574" s="1"/>
    </row>
    <row r="575" spans="1:8" ht="14.5" x14ac:dyDescent="0.35">
      <c r="A575" s="15"/>
      <c r="B575" s="1"/>
      <c r="C575" s="16"/>
      <c r="D575" s="17"/>
      <c r="E575" s="1"/>
      <c r="F575" s="1"/>
      <c r="G575" s="1"/>
      <c r="H575" s="1"/>
    </row>
    <row r="576" spans="1:8" ht="14.5" x14ac:dyDescent="0.35">
      <c r="A576" s="15"/>
      <c r="B576" s="1"/>
      <c r="C576" s="16"/>
      <c r="D576" s="17"/>
      <c r="E576" s="1"/>
      <c r="F576" s="1"/>
      <c r="G576" s="1"/>
      <c r="H576" s="1"/>
    </row>
    <row r="577" spans="1:8" ht="14.5" x14ac:dyDescent="0.35">
      <c r="A577" s="15"/>
      <c r="B577" s="1"/>
      <c r="C577" s="16"/>
      <c r="D577" s="17"/>
      <c r="E577" s="1"/>
      <c r="F577" s="1"/>
      <c r="G577" s="1"/>
      <c r="H577" s="1"/>
    </row>
    <row r="578" spans="1:8" ht="14.5" x14ac:dyDescent="0.35">
      <c r="A578" s="15"/>
      <c r="B578" s="1"/>
      <c r="C578" s="16"/>
      <c r="D578" s="17"/>
      <c r="E578" s="1"/>
      <c r="F578" s="1"/>
      <c r="G578" s="1"/>
      <c r="H578" s="1"/>
    </row>
    <row r="579" spans="1:8" ht="14.5" x14ac:dyDescent="0.35">
      <c r="A579" s="15"/>
      <c r="B579" s="1"/>
      <c r="C579" s="16"/>
      <c r="D579" s="17"/>
      <c r="E579" s="2"/>
      <c r="F579" s="1"/>
      <c r="G579" s="1"/>
      <c r="H579" s="1"/>
    </row>
    <row r="580" spans="1:8" ht="14.5" x14ac:dyDescent="0.35">
      <c r="A580" s="15"/>
      <c r="B580" s="1"/>
      <c r="C580" s="16"/>
      <c r="D580" s="17"/>
      <c r="E580" s="1"/>
      <c r="F580" s="1"/>
      <c r="G580" s="1"/>
      <c r="H580" s="1"/>
    </row>
    <row r="581" spans="1:8" ht="14.5" x14ac:dyDescent="0.35">
      <c r="A581" s="15"/>
      <c r="B581" s="1"/>
      <c r="C581" s="16"/>
      <c r="D581" s="17"/>
      <c r="E581" s="1"/>
      <c r="F581" s="1"/>
      <c r="G581" s="1"/>
      <c r="H581" s="1"/>
    </row>
    <row r="582" spans="1:8" ht="14.5" x14ac:dyDescent="0.35">
      <c r="A582" s="15"/>
      <c r="B582" s="1"/>
      <c r="C582" s="16"/>
      <c r="D582" s="17"/>
      <c r="E582" s="2"/>
      <c r="F582" s="1"/>
      <c r="G582" s="1"/>
      <c r="H582" s="1"/>
    </row>
    <row r="583" spans="1:8" ht="14.5" x14ac:dyDescent="0.35">
      <c r="A583" s="15"/>
      <c r="B583" s="1"/>
      <c r="C583" s="16"/>
      <c r="D583" s="17"/>
      <c r="E583" s="1"/>
      <c r="F583" s="1"/>
      <c r="G583" s="1"/>
      <c r="H583" s="1"/>
    </row>
    <row r="584" spans="1:8" ht="14.5" x14ac:dyDescent="0.35">
      <c r="A584" s="15"/>
      <c r="B584" s="1"/>
      <c r="C584" s="16"/>
      <c r="D584" s="17"/>
      <c r="E584" s="2"/>
      <c r="F584" s="1"/>
      <c r="G584" s="1"/>
      <c r="H584" s="1"/>
    </row>
    <row r="585" spans="1:8" ht="14.5" x14ac:dyDescent="0.35">
      <c r="A585" s="15"/>
      <c r="B585" s="1"/>
      <c r="C585" s="16"/>
      <c r="D585" s="17"/>
      <c r="E585" s="2"/>
      <c r="F585" s="1"/>
      <c r="G585" s="1"/>
      <c r="H585" s="1"/>
    </row>
    <row r="586" spans="1:8" ht="14.5" x14ac:dyDescent="0.35">
      <c r="A586" s="15"/>
      <c r="B586" s="1"/>
      <c r="C586" s="16"/>
      <c r="D586" s="17"/>
      <c r="E586" s="1"/>
      <c r="F586" s="1"/>
      <c r="G586" s="1"/>
      <c r="H586" s="1"/>
    </row>
    <row r="587" spans="1:8" ht="14.5" x14ac:dyDescent="0.35">
      <c r="A587" s="15"/>
      <c r="B587" s="1"/>
      <c r="C587" s="16"/>
      <c r="D587" s="17"/>
      <c r="E587" s="1"/>
      <c r="F587" s="1"/>
      <c r="G587" s="1"/>
      <c r="H587" s="1"/>
    </row>
    <row r="588" spans="1:8" ht="14.5" x14ac:dyDescent="0.35">
      <c r="A588" s="15"/>
      <c r="B588" s="1"/>
      <c r="C588" s="16"/>
      <c r="D588" s="17"/>
      <c r="E588" s="1"/>
      <c r="F588" s="1"/>
      <c r="G588" s="1"/>
      <c r="H588" s="1"/>
    </row>
    <row r="589" spans="1:8" ht="14.5" x14ac:dyDescent="0.35">
      <c r="A589" s="15"/>
      <c r="B589" s="1"/>
      <c r="C589" s="16"/>
      <c r="D589" s="17"/>
      <c r="E589" s="2"/>
      <c r="F589" s="1"/>
      <c r="G589" s="1"/>
      <c r="H589" s="1"/>
    </row>
    <row r="590" spans="1:8" ht="14.5" x14ac:dyDescent="0.35">
      <c r="A590" s="15"/>
      <c r="B590" s="1"/>
      <c r="C590" s="16"/>
      <c r="D590" s="17"/>
      <c r="E590" s="1"/>
      <c r="F590" s="1"/>
      <c r="G590" s="1"/>
      <c r="H590" s="1"/>
    </row>
    <row r="591" spans="1:8" ht="14.5" x14ac:dyDescent="0.35">
      <c r="A591" s="15"/>
      <c r="B591" s="1"/>
      <c r="C591" s="16"/>
      <c r="D591" s="17"/>
      <c r="E591" s="2"/>
      <c r="F591" s="1"/>
      <c r="G591" s="1"/>
      <c r="H591" s="1"/>
    </row>
    <row r="592" spans="1:8" ht="14.5" x14ac:dyDescent="0.35">
      <c r="A592" s="15"/>
      <c r="B592" s="1"/>
      <c r="C592" s="16"/>
      <c r="D592" s="17"/>
      <c r="E592" s="2"/>
      <c r="F592" s="1"/>
      <c r="G592" s="1"/>
      <c r="H592" s="1"/>
    </row>
    <row r="593" spans="1:8" ht="14.5" x14ac:dyDescent="0.35">
      <c r="A593" s="15"/>
      <c r="B593" s="1"/>
      <c r="C593" s="16"/>
      <c r="D593" s="17"/>
      <c r="E593" s="1"/>
      <c r="F593" s="1"/>
      <c r="G593" s="1"/>
      <c r="H593" s="1"/>
    </row>
    <row r="594" spans="1:8" ht="14.5" x14ac:dyDescent="0.35">
      <c r="A594" s="15"/>
      <c r="B594" s="1"/>
      <c r="C594" s="16"/>
      <c r="D594" s="17"/>
      <c r="E594" s="1"/>
      <c r="F594" s="1"/>
      <c r="G594" s="1"/>
      <c r="H594" s="1"/>
    </row>
    <row r="595" spans="1:8" ht="14.5" x14ac:dyDescent="0.35">
      <c r="A595" s="15"/>
      <c r="B595" s="1"/>
      <c r="C595" s="16"/>
      <c r="D595" s="17"/>
      <c r="E595" s="2"/>
      <c r="F595" s="1"/>
      <c r="G595" s="1"/>
      <c r="H595" s="1"/>
    </row>
    <row r="596" spans="1:8" ht="14.5" x14ac:dyDescent="0.35">
      <c r="A596" s="15"/>
      <c r="B596" s="1"/>
      <c r="C596" s="16"/>
      <c r="D596" s="17"/>
      <c r="E596" s="2"/>
      <c r="F596" s="1"/>
      <c r="G596" s="1"/>
      <c r="H596" s="1"/>
    </row>
    <row r="597" spans="1:8" ht="14.5" x14ac:dyDescent="0.35">
      <c r="A597" s="15"/>
      <c r="B597" s="1"/>
      <c r="C597" s="16"/>
      <c r="D597" s="17"/>
      <c r="E597" s="2"/>
      <c r="F597" s="1"/>
      <c r="G597" s="1"/>
      <c r="H597" s="1"/>
    </row>
    <row r="598" spans="1:8" ht="14.5" x14ac:dyDescent="0.35">
      <c r="A598" s="15"/>
      <c r="B598" s="1"/>
      <c r="C598" s="16"/>
      <c r="D598" s="17"/>
      <c r="E598" s="1"/>
      <c r="F598" s="1"/>
      <c r="G598" s="1"/>
      <c r="H598" s="1"/>
    </row>
    <row r="599" spans="1:8" ht="14.5" x14ac:dyDescent="0.35">
      <c r="A599" s="15"/>
      <c r="B599" s="1"/>
      <c r="C599" s="16"/>
      <c r="D599" s="17"/>
      <c r="E599" s="1"/>
      <c r="F599" s="1"/>
      <c r="G599" s="1"/>
      <c r="H599" s="1"/>
    </row>
    <row r="600" spans="1:8" ht="14.5" x14ac:dyDescent="0.35">
      <c r="A600" s="15"/>
      <c r="B600" s="1"/>
      <c r="C600" s="16"/>
      <c r="D600" s="17"/>
      <c r="E600" s="1"/>
      <c r="F600" s="1"/>
      <c r="G600" s="1"/>
      <c r="H600" s="1"/>
    </row>
    <row r="601" spans="1:8" ht="14.5" x14ac:dyDescent="0.35">
      <c r="A601" s="15"/>
      <c r="B601" s="1"/>
      <c r="C601" s="16"/>
      <c r="D601" s="17"/>
      <c r="E601" s="1"/>
      <c r="F601" s="1"/>
      <c r="G601" s="1"/>
      <c r="H601" s="1"/>
    </row>
    <row r="602" spans="1:8" ht="14.5" x14ac:dyDescent="0.35">
      <c r="A602" s="15"/>
      <c r="B602" s="1"/>
      <c r="C602" s="16"/>
      <c r="D602" s="17"/>
      <c r="E602" s="1"/>
      <c r="F602" s="1"/>
      <c r="G602" s="1"/>
      <c r="H602" s="1"/>
    </row>
    <row r="603" spans="1:8" ht="14.5" x14ac:dyDescent="0.35">
      <c r="A603" s="15"/>
      <c r="B603" s="1"/>
      <c r="C603" s="16"/>
      <c r="D603" s="17"/>
      <c r="E603" s="1"/>
      <c r="F603" s="1"/>
      <c r="G603" s="1"/>
      <c r="H603" s="1"/>
    </row>
    <row r="604" spans="1:8" ht="14.5" x14ac:dyDescent="0.35">
      <c r="A604" s="15"/>
      <c r="B604" s="1"/>
      <c r="C604" s="16"/>
      <c r="D604" s="17"/>
      <c r="E604" s="1"/>
      <c r="F604" s="1"/>
      <c r="G604" s="1"/>
      <c r="H604" s="1"/>
    </row>
    <row r="605" spans="1:8" ht="14.5" x14ac:dyDescent="0.35">
      <c r="A605" s="15"/>
      <c r="B605" s="1"/>
      <c r="C605" s="16"/>
      <c r="D605" s="17"/>
      <c r="E605" s="1"/>
      <c r="F605" s="1"/>
      <c r="G605" s="1"/>
      <c r="H605" s="1"/>
    </row>
    <row r="606" spans="1:8" ht="14.5" x14ac:dyDescent="0.35">
      <c r="A606" s="15"/>
      <c r="B606" s="1"/>
      <c r="C606" s="16"/>
      <c r="D606" s="17"/>
      <c r="E606" s="1"/>
      <c r="F606" s="1"/>
      <c r="G606" s="1"/>
      <c r="H606" s="1"/>
    </row>
    <row r="607" spans="1:8" ht="14.5" x14ac:dyDescent="0.35">
      <c r="A607" s="15"/>
      <c r="B607" s="1"/>
      <c r="C607" s="16"/>
      <c r="D607" s="17"/>
      <c r="E607" s="1"/>
      <c r="F607" s="1"/>
      <c r="G607" s="1"/>
      <c r="H607" s="1"/>
    </row>
    <row r="608" spans="1:8" ht="14.5" x14ac:dyDescent="0.35">
      <c r="A608" s="15"/>
      <c r="B608" s="1"/>
      <c r="C608" s="16"/>
      <c r="D608" s="17"/>
      <c r="E608" s="2"/>
      <c r="F608" s="1"/>
      <c r="G608" s="1"/>
      <c r="H608" s="1"/>
    </row>
    <row r="609" spans="1:8" ht="14.5" x14ac:dyDescent="0.35">
      <c r="A609" s="15"/>
      <c r="B609" s="1"/>
      <c r="C609" s="16"/>
      <c r="D609" s="17"/>
      <c r="E609" s="2"/>
      <c r="F609" s="1"/>
      <c r="G609" s="1"/>
      <c r="H609" s="1"/>
    </row>
    <row r="610" spans="1:8" ht="14.5" x14ac:dyDescent="0.35">
      <c r="A610" s="15"/>
      <c r="B610" s="1"/>
      <c r="C610" s="16"/>
      <c r="D610" s="17"/>
      <c r="E610" s="1"/>
      <c r="F610" s="1"/>
      <c r="G610" s="1"/>
      <c r="H610" s="1"/>
    </row>
    <row r="611" spans="1:8" ht="14.5" x14ac:dyDescent="0.35">
      <c r="A611" s="15"/>
      <c r="B611" s="1"/>
      <c r="C611" s="16"/>
      <c r="D611" s="17"/>
      <c r="E611" s="2"/>
      <c r="F611" s="1"/>
      <c r="G611" s="1"/>
      <c r="H611" s="1"/>
    </row>
    <row r="612" spans="1:8" ht="14.5" x14ac:dyDescent="0.35">
      <c r="A612" s="15"/>
      <c r="B612" s="1"/>
      <c r="C612" s="16"/>
      <c r="D612" s="17"/>
      <c r="E612" s="1"/>
      <c r="F612" s="1"/>
      <c r="G612" s="1"/>
      <c r="H612" s="1"/>
    </row>
    <row r="613" spans="1:8" ht="14.5" x14ac:dyDescent="0.35">
      <c r="A613" s="15"/>
      <c r="B613" s="1"/>
      <c r="C613" s="16"/>
      <c r="D613" s="17"/>
      <c r="E613" s="1"/>
      <c r="F613" s="1"/>
      <c r="G613" s="1"/>
      <c r="H613" s="1"/>
    </row>
    <row r="614" spans="1:8" ht="14.5" x14ac:dyDescent="0.35">
      <c r="A614" s="15"/>
      <c r="B614" s="1"/>
      <c r="C614" s="16"/>
      <c r="D614" s="17"/>
      <c r="E614" s="1"/>
      <c r="F614" s="1"/>
      <c r="G614" s="1"/>
      <c r="H614" s="1"/>
    </row>
    <row r="615" spans="1:8" ht="14.5" x14ac:dyDescent="0.35">
      <c r="A615" s="15"/>
      <c r="B615" s="1"/>
      <c r="C615" s="16"/>
      <c r="D615" s="17"/>
      <c r="E615" s="2"/>
      <c r="F615" s="1"/>
      <c r="G615" s="1"/>
      <c r="H615" s="1"/>
    </row>
    <row r="616" spans="1:8" ht="14.5" x14ac:dyDescent="0.35">
      <c r="A616" s="15"/>
      <c r="B616" s="1"/>
      <c r="C616" s="16"/>
      <c r="D616" s="17"/>
      <c r="E616" s="2"/>
      <c r="F616" s="1"/>
      <c r="G616" s="1"/>
      <c r="H616" s="1"/>
    </row>
    <row r="617" spans="1:8" ht="14.5" x14ac:dyDescent="0.35">
      <c r="A617" s="15"/>
      <c r="B617" s="1"/>
      <c r="C617" s="16"/>
      <c r="D617" s="17"/>
      <c r="E617" s="1"/>
      <c r="F617" s="1"/>
      <c r="G617" s="1"/>
      <c r="H617" s="1"/>
    </row>
    <row r="618" spans="1:8" ht="14.5" x14ac:dyDescent="0.35">
      <c r="A618" s="15"/>
      <c r="B618" s="1"/>
      <c r="C618" s="16"/>
      <c r="D618" s="17"/>
      <c r="E618" s="2"/>
      <c r="F618" s="1"/>
      <c r="G618" s="1"/>
      <c r="H618" s="1"/>
    </row>
    <row r="619" spans="1:8" ht="14.5" x14ac:dyDescent="0.35">
      <c r="A619" s="15"/>
      <c r="B619" s="1"/>
      <c r="C619" s="16"/>
      <c r="D619" s="17"/>
      <c r="E619" s="2"/>
      <c r="F619" s="1"/>
      <c r="G619" s="1"/>
      <c r="H619" s="1"/>
    </row>
    <row r="620" spans="1:8" ht="14.5" x14ac:dyDescent="0.35">
      <c r="A620" s="15"/>
      <c r="B620" s="1"/>
      <c r="C620" s="16"/>
      <c r="D620" s="17"/>
      <c r="E620" s="1"/>
      <c r="F620" s="1"/>
      <c r="G620" s="1"/>
      <c r="H620" s="1"/>
    </row>
    <row r="621" spans="1:8" ht="14.5" x14ac:dyDescent="0.35">
      <c r="A621" s="15"/>
      <c r="B621" s="1"/>
      <c r="C621" s="16"/>
      <c r="D621" s="17"/>
      <c r="E621" s="1"/>
      <c r="F621" s="1"/>
      <c r="G621" s="1"/>
      <c r="H621" s="1"/>
    </row>
    <row r="622" spans="1:8" ht="14.5" x14ac:dyDescent="0.35">
      <c r="A622" s="15"/>
      <c r="B622" s="1"/>
      <c r="C622" s="16"/>
      <c r="D622" s="17"/>
      <c r="E622" s="3"/>
      <c r="F622" s="1"/>
      <c r="G622" s="1"/>
      <c r="H622" s="1"/>
    </row>
    <row r="623" spans="1:8" ht="14.5" x14ac:dyDescent="0.35">
      <c r="A623" s="15"/>
      <c r="B623" s="1"/>
      <c r="C623" s="16"/>
      <c r="D623" s="17"/>
      <c r="E623" s="2"/>
      <c r="F623" s="1"/>
      <c r="G623" s="1"/>
      <c r="H623" s="1"/>
    </row>
    <row r="624" spans="1:8" ht="14.5" x14ac:dyDescent="0.35">
      <c r="A624" s="15"/>
      <c r="B624" s="1"/>
      <c r="C624" s="16"/>
      <c r="D624" s="17"/>
      <c r="E624" s="1"/>
      <c r="F624" s="1"/>
      <c r="G624" s="1"/>
      <c r="H624" s="1"/>
    </row>
    <row r="625" spans="1:8" ht="14.5" x14ac:dyDescent="0.35">
      <c r="A625" s="15"/>
      <c r="B625" s="1"/>
      <c r="C625" s="16"/>
      <c r="D625" s="17"/>
      <c r="E625" s="1"/>
      <c r="F625" s="1"/>
      <c r="G625" s="1"/>
      <c r="H625" s="1"/>
    </row>
    <row r="626" spans="1:8" ht="14.5" x14ac:dyDescent="0.35">
      <c r="A626" s="15"/>
      <c r="B626" s="1"/>
      <c r="C626" s="16"/>
      <c r="D626" s="17"/>
      <c r="E626" s="2"/>
      <c r="F626" s="1"/>
      <c r="G626" s="1"/>
      <c r="H626" s="1"/>
    </row>
    <row r="627" spans="1:8" ht="14.5" x14ac:dyDescent="0.35">
      <c r="A627" s="15"/>
      <c r="B627" s="1"/>
      <c r="C627" s="16"/>
      <c r="D627" s="17"/>
      <c r="E627" s="1"/>
      <c r="F627" s="1"/>
      <c r="G627" s="1"/>
      <c r="H627" s="1"/>
    </row>
    <row r="628" spans="1:8" ht="14.5" x14ac:dyDescent="0.35">
      <c r="A628" s="15"/>
      <c r="B628" s="1"/>
      <c r="C628" s="16"/>
      <c r="D628" s="17"/>
      <c r="E628" s="1"/>
      <c r="F628" s="1"/>
      <c r="G628" s="1"/>
      <c r="H628" s="1"/>
    </row>
    <row r="629" spans="1:8" ht="14.5" x14ac:dyDescent="0.35">
      <c r="A629" s="15"/>
      <c r="B629" s="1"/>
      <c r="C629" s="16"/>
      <c r="D629" s="17"/>
      <c r="E629" s="1"/>
      <c r="F629" s="1"/>
      <c r="G629" s="1"/>
      <c r="H629" s="1"/>
    </row>
    <row r="630" spans="1:8" ht="14.5" x14ac:dyDescent="0.35">
      <c r="A630" s="15"/>
      <c r="B630" s="1"/>
      <c r="C630" s="16"/>
      <c r="D630" s="17"/>
      <c r="E630" s="1"/>
      <c r="F630" s="1"/>
      <c r="G630" s="1"/>
      <c r="H630" s="1"/>
    </row>
    <row r="631" spans="1:8" ht="14.5" x14ac:dyDescent="0.35">
      <c r="A631" s="15"/>
      <c r="B631" s="1"/>
      <c r="C631" s="16"/>
      <c r="D631" s="17"/>
      <c r="E631" s="3"/>
      <c r="F631" s="1"/>
      <c r="G631" s="1"/>
      <c r="H631" s="1"/>
    </row>
    <row r="632" spans="1:8" ht="14.5" x14ac:dyDescent="0.35">
      <c r="A632" s="15"/>
      <c r="B632" s="1"/>
      <c r="C632" s="16"/>
      <c r="D632" s="17"/>
      <c r="E632" s="1"/>
      <c r="F632" s="1"/>
      <c r="G632" s="1"/>
      <c r="H632" s="1"/>
    </row>
    <row r="633" spans="1:8" ht="14.5" x14ac:dyDescent="0.35">
      <c r="A633" s="15"/>
      <c r="B633" s="1"/>
      <c r="C633" s="16"/>
      <c r="D633" s="17"/>
      <c r="E633" s="1"/>
      <c r="F633" s="1"/>
      <c r="G633" s="1"/>
      <c r="H633" s="1"/>
    </row>
    <row r="634" spans="1:8" ht="14.5" x14ac:dyDescent="0.35">
      <c r="A634" s="15"/>
      <c r="B634" s="1"/>
      <c r="C634" s="16"/>
      <c r="D634" s="17"/>
      <c r="E634" s="2"/>
      <c r="F634" s="1"/>
      <c r="G634" s="1"/>
      <c r="H634" s="1"/>
    </row>
    <row r="635" spans="1:8" ht="14.5" x14ac:dyDescent="0.35">
      <c r="A635" s="15"/>
      <c r="B635" s="1"/>
      <c r="C635" s="16"/>
      <c r="D635" s="17"/>
      <c r="E635" s="1"/>
      <c r="F635" s="1"/>
      <c r="G635" s="1"/>
      <c r="H635" s="1"/>
    </row>
    <row r="636" spans="1:8" ht="14.5" x14ac:dyDescent="0.35">
      <c r="A636" s="15"/>
      <c r="B636" s="1"/>
      <c r="C636" s="16"/>
      <c r="D636" s="17"/>
      <c r="E636" s="2"/>
      <c r="F636" s="1"/>
      <c r="G636" s="1"/>
      <c r="H636" s="1"/>
    </row>
    <row r="637" spans="1:8" ht="14.5" x14ac:dyDescent="0.35">
      <c r="A637" s="15"/>
      <c r="B637" s="1"/>
      <c r="C637" s="16"/>
      <c r="D637" s="17"/>
      <c r="E637" s="2"/>
      <c r="F637" s="1"/>
      <c r="G637" s="1"/>
      <c r="H637" s="1"/>
    </row>
    <row r="638" spans="1:8" ht="14.5" x14ac:dyDescent="0.35">
      <c r="A638" s="15"/>
      <c r="B638" s="1"/>
      <c r="C638" s="16"/>
      <c r="D638" s="17"/>
      <c r="E638" s="1"/>
      <c r="F638" s="1"/>
      <c r="G638" s="1"/>
      <c r="H638" s="1"/>
    </row>
    <row r="639" spans="1:8" ht="14.5" x14ac:dyDescent="0.35">
      <c r="A639" s="15"/>
      <c r="B639" s="1"/>
      <c r="C639" s="16"/>
      <c r="D639" s="17"/>
      <c r="E639" s="2"/>
      <c r="F639" s="1"/>
      <c r="G639" s="1"/>
      <c r="H639" s="1"/>
    </row>
    <row r="640" spans="1:8" ht="14.5" x14ac:dyDescent="0.35">
      <c r="A640" s="15"/>
      <c r="B640" s="1"/>
      <c r="C640" s="16"/>
      <c r="D640" s="17"/>
      <c r="E640" s="1"/>
      <c r="F640" s="1"/>
      <c r="G640" s="1"/>
      <c r="H640" s="1"/>
    </row>
    <row r="641" spans="1:8" ht="14.5" x14ac:dyDescent="0.35">
      <c r="A641" s="15"/>
      <c r="B641" s="1"/>
      <c r="C641" s="16"/>
      <c r="D641" s="17"/>
      <c r="E641" s="2"/>
      <c r="F641" s="1"/>
      <c r="G641" s="1"/>
      <c r="H641" s="1"/>
    </row>
    <row r="642" spans="1:8" ht="14.5" x14ac:dyDescent="0.35">
      <c r="A642" s="15"/>
      <c r="B642" s="1"/>
      <c r="C642" s="16"/>
      <c r="D642" s="17"/>
      <c r="E642" s="2"/>
      <c r="F642" s="1"/>
      <c r="G642" s="1"/>
      <c r="H642" s="1"/>
    </row>
    <row r="643" spans="1:8" ht="14.5" x14ac:dyDescent="0.35">
      <c r="A643" s="15"/>
      <c r="B643" s="1"/>
      <c r="C643" s="16"/>
      <c r="D643" s="17"/>
      <c r="E643" s="1"/>
      <c r="F643" s="1"/>
      <c r="G643" s="1"/>
      <c r="H643" s="1"/>
    </row>
    <row r="644" spans="1:8" ht="14.5" x14ac:dyDescent="0.35">
      <c r="A644" s="15"/>
      <c r="B644" s="1"/>
      <c r="C644" s="16"/>
      <c r="D644" s="17"/>
      <c r="E644" s="1"/>
      <c r="F644" s="1"/>
      <c r="G644" s="1"/>
      <c r="H644" s="1"/>
    </row>
    <row r="645" spans="1:8" ht="14.5" x14ac:dyDescent="0.35">
      <c r="A645" s="15"/>
      <c r="B645" s="1"/>
      <c r="C645" s="16"/>
      <c r="D645" s="17"/>
      <c r="E645" s="2"/>
      <c r="F645" s="1"/>
      <c r="G645" s="1"/>
      <c r="H645" s="1"/>
    </row>
    <row r="646" spans="1:8" ht="14.5" x14ac:dyDescent="0.35">
      <c r="A646" s="15"/>
      <c r="B646" s="1"/>
      <c r="C646" s="16"/>
      <c r="D646" s="17"/>
      <c r="E646" s="1"/>
      <c r="F646" s="1"/>
      <c r="G646" s="1"/>
      <c r="H646" s="1"/>
    </row>
    <row r="647" spans="1:8" ht="14.5" x14ac:dyDescent="0.35">
      <c r="A647" s="15"/>
      <c r="B647" s="1"/>
      <c r="C647" s="16"/>
      <c r="D647" s="17"/>
      <c r="E647" s="3"/>
      <c r="F647" s="1"/>
      <c r="G647" s="1"/>
      <c r="H647" s="1"/>
    </row>
    <row r="648" spans="1:8" ht="14.5" x14ac:dyDescent="0.35">
      <c r="A648" s="15"/>
      <c r="B648" s="1"/>
      <c r="C648" s="16"/>
      <c r="D648" s="17"/>
      <c r="E648" s="1"/>
      <c r="F648" s="1"/>
      <c r="G648" s="1"/>
      <c r="H648" s="1"/>
    </row>
    <row r="649" spans="1:8" ht="14.5" x14ac:dyDescent="0.35">
      <c r="A649" s="15"/>
      <c r="B649" s="1"/>
      <c r="C649" s="16"/>
      <c r="D649" s="17"/>
      <c r="E649" s="2"/>
      <c r="F649" s="1"/>
      <c r="G649" s="1"/>
      <c r="H649" s="1"/>
    </row>
    <row r="650" spans="1:8" ht="14.5" x14ac:dyDescent="0.35">
      <c r="A650" s="15"/>
      <c r="B650" s="1"/>
      <c r="C650" s="16"/>
      <c r="D650" s="17"/>
      <c r="E650" s="1"/>
      <c r="F650" s="1"/>
      <c r="G650" s="1"/>
      <c r="H650" s="1"/>
    </row>
    <row r="651" spans="1:8" ht="14.5" x14ac:dyDescent="0.35">
      <c r="A651" s="15"/>
      <c r="B651" s="1"/>
      <c r="C651" s="16"/>
      <c r="D651" s="17"/>
      <c r="E651" s="1"/>
      <c r="F651" s="1"/>
      <c r="G651" s="1"/>
      <c r="H651" s="1"/>
    </row>
    <row r="652" spans="1:8" ht="14.5" x14ac:dyDescent="0.35">
      <c r="A652" s="15"/>
      <c r="B652" s="1"/>
      <c r="C652" s="16"/>
      <c r="D652" s="17"/>
      <c r="E652" s="1"/>
      <c r="F652" s="1"/>
      <c r="G652" s="1"/>
      <c r="H652" s="1"/>
    </row>
    <row r="653" spans="1:8" ht="14.5" x14ac:dyDescent="0.35">
      <c r="A653" s="15"/>
      <c r="B653" s="1"/>
      <c r="C653" s="16"/>
      <c r="D653" s="17"/>
      <c r="E653" s="1"/>
      <c r="F653" s="1"/>
      <c r="G653" s="1"/>
      <c r="H653" s="1"/>
    </row>
    <row r="654" spans="1:8" ht="14.5" x14ac:dyDescent="0.35">
      <c r="A654" s="15"/>
      <c r="B654" s="1"/>
      <c r="C654" s="16"/>
      <c r="D654" s="17"/>
      <c r="E654" s="2"/>
      <c r="F654" s="1"/>
      <c r="G654" s="1"/>
      <c r="H654" s="1"/>
    </row>
    <row r="655" spans="1:8" ht="14.5" x14ac:dyDescent="0.35">
      <c r="A655" s="15"/>
      <c r="B655" s="1"/>
      <c r="C655" s="16"/>
      <c r="D655" s="17"/>
      <c r="E655" s="1"/>
      <c r="F655" s="1"/>
      <c r="G655" s="1"/>
      <c r="H655" s="1"/>
    </row>
    <row r="656" spans="1:8" ht="14.5" x14ac:dyDescent="0.35">
      <c r="A656" s="15"/>
      <c r="B656" s="1"/>
      <c r="C656" s="16"/>
      <c r="D656" s="17"/>
      <c r="E656" s="1"/>
      <c r="F656" s="1"/>
      <c r="G656" s="1"/>
      <c r="H656" s="1"/>
    </row>
    <row r="657" spans="1:8" ht="14.5" x14ac:dyDescent="0.35">
      <c r="A657" s="15"/>
      <c r="B657" s="1"/>
      <c r="C657" s="16"/>
      <c r="D657" s="17"/>
      <c r="E657" s="1"/>
      <c r="F657" s="1"/>
      <c r="G657" s="1"/>
      <c r="H657" s="1"/>
    </row>
    <row r="658" spans="1:8" ht="14.5" x14ac:dyDescent="0.35">
      <c r="A658" s="15"/>
      <c r="B658" s="1"/>
      <c r="C658" s="16"/>
      <c r="D658" s="17"/>
      <c r="E658" s="1"/>
      <c r="F658" s="1"/>
      <c r="G658" s="1"/>
      <c r="H658" s="1"/>
    </row>
    <row r="659" spans="1:8" ht="14.5" x14ac:dyDescent="0.35">
      <c r="A659" s="15"/>
      <c r="B659" s="1"/>
      <c r="C659" s="16"/>
      <c r="D659" s="17"/>
      <c r="E659" s="2"/>
      <c r="F659" s="1"/>
      <c r="G659" s="1"/>
      <c r="H659" s="1"/>
    </row>
    <row r="660" spans="1:8" ht="14.5" x14ac:dyDescent="0.35">
      <c r="A660" s="15"/>
      <c r="B660" s="1"/>
      <c r="C660" s="16"/>
      <c r="D660" s="17"/>
      <c r="E660" s="2"/>
      <c r="F660" s="1"/>
      <c r="G660" s="1"/>
      <c r="H660" s="1"/>
    </row>
    <row r="661" spans="1:8" ht="14.5" x14ac:dyDescent="0.35">
      <c r="A661" s="15"/>
      <c r="B661" s="1"/>
      <c r="C661" s="16"/>
      <c r="D661" s="17"/>
      <c r="E661" s="2"/>
      <c r="F661" s="1"/>
      <c r="G661" s="1"/>
      <c r="H661" s="1"/>
    </row>
    <row r="662" spans="1:8" ht="14.5" x14ac:dyDescent="0.35">
      <c r="A662" s="15"/>
      <c r="B662" s="1"/>
      <c r="C662" s="16"/>
      <c r="D662" s="17"/>
      <c r="E662" s="2"/>
      <c r="F662" s="1"/>
      <c r="G662" s="1"/>
      <c r="H662" s="1"/>
    </row>
    <row r="663" spans="1:8" ht="14.5" x14ac:dyDescent="0.35">
      <c r="A663" s="15"/>
      <c r="B663" s="1"/>
      <c r="C663" s="16"/>
      <c r="D663" s="17"/>
      <c r="E663" s="1"/>
      <c r="F663" s="1"/>
      <c r="G663" s="1"/>
      <c r="H663" s="1"/>
    </row>
    <row r="664" spans="1:8" ht="14.5" x14ac:dyDescent="0.35">
      <c r="A664" s="15"/>
      <c r="B664" s="1"/>
      <c r="C664" s="16"/>
      <c r="D664" s="17"/>
      <c r="E664" s="1"/>
      <c r="F664" s="1"/>
      <c r="G664" s="1"/>
      <c r="H664" s="1"/>
    </row>
    <row r="665" spans="1:8" ht="14.5" x14ac:dyDescent="0.35">
      <c r="A665" s="15"/>
      <c r="B665" s="1"/>
      <c r="C665" s="16"/>
      <c r="D665" s="17"/>
      <c r="E665" s="1"/>
      <c r="F665" s="1"/>
      <c r="G665" s="1"/>
      <c r="H665" s="1"/>
    </row>
    <row r="666" spans="1:8" ht="14.5" x14ac:dyDescent="0.35">
      <c r="A666" s="15"/>
      <c r="B666" s="1"/>
      <c r="C666" s="16"/>
      <c r="D666" s="17"/>
      <c r="E666" s="1"/>
      <c r="F666" s="1"/>
      <c r="G666" s="1"/>
      <c r="H666" s="1"/>
    </row>
    <row r="667" spans="1:8" ht="14.5" x14ac:dyDescent="0.35">
      <c r="A667" s="15"/>
      <c r="B667" s="1"/>
      <c r="C667" s="16"/>
      <c r="D667" s="17"/>
      <c r="E667" s="1"/>
      <c r="F667" s="1"/>
      <c r="G667" s="1"/>
      <c r="H667" s="1"/>
    </row>
    <row r="668" spans="1:8" ht="14.5" x14ac:dyDescent="0.35">
      <c r="A668" s="15"/>
      <c r="B668" s="1"/>
      <c r="C668" s="16"/>
      <c r="D668" s="17"/>
      <c r="E668" s="2"/>
      <c r="F668" s="1"/>
      <c r="G668" s="1"/>
      <c r="H668" s="1"/>
    </row>
    <row r="669" spans="1:8" ht="14.5" x14ac:dyDescent="0.35">
      <c r="A669" s="15"/>
      <c r="B669" s="1"/>
      <c r="C669" s="16"/>
      <c r="D669" s="17"/>
      <c r="E669" s="2"/>
      <c r="F669" s="1"/>
      <c r="G669" s="1"/>
      <c r="H669" s="1"/>
    </row>
    <row r="670" spans="1:8" ht="14.5" x14ac:dyDescent="0.35">
      <c r="A670" s="15"/>
      <c r="B670" s="1"/>
      <c r="C670" s="16"/>
      <c r="D670" s="17"/>
      <c r="E670" s="2"/>
      <c r="F670" s="1"/>
      <c r="G670" s="1"/>
      <c r="H670" s="1"/>
    </row>
    <row r="671" spans="1:8" ht="14.5" x14ac:dyDescent="0.35">
      <c r="A671" s="15"/>
      <c r="B671" s="1"/>
      <c r="C671" s="16"/>
      <c r="D671" s="17"/>
      <c r="E671" s="1"/>
      <c r="F671" s="1"/>
      <c r="G671" s="1"/>
      <c r="H671" s="1"/>
    </row>
    <row r="672" spans="1:8" ht="14.5" x14ac:dyDescent="0.35">
      <c r="A672" s="15"/>
      <c r="B672" s="1"/>
      <c r="C672" s="16"/>
      <c r="D672" s="17"/>
      <c r="E672" s="1"/>
      <c r="F672" s="1"/>
      <c r="G672" s="1"/>
      <c r="H672" s="1"/>
    </row>
    <row r="673" spans="1:8" ht="14.5" x14ac:dyDescent="0.35">
      <c r="A673" s="15"/>
      <c r="B673" s="1"/>
      <c r="C673" s="16"/>
      <c r="D673" s="17"/>
      <c r="E673" s="1"/>
      <c r="F673" s="1"/>
      <c r="G673" s="1"/>
      <c r="H673" s="1"/>
    </row>
    <row r="674" spans="1:8" ht="14.5" x14ac:dyDescent="0.35">
      <c r="A674" s="15"/>
      <c r="B674" s="1"/>
      <c r="C674" s="16"/>
      <c r="D674" s="17"/>
      <c r="E674" s="1"/>
      <c r="F674" s="1"/>
      <c r="G674" s="1"/>
      <c r="H674" s="1"/>
    </row>
    <row r="675" spans="1:8" ht="14.5" x14ac:dyDescent="0.35">
      <c r="A675" s="15"/>
      <c r="B675" s="1"/>
      <c r="C675" s="16"/>
      <c r="D675" s="17"/>
      <c r="E675" s="1"/>
      <c r="F675" s="1"/>
      <c r="G675" s="1"/>
      <c r="H675" s="1"/>
    </row>
    <row r="676" spans="1:8" ht="14.5" x14ac:dyDescent="0.35">
      <c r="A676" s="15"/>
      <c r="B676" s="1"/>
      <c r="C676" s="16"/>
      <c r="D676" s="17"/>
      <c r="E676" s="2"/>
      <c r="F676" s="1"/>
      <c r="G676" s="1"/>
      <c r="H676" s="1"/>
    </row>
    <row r="677" spans="1:8" ht="14.5" x14ac:dyDescent="0.35">
      <c r="A677" s="15"/>
      <c r="B677" s="1"/>
      <c r="C677" s="16"/>
      <c r="D677" s="17"/>
      <c r="E677" s="1"/>
      <c r="F677" s="1"/>
      <c r="G677" s="1"/>
      <c r="H677" s="1"/>
    </row>
    <row r="678" spans="1:8" ht="14.5" x14ac:dyDescent="0.35">
      <c r="A678" s="15"/>
      <c r="B678" s="1"/>
      <c r="C678" s="16"/>
      <c r="D678" s="17"/>
      <c r="E678" s="1"/>
      <c r="F678" s="1"/>
      <c r="G678" s="1"/>
      <c r="H678" s="1"/>
    </row>
    <row r="679" spans="1:8" ht="14.5" x14ac:dyDescent="0.35">
      <c r="A679" s="15"/>
      <c r="B679" s="1"/>
      <c r="C679" s="16"/>
      <c r="D679" s="17"/>
      <c r="E679" s="1"/>
      <c r="F679" s="1"/>
      <c r="G679" s="1"/>
      <c r="H679" s="1"/>
    </row>
    <row r="680" spans="1:8" ht="14.5" x14ac:dyDescent="0.35">
      <c r="A680" s="15"/>
      <c r="B680" s="1"/>
      <c r="C680" s="16"/>
      <c r="D680" s="17"/>
      <c r="E680" s="1"/>
      <c r="F680" s="1"/>
      <c r="G680" s="1"/>
      <c r="H680" s="1"/>
    </row>
    <row r="681" spans="1:8" ht="14.5" x14ac:dyDescent="0.35">
      <c r="A681" s="15"/>
      <c r="B681" s="1"/>
      <c r="C681" s="16"/>
      <c r="D681" s="17"/>
      <c r="E681" s="1"/>
      <c r="F681" s="1"/>
      <c r="G681" s="1"/>
      <c r="H681" s="1"/>
    </row>
    <row r="682" spans="1:8" ht="14.5" x14ac:dyDescent="0.35">
      <c r="A682" s="15"/>
      <c r="B682" s="1"/>
      <c r="C682" s="16"/>
      <c r="D682" s="17"/>
      <c r="E682" s="1"/>
      <c r="F682" s="1"/>
      <c r="G682" s="1"/>
      <c r="H682" s="1"/>
    </row>
    <row r="683" spans="1:8" ht="14.5" x14ac:dyDescent="0.35">
      <c r="A683" s="15"/>
      <c r="B683" s="1"/>
      <c r="C683" s="16"/>
      <c r="D683" s="17"/>
      <c r="E683" s="1"/>
      <c r="F683" s="1"/>
      <c r="G683" s="1"/>
      <c r="H683" s="1"/>
    </row>
    <row r="684" spans="1:8" ht="14.5" x14ac:dyDescent="0.35">
      <c r="A684" s="15"/>
      <c r="B684" s="1"/>
      <c r="C684" s="16"/>
      <c r="D684" s="17"/>
      <c r="E684" s="1"/>
      <c r="F684" s="1"/>
      <c r="G684" s="1"/>
      <c r="H684" s="1"/>
    </row>
    <row r="685" spans="1:8" ht="14.5" x14ac:dyDescent="0.35">
      <c r="A685" s="15"/>
      <c r="B685" s="1"/>
      <c r="C685" s="16"/>
      <c r="D685" s="17"/>
      <c r="E685" s="1"/>
      <c r="F685" s="1"/>
      <c r="G685" s="1"/>
      <c r="H685" s="1"/>
    </row>
    <row r="686" spans="1:8" ht="14.5" x14ac:dyDescent="0.35">
      <c r="A686" s="15"/>
      <c r="B686" s="1"/>
      <c r="C686" s="16"/>
      <c r="D686" s="17"/>
      <c r="E686" s="2"/>
      <c r="F686" s="1"/>
      <c r="G686" s="1"/>
      <c r="H686" s="1"/>
    </row>
    <row r="687" spans="1:8" ht="14.5" x14ac:dyDescent="0.35">
      <c r="A687" s="15"/>
      <c r="B687" s="1"/>
      <c r="C687" s="16"/>
      <c r="D687" s="17"/>
      <c r="E687" s="1"/>
      <c r="F687" s="1"/>
      <c r="G687" s="1"/>
      <c r="H687" s="1"/>
    </row>
    <row r="688" spans="1:8" ht="14.5" x14ac:dyDescent="0.35">
      <c r="A688" s="15"/>
      <c r="B688" s="1"/>
      <c r="C688" s="16"/>
      <c r="D688" s="17"/>
      <c r="E688" s="2"/>
      <c r="F688" s="1"/>
      <c r="G688" s="1"/>
      <c r="H688" s="1"/>
    </row>
    <row r="689" spans="1:8" ht="14.5" x14ac:dyDescent="0.35">
      <c r="A689" s="15"/>
      <c r="B689" s="1"/>
      <c r="C689" s="16"/>
      <c r="D689" s="17"/>
      <c r="E689" s="1"/>
      <c r="F689" s="1"/>
      <c r="G689" s="1"/>
      <c r="H689" s="1"/>
    </row>
    <row r="690" spans="1:8" ht="14.5" x14ac:dyDescent="0.35">
      <c r="A690" s="15"/>
      <c r="B690" s="1"/>
      <c r="C690" s="16"/>
      <c r="D690" s="17"/>
      <c r="E690" s="2"/>
      <c r="F690" s="1"/>
      <c r="G690" s="1"/>
      <c r="H690" s="1"/>
    </row>
    <row r="691" spans="1:8" ht="14.5" x14ac:dyDescent="0.35">
      <c r="A691" s="15"/>
      <c r="B691" s="1"/>
      <c r="C691" s="16"/>
      <c r="D691" s="17"/>
      <c r="E691" s="2"/>
      <c r="F691" s="1"/>
      <c r="G691" s="1"/>
      <c r="H691" s="1"/>
    </row>
    <row r="692" spans="1:8" ht="14.5" x14ac:dyDescent="0.35">
      <c r="A692" s="15"/>
      <c r="B692" s="1"/>
      <c r="C692" s="16"/>
      <c r="D692" s="17"/>
      <c r="E692" s="1"/>
      <c r="F692" s="1"/>
      <c r="G692" s="1"/>
      <c r="H692" s="1"/>
    </row>
    <row r="693" spans="1:8" ht="14.5" x14ac:dyDescent="0.35">
      <c r="A693" s="15"/>
      <c r="B693" s="1"/>
      <c r="C693" s="16"/>
      <c r="D693" s="17"/>
      <c r="E693" s="2"/>
      <c r="F693" s="1"/>
      <c r="G693" s="1"/>
      <c r="H693" s="1"/>
    </row>
    <row r="694" spans="1:8" ht="14.5" x14ac:dyDescent="0.35">
      <c r="A694" s="15"/>
      <c r="B694" s="1"/>
      <c r="C694" s="16"/>
      <c r="D694" s="17"/>
      <c r="E694" s="1"/>
      <c r="F694" s="1"/>
      <c r="G694" s="1"/>
      <c r="H694" s="1"/>
    </row>
    <row r="695" spans="1:8" ht="14.5" x14ac:dyDescent="0.35">
      <c r="A695" s="15"/>
      <c r="B695" s="1"/>
      <c r="C695" s="16"/>
      <c r="D695" s="17"/>
      <c r="E695" s="1"/>
      <c r="F695" s="1"/>
      <c r="G695" s="1"/>
      <c r="H695" s="1"/>
    </row>
    <row r="696" spans="1:8" ht="14.5" x14ac:dyDescent="0.35">
      <c r="A696" s="15"/>
      <c r="B696" s="1"/>
      <c r="C696" s="16"/>
      <c r="D696" s="17"/>
      <c r="E696" s="2"/>
      <c r="F696" s="1"/>
      <c r="G696" s="1"/>
      <c r="H696" s="1"/>
    </row>
    <row r="697" spans="1:8" ht="14.5" x14ac:dyDescent="0.35">
      <c r="A697" s="15"/>
      <c r="B697" s="1"/>
      <c r="C697" s="16"/>
      <c r="D697" s="17"/>
      <c r="E697" s="1"/>
      <c r="F697" s="1"/>
      <c r="G697" s="1"/>
      <c r="H697" s="1"/>
    </row>
    <row r="698" spans="1:8" ht="14.5" x14ac:dyDescent="0.35">
      <c r="A698" s="15"/>
      <c r="B698" s="1"/>
      <c r="C698" s="16"/>
      <c r="D698" s="17"/>
      <c r="E698" s="1"/>
      <c r="F698" s="1"/>
      <c r="G698" s="1"/>
      <c r="H698" s="1"/>
    </row>
    <row r="699" spans="1:8" ht="14.5" x14ac:dyDescent="0.35">
      <c r="A699" s="15"/>
      <c r="B699" s="1"/>
      <c r="C699" s="16"/>
      <c r="D699" s="17"/>
      <c r="E699" s="2"/>
      <c r="F699" s="1"/>
      <c r="G699" s="1"/>
      <c r="H699" s="1"/>
    </row>
    <row r="700" spans="1:8" ht="14.5" x14ac:dyDescent="0.35">
      <c r="A700" s="15"/>
      <c r="B700" s="1"/>
      <c r="C700" s="16"/>
      <c r="D700" s="17"/>
      <c r="E700" s="1"/>
      <c r="F700" s="1"/>
      <c r="G700" s="1"/>
      <c r="H700" s="1"/>
    </row>
    <row r="701" spans="1:8" ht="14.5" x14ac:dyDescent="0.35">
      <c r="A701" s="15"/>
      <c r="B701" s="1"/>
      <c r="C701" s="16"/>
      <c r="D701" s="17"/>
      <c r="E701" s="1"/>
      <c r="F701" s="1"/>
      <c r="G701" s="1"/>
      <c r="H701" s="1"/>
    </row>
    <row r="702" spans="1:8" ht="14.5" x14ac:dyDescent="0.35">
      <c r="A702" s="15"/>
      <c r="B702" s="1"/>
      <c r="C702" s="16"/>
      <c r="D702" s="17"/>
      <c r="E702" s="2"/>
      <c r="F702" s="1"/>
      <c r="G702" s="1"/>
      <c r="H702" s="1"/>
    </row>
    <row r="703" spans="1:8" ht="14.5" x14ac:dyDescent="0.35">
      <c r="A703" s="15"/>
      <c r="B703" s="1"/>
      <c r="C703" s="16"/>
      <c r="D703" s="17"/>
      <c r="E703" s="2"/>
      <c r="F703" s="1"/>
      <c r="G703" s="1"/>
      <c r="H703" s="1"/>
    </row>
    <row r="704" spans="1:8" ht="14.5" x14ac:dyDescent="0.35">
      <c r="A704" s="15"/>
      <c r="B704" s="1"/>
      <c r="C704" s="16"/>
      <c r="D704" s="17"/>
      <c r="E704" s="1"/>
      <c r="F704" s="1"/>
      <c r="G704" s="1"/>
      <c r="H704" s="1"/>
    </row>
    <row r="705" spans="1:8" ht="14.5" x14ac:dyDescent="0.35">
      <c r="A705" s="15"/>
      <c r="B705" s="1"/>
      <c r="C705" s="16"/>
      <c r="D705" s="17"/>
      <c r="E705" s="1"/>
      <c r="F705" s="1"/>
      <c r="G705" s="1"/>
      <c r="H705" s="1"/>
    </row>
    <row r="706" spans="1:8" ht="14.5" x14ac:dyDescent="0.35">
      <c r="A706" s="15"/>
      <c r="B706" s="1"/>
      <c r="C706" s="16"/>
      <c r="D706" s="17"/>
      <c r="E706" s="1"/>
      <c r="F706" s="1"/>
      <c r="G706" s="1"/>
      <c r="H706" s="1"/>
    </row>
    <row r="707" spans="1:8" ht="14.5" x14ac:dyDescent="0.35">
      <c r="A707" s="15"/>
      <c r="B707" s="1"/>
      <c r="C707" s="16"/>
      <c r="D707" s="17"/>
      <c r="E707" s="1"/>
      <c r="F707" s="1"/>
      <c r="G707" s="1"/>
      <c r="H707" s="1"/>
    </row>
    <row r="708" spans="1:8" ht="14.5" x14ac:dyDescent="0.35">
      <c r="A708" s="15"/>
      <c r="B708" s="1"/>
      <c r="C708" s="16"/>
      <c r="D708" s="17"/>
      <c r="E708" s="1"/>
      <c r="F708" s="1"/>
      <c r="G708" s="1"/>
      <c r="H708" s="1"/>
    </row>
    <row r="709" spans="1:8" ht="14.5" x14ac:dyDescent="0.35">
      <c r="A709" s="15"/>
      <c r="B709" s="1"/>
      <c r="C709" s="16"/>
      <c r="D709" s="17"/>
      <c r="E709" s="2"/>
      <c r="F709" s="1"/>
      <c r="G709" s="1"/>
      <c r="H709" s="1"/>
    </row>
    <row r="710" spans="1:8" ht="14.5" x14ac:dyDescent="0.35">
      <c r="A710" s="15"/>
      <c r="B710" s="1"/>
      <c r="C710" s="16"/>
      <c r="D710" s="17"/>
      <c r="E710" s="1"/>
      <c r="F710" s="1"/>
      <c r="G710" s="1"/>
      <c r="H710" s="1"/>
    </row>
    <row r="711" spans="1:8" ht="14.5" x14ac:dyDescent="0.35">
      <c r="A711" s="15"/>
      <c r="B711" s="1"/>
      <c r="C711" s="16"/>
      <c r="D711" s="17"/>
      <c r="E711" s="1"/>
      <c r="F711" s="1"/>
      <c r="G711" s="1"/>
      <c r="H711" s="1"/>
    </row>
    <row r="712" spans="1:8" ht="14.5" x14ac:dyDescent="0.35">
      <c r="A712" s="15"/>
      <c r="B712" s="1"/>
      <c r="C712" s="16"/>
      <c r="D712" s="17"/>
      <c r="E712" s="1"/>
      <c r="F712" s="1"/>
      <c r="G712" s="1"/>
      <c r="H712" s="1"/>
    </row>
    <row r="713" spans="1:8" ht="14.5" x14ac:dyDescent="0.35">
      <c r="A713" s="15"/>
      <c r="B713" s="1"/>
      <c r="C713" s="16"/>
      <c r="D713" s="17"/>
      <c r="E713" s="1"/>
      <c r="F713" s="1"/>
      <c r="G713" s="1"/>
      <c r="H713" s="1"/>
    </row>
    <row r="714" spans="1:8" ht="14.5" x14ac:dyDescent="0.35">
      <c r="A714" s="15"/>
      <c r="B714" s="1"/>
      <c r="C714" s="16"/>
      <c r="D714" s="17"/>
      <c r="E714" s="1"/>
      <c r="F714" s="1"/>
      <c r="G714" s="1"/>
      <c r="H714" s="1"/>
    </row>
    <row r="715" spans="1:8" ht="14.5" x14ac:dyDescent="0.35">
      <c r="A715" s="15"/>
      <c r="B715" s="1"/>
      <c r="C715" s="16"/>
      <c r="D715" s="17"/>
      <c r="E715" s="2"/>
      <c r="F715" s="1"/>
      <c r="G715" s="1"/>
      <c r="H715" s="1"/>
    </row>
    <row r="716" spans="1:8" ht="14.5" x14ac:dyDescent="0.35">
      <c r="A716" s="15"/>
      <c r="B716" s="1"/>
      <c r="C716" s="16"/>
      <c r="D716" s="17"/>
      <c r="E716" s="1"/>
      <c r="F716" s="1"/>
      <c r="G716" s="1"/>
      <c r="H716" s="1"/>
    </row>
    <row r="717" spans="1:8" ht="14.5" x14ac:dyDescent="0.35">
      <c r="A717" s="15"/>
      <c r="B717" s="1"/>
      <c r="C717" s="16"/>
      <c r="D717" s="17"/>
      <c r="E717" s="2"/>
      <c r="F717" s="1"/>
      <c r="G717" s="1"/>
      <c r="H717" s="1"/>
    </row>
    <row r="718" spans="1:8" ht="14.5" x14ac:dyDescent="0.35">
      <c r="A718" s="15"/>
      <c r="B718" s="1"/>
      <c r="C718" s="16"/>
      <c r="D718" s="17"/>
      <c r="E718" s="1"/>
      <c r="F718" s="1"/>
      <c r="G718" s="1"/>
      <c r="H718" s="1"/>
    </row>
    <row r="719" spans="1:8" ht="14.5" x14ac:dyDescent="0.35">
      <c r="A719" s="15"/>
      <c r="B719" s="1"/>
      <c r="C719" s="16"/>
      <c r="D719" s="17"/>
      <c r="E719" s="2"/>
      <c r="F719" s="1"/>
      <c r="G719" s="1"/>
      <c r="H719" s="1"/>
    </row>
    <row r="720" spans="1:8" ht="14.5" x14ac:dyDescent="0.35">
      <c r="A720" s="15"/>
      <c r="B720" s="1"/>
      <c r="C720" s="16"/>
      <c r="D720" s="17"/>
      <c r="E720" s="2"/>
      <c r="F720" s="1"/>
      <c r="G720" s="1"/>
      <c r="H720" s="1"/>
    </row>
    <row r="721" spans="1:8" ht="14.5" x14ac:dyDescent="0.35">
      <c r="A721" s="15"/>
      <c r="B721" s="1"/>
      <c r="C721" s="16"/>
      <c r="D721" s="17"/>
      <c r="E721" s="2"/>
      <c r="F721" s="1"/>
      <c r="G721" s="1"/>
      <c r="H721" s="1"/>
    </row>
    <row r="722" spans="1:8" ht="14.5" x14ac:dyDescent="0.35">
      <c r="A722" s="15"/>
      <c r="B722" s="1"/>
      <c r="C722" s="16"/>
      <c r="D722" s="17"/>
      <c r="E722" s="1"/>
      <c r="F722" s="1"/>
      <c r="G722" s="1"/>
      <c r="H722" s="1"/>
    </row>
    <row r="723" spans="1:8" ht="14.5" x14ac:dyDescent="0.35">
      <c r="A723" s="15"/>
      <c r="B723" s="1"/>
      <c r="C723" s="16"/>
      <c r="D723" s="17"/>
      <c r="E723" s="1"/>
      <c r="F723" s="1"/>
      <c r="G723" s="1"/>
      <c r="H723" s="1"/>
    </row>
    <row r="724" spans="1:8" ht="14.5" x14ac:dyDescent="0.35">
      <c r="A724" s="15"/>
      <c r="B724" s="1"/>
      <c r="C724" s="16"/>
      <c r="D724" s="17"/>
      <c r="E724" s="2"/>
      <c r="F724" s="1"/>
      <c r="G724" s="1"/>
      <c r="H724" s="1"/>
    </row>
    <row r="725" spans="1:8" ht="14.5" x14ac:dyDescent="0.35">
      <c r="A725" s="15"/>
      <c r="B725" s="1"/>
      <c r="C725" s="16"/>
      <c r="D725" s="17"/>
      <c r="E725" s="1"/>
      <c r="F725" s="1"/>
      <c r="G725" s="1"/>
      <c r="H725" s="1"/>
    </row>
    <row r="726" spans="1:8" ht="14.5" x14ac:dyDescent="0.35">
      <c r="A726" s="15"/>
      <c r="B726" s="1"/>
      <c r="C726" s="16"/>
      <c r="D726" s="17"/>
      <c r="E726" s="1"/>
      <c r="F726" s="1"/>
      <c r="G726" s="1"/>
      <c r="H726" s="1"/>
    </row>
    <row r="727" spans="1:8" ht="14.5" x14ac:dyDescent="0.35">
      <c r="A727" s="15"/>
      <c r="B727" s="1"/>
      <c r="C727" s="16"/>
      <c r="D727" s="17"/>
      <c r="E727" s="1"/>
      <c r="F727" s="1"/>
      <c r="G727" s="1"/>
      <c r="H727" s="1"/>
    </row>
    <row r="728" spans="1:8" ht="14.5" x14ac:dyDescent="0.35">
      <c r="A728" s="15"/>
      <c r="B728" s="1"/>
      <c r="C728" s="16"/>
      <c r="D728" s="17"/>
      <c r="E728" s="2"/>
      <c r="F728" s="1"/>
      <c r="G728" s="1"/>
      <c r="H728" s="1"/>
    </row>
    <row r="729" spans="1:8" ht="14.5" x14ac:dyDescent="0.35">
      <c r="A729" s="15"/>
      <c r="B729" s="1"/>
      <c r="C729" s="16"/>
      <c r="D729" s="17"/>
      <c r="E729" s="1"/>
      <c r="F729" s="1"/>
      <c r="G729" s="1"/>
      <c r="H729" s="1"/>
    </row>
    <row r="730" spans="1:8" ht="14.5" x14ac:dyDescent="0.35">
      <c r="A730" s="15"/>
      <c r="B730" s="1"/>
      <c r="C730" s="16"/>
      <c r="D730" s="17"/>
      <c r="E730" s="2"/>
      <c r="F730" s="1"/>
      <c r="G730" s="1"/>
      <c r="H730" s="1"/>
    </row>
    <row r="731" spans="1:8" ht="14.5" x14ac:dyDescent="0.35">
      <c r="A731" s="15"/>
      <c r="B731" s="1"/>
      <c r="C731" s="16"/>
      <c r="D731" s="17"/>
      <c r="E731" s="1"/>
      <c r="F731" s="1"/>
      <c r="G731" s="1"/>
      <c r="H731" s="1"/>
    </row>
    <row r="732" spans="1:8" ht="14.5" x14ac:dyDescent="0.35">
      <c r="A732" s="15"/>
      <c r="B732" s="1"/>
      <c r="C732" s="16"/>
      <c r="D732" s="17"/>
      <c r="E732" s="2"/>
      <c r="F732" s="1"/>
      <c r="G732" s="1"/>
      <c r="H732" s="1"/>
    </row>
    <row r="733" spans="1:8" ht="14.5" x14ac:dyDescent="0.35">
      <c r="A733" s="15"/>
      <c r="B733" s="1"/>
      <c r="C733" s="16"/>
      <c r="D733" s="17"/>
      <c r="E733" s="2"/>
      <c r="F733" s="1"/>
      <c r="G733" s="1"/>
      <c r="H733" s="1"/>
    </row>
    <row r="734" spans="1:8" ht="14.5" x14ac:dyDescent="0.35">
      <c r="A734" s="15"/>
      <c r="B734" s="1"/>
      <c r="C734" s="16"/>
      <c r="D734" s="17"/>
      <c r="E734" s="2"/>
      <c r="F734" s="1"/>
      <c r="G734" s="1"/>
      <c r="H734" s="1"/>
    </row>
    <row r="735" spans="1:8" ht="14.5" x14ac:dyDescent="0.35">
      <c r="A735" s="15"/>
      <c r="B735" s="1"/>
      <c r="C735" s="16"/>
      <c r="D735" s="17"/>
      <c r="E735" s="1"/>
      <c r="F735" s="1"/>
      <c r="G735" s="1"/>
      <c r="H735" s="1"/>
    </row>
    <row r="736" spans="1:8" ht="14.5" x14ac:dyDescent="0.35">
      <c r="A736" s="15"/>
      <c r="B736" s="1"/>
      <c r="C736" s="16"/>
      <c r="D736" s="17"/>
      <c r="E736" s="1"/>
      <c r="F736" s="1"/>
      <c r="G736" s="1"/>
      <c r="H736" s="1"/>
    </row>
    <row r="737" spans="1:8" ht="14.5" x14ac:dyDescent="0.35">
      <c r="A737" s="15"/>
      <c r="B737" s="1"/>
      <c r="C737" s="16"/>
      <c r="D737" s="17"/>
      <c r="E737" s="2"/>
      <c r="F737" s="1"/>
      <c r="G737" s="1"/>
      <c r="H737" s="1"/>
    </row>
    <row r="738" spans="1:8" ht="14.5" x14ac:dyDescent="0.35">
      <c r="A738" s="15"/>
      <c r="B738" s="1"/>
      <c r="C738" s="16"/>
      <c r="D738" s="17"/>
      <c r="E738" s="1"/>
      <c r="F738" s="1"/>
      <c r="G738" s="1"/>
      <c r="H738" s="1"/>
    </row>
    <row r="739" spans="1:8" ht="14.5" x14ac:dyDescent="0.35">
      <c r="A739" s="15"/>
      <c r="B739" s="1"/>
      <c r="C739" s="16"/>
      <c r="D739" s="17"/>
      <c r="E739" s="1"/>
      <c r="F739" s="1"/>
      <c r="G739" s="1"/>
      <c r="H739" s="1"/>
    </row>
    <row r="740" spans="1:8" ht="14.5" x14ac:dyDescent="0.35">
      <c r="A740" s="15"/>
      <c r="B740" s="1"/>
      <c r="C740" s="16"/>
      <c r="D740" s="17"/>
      <c r="E740" s="2"/>
      <c r="F740" s="1"/>
      <c r="G740" s="1"/>
      <c r="H740" s="1"/>
    </row>
    <row r="741" spans="1:8" ht="14.5" x14ac:dyDescent="0.35">
      <c r="A741" s="15"/>
      <c r="B741" s="1"/>
      <c r="C741" s="16"/>
      <c r="D741" s="17"/>
      <c r="E741" s="2"/>
      <c r="F741" s="1"/>
      <c r="G741" s="1"/>
      <c r="H741" s="1"/>
    </row>
    <row r="742" spans="1:8" ht="14.5" x14ac:dyDescent="0.35">
      <c r="A742" s="15"/>
      <c r="B742" s="1"/>
      <c r="C742" s="16"/>
      <c r="D742" s="17"/>
      <c r="E742" s="2"/>
      <c r="F742" s="1"/>
      <c r="G742" s="1"/>
      <c r="H742" s="1"/>
    </row>
    <row r="743" spans="1:8" ht="14.5" x14ac:dyDescent="0.35">
      <c r="A743" s="15"/>
      <c r="B743" s="1"/>
      <c r="C743" s="16"/>
      <c r="D743" s="17"/>
      <c r="E743" s="1"/>
      <c r="F743" s="1"/>
      <c r="G743" s="1"/>
      <c r="H743" s="1"/>
    </row>
    <row r="744" spans="1:8" ht="14.5" x14ac:dyDescent="0.35">
      <c r="A744" s="15"/>
      <c r="B744" s="1"/>
      <c r="C744" s="16"/>
      <c r="D744" s="17"/>
      <c r="E744" s="3"/>
      <c r="F744" s="1"/>
      <c r="G744" s="1"/>
      <c r="H744" s="1"/>
    </row>
    <row r="745" spans="1:8" ht="14.5" x14ac:dyDescent="0.35">
      <c r="A745" s="15"/>
      <c r="B745" s="1"/>
      <c r="C745" s="16"/>
      <c r="D745" s="17"/>
      <c r="E745" s="1"/>
      <c r="F745" s="1"/>
      <c r="G745" s="1"/>
      <c r="H745" s="1"/>
    </row>
    <row r="746" spans="1:8" ht="14.5" x14ac:dyDescent="0.35">
      <c r="A746" s="15"/>
      <c r="B746" s="1"/>
      <c r="C746" s="16"/>
      <c r="D746" s="17"/>
      <c r="E746" s="1"/>
      <c r="F746" s="1"/>
      <c r="G746" s="1"/>
      <c r="H746" s="1"/>
    </row>
    <row r="747" spans="1:8" ht="14.5" x14ac:dyDescent="0.35">
      <c r="A747" s="15"/>
      <c r="B747" s="1"/>
      <c r="C747" s="16"/>
      <c r="D747" s="17"/>
      <c r="E747" s="2"/>
      <c r="F747" s="1"/>
      <c r="G747" s="1"/>
      <c r="H747" s="1"/>
    </row>
    <row r="748" spans="1:8" ht="14.5" x14ac:dyDescent="0.35">
      <c r="A748" s="15"/>
      <c r="B748" s="1"/>
      <c r="C748" s="16"/>
      <c r="D748" s="17"/>
      <c r="E748" s="1"/>
      <c r="F748" s="1"/>
      <c r="G748" s="1"/>
      <c r="H748" s="1"/>
    </row>
    <row r="749" spans="1:8" ht="14.5" x14ac:dyDescent="0.35">
      <c r="A749" s="15"/>
      <c r="B749" s="1"/>
      <c r="C749" s="16"/>
      <c r="D749" s="17"/>
      <c r="E749" s="1"/>
      <c r="F749" s="1"/>
      <c r="G749" s="1"/>
      <c r="H749" s="1"/>
    </row>
    <row r="750" spans="1:8" ht="14.5" x14ac:dyDescent="0.35">
      <c r="A750" s="15"/>
      <c r="B750" s="1"/>
      <c r="C750" s="16"/>
      <c r="D750" s="17"/>
      <c r="E750" s="1"/>
      <c r="F750" s="1"/>
      <c r="G750" s="1"/>
      <c r="H750" s="1"/>
    </row>
    <row r="751" spans="1:8" ht="14.5" x14ac:dyDescent="0.35">
      <c r="A751" s="15"/>
      <c r="B751" s="1"/>
      <c r="C751" s="16"/>
      <c r="D751" s="17"/>
      <c r="E751" s="2"/>
      <c r="F751" s="1"/>
      <c r="G751" s="1"/>
      <c r="H751" s="1"/>
    </row>
    <row r="752" spans="1:8" ht="14.5" x14ac:dyDescent="0.35">
      <c r="A752" s="15"/>
      <c r="B752" s="1"/>
      <c r="C752" s="16"/>
      <c r="D752" s="17"/>
      <c r="E752" s="1"/>
      <c r="F752" s="1"/>
      <c r="G752" s="1"/>
      <c r="H752" s="1"/>
    </row>
    <row r="753" spans="1:8" ht="14.5" x14ac:dyDescent="0.35">
      <c r="A753" s="15"/>
      <c r="B753" s="1"/>
      <c r="C753" s="16"/>
      <c r="D753" s="17"/>
      <c r="E753" s="2"/>
      <c r="F753" s="1"/>
      <c r="G753" s="1"/>
      <c r="H753" s="1"/>
    </row>
    <row r="754" spans="1:8" ht="14.5" x14ac:dyDescent="0.35">
      <c r="A754" s="15"/>
      <c r="B754" s="1"/>
      <c r="C754" s="16"/>
      <c r="D754" s="17"/>
      <c r="E754" s="2"/>
      <c r="F754" s="1"/>
      <c r="G754" s="1"/>
      <c r="H754" s="1"/>
    </row>
    <row r="755" spans="1:8" ht="14.5" x14ac:dyDescent="0.35">
      <c r="A755" s="15"/>
      <c r="B755" s="1"/>
      <c r="C755" s="16"/>
      <c r="D755" s="17"/>
      <c r="E755" s="2"/>
      <c r="F755" s="1"/>
      <c r="G755" s="1"/>
      <c r="H755" s="1"/>
    </row>
    <row r="756" spans="1:8" ht="14.5" x14ac:dyDescent="0.35">
      <c r="A756" s="15"/>
      <c r="B756" s="1"/>
      <c r="C756" s="16"/>
      <c r="D756" s="17"/>
      <c r="E756" s="1"/>
      <c r="F756" s="1"/>
      <c r="G756" s="1"/>
      <c r="H756" s="1"/>
    </row>
    <row r="757" spans="1:8" ht="14.5" x14ac:dyDescent="0.35">
      <c r="A757" s="15"/>
      <c r="B757" s="1"/>
      <c r="C757" s="16"/>
      <c r="D757" s="17"/>
      <c r="E757" s="1"/>
      <c r="F757" s="1"/>
      <c r="G757" s="1"/>
      <c r="H757" s="1"/>
    </row>
    <row r="758" spans="1:8" ht="14.5" x14ac:dyDescent="0.35">
      <c r="A758" s="15"/>
      <c r="B758" s="1"/>
      <c r="C758" s="16"/>
      <c r="D758" s="17"/>
      <c r="E758" s="2"/>
      <c r="F758" s="1"/>
      <c r="G758" s="1"/>
      <c r="H758" s="1"/>
    </row>
    <row r="759" spans="1:8" ht="14.5" x14ac:dyDescent="0.35">
      <c r="A759" s="15"/>
      <c r="B759" s="1"/>
      <c r="C759" s="16"/>
      <c r="D759" s="17"/>
      <c r="E759" s="1"/>
      <c r="F759" s="1"/>
      <c r="G759" s="1"/>
      <c r="H759" s="1"/>
    </row>
    <row r="760" spans="1:8" ht="14.5" x14ac:dyDescent="0.35">
      <c r="A760" s="15"/>
      <c r="B760" s="1"/>
      <c r="C760" s="16"/>
      <c r="D760" s="17"/>
      <c r="E760" s="1"/>
      <c r="F760" s="1"/>
      <c r="G760" s="1"/>
      <c r="H760" s="1"/>
    </row>
    <row r="761" spans="1:8" ht="14.5" x14ac:dyDescent="0.35">
      <c r="A761" s="15"/>
      <c r="B761" s="1"/>
      <c r="C761" s="16"/>
      <c r="D761" s="17"/>
      <c r="E761" s="3"/>
      <c r="F761" s="1"/>
      <c r="G761" s="1"/>
      <c r="H761" s="1"/>
    </row>
    <row r="762" spans="1:8" ht="14.5" x14ac:dyDescent="0.35">
      <c r="A762" s="15"/>
      <c r="B762" s="1"/>
      <c r="C762" s="16"/>
      <c r="D762" s="17"/>
      <c r="E762" s="2"/>
      <c r="F762" s="1"/>
      <c r="G762" s="1"/>
      <c r="H762" s="1"/>
    </row>
    <row r="763" spans="1:8" ht="14.5" x14ac:dyDescent="0.35">
      <c r="A763" s="15"/>
      <c r="B763" s="1"/>
      <c r="C763" s="16"/>
      <c r="D763" s="17"/>
      <c r="E763" s="1"/>
      <c r="F763" s="1"/>
      <c r="G763" s="1"/>
      <c r="H763" s="1"/>
    </row>
    <row r="764" spans="1:8" ht="14.5" x14ac:dyDescent="0.35">
      <c r="A764" s="15"/>
      <c r="B764" s="1"/>
      <c r="C764" s="16"/>
      <c r="D764" s="17"/>
      <c r="E764" s="1"/>
      <c r="F764" s="1"/>
      <c r="G764" s="1"/>
      <c r="H764" s="1"/>
    </row>
    <row r="765" spans="1:8" ht="14.5" x14ac:dyDescent="0.35">
      <c r="A765" s="15"/>
      <c r="B765" s="1"/>
      <c r="C765" s="16"/>
      <c r="D765" s="17"/>
      <c r="E765" s="2"/>
      <c r="F765" s="1"/>
      <c r="G765" s="1"/>
      <c r="H765" s="1"/>
    </row>
    <row r="766" spans="1:8" ht="14.5" x14ac:dyDescent="0.35">
      <c r="A766" s="15"/>
      <c r="B766" s="1"/>
      <c r="C766" s="16"/>
      <c r="D766" s="17"/>
      <c r="E766" s="2"/>
      <c r="F766" s="1"/>
      <c r="G766" s="1"/>
      <c r="H766" s="1"/>
    </row>
    <row r="767" spans="1:8" ht="14.5" x14ac:dyDescent="0.35">
      <c r="A767" s="15"/>
      <c r="B767" s="1"/>
      <c r="C767" s="16"/>
      <c r="D767" s="17"/>
      <c r="E767" s="1"/>
      <c r="F767" s="1"/>
      <c r="G767" s="1"/>
      <c r="H767" s="1"/>
    </row>
    <row r="768" spans="1:8" ht="14.5" x14ac:dyDescent="0.35">
      <c r="A768" s="15"/>
      <c r="B768" s="1"/>
      <c r="C768" s="16"/>
      <c r="D768" s="17"/>
      <c r="E768" s="2"/>
      <c r="F768" s="1"/>
      <c r="G768" s="1"/>
      <c r="H768" s="1"/>
    </row>
    <row r="769" spans="1:8" ht="14.5" x14ac:dyDescent="0.35">
      <c r="A769" s="15"/>
      <c r="B769" s="1"/>
      <c r="C769" s="16"/>
      <c r="D769" s="17"/>
      <c r="E769" s="2"/>
      <c r="F769" s="1"/>
      <c r="G769" s="1"/>
      <c r="H769" s="1"/>
    </row>
    <row r="770" spans="1:8" ht="14.5" x14ac:dyDescent="0.35">
      <c r="A770" s="15"/>
      <c r="B770" s="1"/>
      <c r="C770" s="16"/>
      <c r="D770" s="17"/>
      <c r="E770" s="2"/>
      <c r="F770" s="1"/>
      <c r="G770" s="1"/>
      <c r="H770" s="1"/>
    </row>
    <row r="771" spans="1:8" ht="14.5" x14ac:dyDescent="0.35">
      <c r="A771" s="15"/>
      <c r="B771" s="1"/>
      <c r="C771" s="16"/>
      <c r="D771" s="17"/>
      <c r="E771" s="2"/>
      <c r="F771" s="1"/>
      <c r="G771" s="1"/>
      <c r="H771" s="1"/>
    </row>
    <row r="772" spans="1:8" ht="14.5" x14ac:dyDescent="0.35">
      <c r="A772" s="15"/>
      <c r="B772" s="1"/>
      <c r="C772" s="16"/>
      <c r="D772" s="17"/>
      <c r="E772" s="2"/>
      <c r="F772" s="1"/>
      <c r="G772" s="1"/>
      <c r="H772" s="1"/>
    </row>
    <row r="773" spans="1:8" ht="14.5" x14ac:dyDescent="0.35">
      <c r="A773" s="15"/>
      <c r="B773" s="1"/>
      <c r="C773" s="16"/>
      <c r="D773" s="17"/>
      <c r="E773" s="2"/>
      <c r="F773" s="1"/>
      <c r="G773" s="1"/>
      <c r="H773" s="1"/>
    </row>
    <row r="774" spans="1:8" ht="14.5" x14ac:dyDescent="0.35">
      <c r="A774" s="15"/>
      <c r="B774" s="1"/>
      <c r="C774" s="16"/>
      <c r="D774" s="17"/>
      <c r="E774" s="1"/>
      <c r="F774" s="1"/>
      <c r="G774" s="1"/>
      <c r="H774" s="1"/>
    </row>
    <row r="775" spans="1:8" ht="14.5" x14ac:dyDescent="0.35">
      <c r="A775" s="15"/>
      <c r="B775" s="1"/>
      <c r="C775" s="16"/>
      <c r="D775" s="17"/>
      <c r="E775" s="1"/>
      <c r="F775" s="1"/>
      <c r="G775" s="1"/>
      <c r="H775" s="1"/>
    </row>
    <row r="776" spans="1:8" ht="14.5" x14ac:dyDescent="0.35">
      <c r="A776" s="15"/>
      <c r="B776" s="1"/>
      <c r="C776" s="16"/>
      <c r="D776" s="17"/>
      <c r="E776" s="1"/>
      <c r="F776" s="1"/>
      <c r="G776" s="1"/>
      <c r="H776" s="1"/>
    </row>
    <row r="777" spans="1:8" ht="14.5" x14ac:dyDescent="0.35">
      <c r="A777" s="15"/>
      <c r="B777" s="1"/>
      <c r="C777" s="16"/>
      <c r="D777" s="17"/>
      <c r="E777" s="2"/>
      <c r="F777" s="1"/>
      <c r="G777" s="1"/>
      <c r="H777" s="1"/>
    </row>
    <row r="778" spans="1:8" ht="14.5" x14ac:dyDescent="0.35">
      <c r="A778" s="15"/>
      <c r="B778" s="1"/>
      <c r="C778" s="16"/>
      <c r="D778" s="17"/>
      <c r="E778" s="2"/>
      <c r="F778" s="1"/>
      <c r="G778" s="1"/>
      <c r="H778" s="1"/>
    </row>
    <row r="779" spans="1:8" ht="14.5" x14ac:dyDescent="0.35">
      <c r="A779" s="15"/>
      <c r="B779" s="1"/>
      <c r="C779" s="16"/>
      <c r="D779" s="17"/>
      <c r="E779" s="1"/>
      <c r="F779" s="1"/>
      <c r="G779" s="1"/>
      <c r="H779" s="1"/>
    </row>
    <row r="780" spans="1:8" ht="14.5" x14ac:dyDescent="0.35">
      <c r="A780" s="15"/>
      <c r="B780" s="1"/>
      <c r="C780" s="16"/>
      <c r="D780" s="17"/>
      <c r="E780" s="3"/>
      <c r="F780" s="1"/>
      <c r="G780" s="1"/>
      <c r="H780" s="1"/>
    </row>
    <row r="781" spans="1:8" ht="14.5" x14ac:dyDescent="0.35">
      <c r="A781" s="15"/>
      <c r="B781" s="1"/>
      <c r="C781" s="16"/>
      <c r="D781" s="17"/>
      <c r="E781" s="1"/>
      <c r="F781" s="1"/>
      <c r="G781" s="1"/>
      <c r="H781" s="1"/>
    </row>
    <row r="782" spans="1:8" ht="14.5" x14ac:dyDescent="0.35">
      <c r="A782" s="15"/>
      <c r="B782" s="1"/>
      <c r="C782" s="16"/>
      <c r="D782" s="17"/>
      <c r="E782" s="1"/>
      <c r="F782" s="1"/>
      <c r="G782" s="1"/>
      <c r="H782" s="1"/>
    </row>
    <row r="783" spans="1:8" ht="14.5" x14ac:dyDescent="0.35">
      <c r="A783" s="15"/>
      <c r="B783" s="1"/>
      <c r="C783" s="16"/>
      <c r="D783" s="17"/>
      <c r="E783" s="2"/>
      <c r="F783" s="1"/>
      <c r="G783" s="1"/>
      <c r="H783" s="1"/>
    </row>
    <row r="784" spans="1:8" ht="14.5" x14ac:dyDescent="0.35">
      <c r="A784" s="15"/>
      <c r="B784" s="1"/>
      <c r="C784" s="16"/>
      <c r="D784" s="17"/>
      <c r="E784" s="1"/>
      <c r="F784" s="1"/>
      <c r="G784" s="1"/>
      <c r="H784" s="1"/>
    </row>
    <row r="785" spans="1:8" ht="14.5" x14ac:dyDescent="0.35">
      <c r="A785" s="15"/>
      <c r="B785" s="1"/>
      <c r="C785" s="16"/>
      <c r="D785" s="17"/>
      <c r="E785" s="2"/>
      <c r="F785" s="1"/>
      <c r="G785" s="1"/>
      <c r="H785" s="1"/>
    </row>
    <row r="786" spans="1:8" ht="14.5" x14ac:dyDescent="0.35">
      <c r="A786" s="15"/>
      <c r="B786" s="1"/>
      <c r="C786" s="16"/>
      <c r="D786" s="17"/>
      <c r="E786" s="2"/>
      <c r="F786" s="1"/>
      <c r="G786" s="1"/>
      <c r="H786" s="1"/>
    </row>
    <row r="787" spans="1:8" ht="14.5" x14ac:dyDescent="0.35">
      <c r="A787" s="15"/>
      <c r="B787" s="1"/>
      <c r="C787" s="16"/>
      <c r="D787" s="17"/>
      <c r="E787" s="1"/>
      <c r="F787" s="1"/>
      <c r="G787" s="1"/>
      <c r="H787" s="1"/>
    </row>
    <row r="788" spans="1:8" ht="14.5" x14ac:dyDescent="0.35">
      <c r="A788" s="15"/>
      <c r="B788" s="1"/>
      <c r="C788" s="16"/>
      <c r="D788" s="17"/>
      <c r="E788" s="2"/>
      <c r="F788" s="1"/>
      <c r="G788" s="1"/>
      <c r="H788" s="1"/>
    </row>
    <row r="789" spans="1:8" ht="14.5" x14ac:dyDescent="0.35">
      <c r="A789" s="15"/>
      <c r="B789" s="1"/>
      <c r="C789" s="16"/>
      <c r="D789" s="17"/>
      <c r="E789" s="2"/>
      <c r="F789" s="1"/>
      <c r="G789" s="1"/>
      <c r="H789" s="1"/>
    </row>
    <row r="790" spans="1:8" ht="14.5" x14ac:dyDescent="0.35">
      <c r="A790" s="15"/>
      <c r="B790" s="1"/>
      <c r="C790" s="16"/>
      <c r="D790" s="17"/>
      <c r="E790" s="2"/>
      <c r="F790" s="1"/>
      <c r="G790" s="1"/>
      <c r="H790" s="1"/>
    </row>
    <row r="791" spans="1:8" ht="14.5" x14ac:dyDescent="0.35">
      <c r="A791" s="15"/>
      <c r="B791" s="1"/>
      <c r="C791" s="16"/>
      <c r="D791" s="17"/>
      <c r="E791" s="1"/>
      <c r="F791" s="1"/>
      <c r="G791" s="1"/>
      <c r="H791" s="1"/>
    </row>
    <row r="792" spans="1:8" ht="14.5" x14ac:dyDescent="0.35">
      <c r="A792" s="15"/>
      <c r="B792" s="1"/>
      <c r="C792" s="16"/>
      <c r="D792" s="17"/>
      <c r="E792" s="1"/>
      <c r="F792" s="1"/>
      <c r="G792" s="1"/>
      <c r="H792" s="1"/>
    </row>
    <row r="793" spans="1:8" ht="14.5" x14ac:dyDescent="0.35">
      <c r="A793" s="15"/>
      <c r="B793" s="1"/>
      <c r="C793" s="16"/>
      <c r="D793" s="17"/>
      <c r="E793" s="1"/>
      <c r="F793" s="1"/>
      <c r="G793" s="1"/>
      <c r="H793" s="1"/>
    </row>
    <row r="794" spans="1:8" ht="14.5" x14ac:dyDescent="0.35">
      <c r="A794" s="15"/>
      <c r="B794" s="1"/>
      <c r="C794" s="16"/>
      <c r="D794" s="17"/>
      <c r="E794" s="2"/>
      <c r="F794" s="1"/>
      <c r="G794" s="1"/>
      <c r="H794" s="1"/>
    </row>
    <row r="795" spans="1:8" ht="14.5" x14ac:dyDescent="0.35">
      <c r="A795" s="15"/>
      <c r="B795" s="1"/>
      <c r="C795" s="16"/>
      <c r="D795" s="17"/>
      <c r="E795" s="1"/>
      <c r="F795" s="1"/>
      <c r="G795" s="1"/>
      <c r="H795" s="1"/>
    </row>
    <row r="796" spans="1:8" ht="14.5" x14ac:dyDescent="0.35">
      <c r="A796" s="15"/>
      <c r="B796" s="1"/>
      <c r="C796" s="16"/>
      <c r="D796" s="17"/>
      <c r="E796" s="1"/>
      <c r="F796" s="1"/>
      <c r="G796" s="1"/>
      <c r="H796" s="1"/>
    </row>
    <row r="797" spans="1:8" ht="14.5" x14ac:dyDescent="0.35">
      <c r="A797" s="15"/>
      <c r="B797" s="1"/>
      <c r="C797" s="16"/>
      <c r="D797" s="17"/>
      <c r="E797" s="1"/>
      <c r="F797" s="1"/>
      <c r="G797" s="1"/>
      <c r="H797" s="1"/>
    </row>
    <row r="798" spans="1:8" ht="14.5" x14ac:dyDescent="0.35">
      <c r="A798" s="15"/>
      <c r="B798" s="1"/>
      <c r="C798" s="16"/>
      <c r="D798" s="17"/>
      <c r="E798" s="1"/>
      <c r="F798" s="1"/>
      <c r="G798" s="1"/>
      <c r="H798" s="1"/>
    </row>
    <row r="799" spans="1:8" ht="14.5" x14ac:dyDescent="0.35">
      <c r="A799" s="15"/>
      <c r="B799" s="1"/>
      <c r="C799" s="16"/>
      <c r="D799" s="17"/>
      <c r="E799" s="1"/>
      <c r="F799" s="1"/>
      <c r="G799" s="1"/>
      <c r="H799" s="1"/>
    </row>
    <row r="800" spans="1:8" ht="14.5" x14ac:dyDescent="0.35">
      <c r="A800" s="15"/>
      <c r="B800" s="1"/>
      <c r="C800" s="16"/>
      <c r="D800" s="17"/>
      <c r="E800" s="1"/>
      <c r="F800" s="1"/>
      <c r="G800" s="1"/>
      <c r="H800" s="1"/>
    </row>
    <row r="801" spans="1:8" ht="14.5" x14ac:dyDescent="0.35">
      <c r="A801" s="15"/>
      <c r="B801" s="1"/>
      <c r="C801" s="16"/>
      <c r="D801" s="17"/>
      <c r="E801" s="1"/>
      <c r="F801" s="1"/>
      <c r="G801" s="1"/>
      <c r="H801" s="1"/>
    </row>
    <row r="802" spans="1:8" ht="14.5" x14ac:dyDescent="0.35">
      <c r="A802" s="15"/>
      <c r="B802" s="1"/>
      <c r="C802" s="16"/>
      <c r="D802" s="17"/>
      <c r="E802" s="1"/>
      <c r="F802" s="1"/>
      <c r="G802" s="1"/>
      <c r="H802" s="1"/>
    </row>
    <row r="803" spans="1:8" ht="14.5" x14ac:dyDescent="0.35">
      <c r="A803" s="15"/>
      <c r="B803" s="1"/>
      <c r="C803" s="16"/>
      <c r="D803" s="17"/>
      <c r="E803" s="1"/>
      <c r="F803" s="1"/>
      <c r="G803" s="1"/>
      <c r="H803" s="1"/>
    </row>
    <row r="804" spans="1:8" ht="14.5" x14ac:dyDescent="0.35">
      <c r="A804" s="15"/>
      <c r="B804" s="1"/>
      <c r="C804" s="16"/>
      <c r="D804" s="17"/>
      <c r="E804" s="1"/>
      <c r="F804" s="1"/>
      <c r="G804" s="1"/>
      <c r="H804" s="1"/>
    </row>
    <row r="805" spans="1:8" ht="14.5" x14ac:dyDescent="0.35">
      <c r="A805" s="15"/>
      <c r="B805" s="1"/>
      <c r="C805" s="16"/>
      <c r="D805" s="17"/>
      <c r="E805" s="2"/>
      <c r="F805" s="1"/>
      <c r="G805" s="1"/>
      <c r="H805" s="1"/>
    </row>
    <row r="806" spans="1:8" ht="14.5" x14ac:dyDescent="0.35">
      <c r="A806" s="15"/>
      <c r="B806" s="1"/>
      <c r="C806" s="16"/>
      <c r="D806" s="17"/>
      <c r="E806" s="1"/>
      <c r="F806" s="1"/>
      <c r="G806" s="1"/>
      <c r="H806" s="1"/>
    </row>
    <row r="807" spans="1:8" ht="14.5" x14ac:dyDescent="0.35">
      <c r="A807" s="15"/>
      <c r="B807" s="1"/>
      <c r="C807" s="16"/>
      <c r="D807" s="17"/>
      <c r="E807" s="2"/>
      <c r="F807" s="1"/>
      <c r="G807" s="1"/>
      <c r="H807" s="1"/>
    </row>
    <row r="808" spans="1:8" ht="14.5" x14ac:dyDescent="0.35">
      <c r="A808" s="15"/>
      <c r="B808" s="1"/>
      <c r="C808" s="16"/>
      <c r="D808" s="17"/>
      <c r="E808" s="1"/>
      <c r="F808" s="1"/>
      <c r="G808" s="1"/>
      <c r="H808" s="1"/>
    </row>
    <row r="809" spans="1:8" ht="14.5" x14ac:dyDescent="0.35">
      <c r="A809" s="15"/>
      <c r="B809" s="1"/>
      <c r="C809" s="16"/>
      <c r="D809" s="17"/>
      <c r="E809" s="2"/>
      <c r="F809" s="1"/>
      <c r="G809" s="1"/>
      <c r="H809" s="1"/>
    </row>
    <row r="810" spans="1:8" ht="14.5" x14ac:dyDescent="0.35">
      <c r="A810" s="15"/>
      <c r="B810" s="1"/>
      <c r="C810" s="16"/>
      <c r="D810" s="17"/>
      <c r="E810" s="1"/>
      <c r="F810" s="1"/>
      <c r="G810" s="1"/>
      <c r="H810" s="1"/>
    </row>
    <row r="811" spans="1:8" ht="14.5" x14ac:dyDescent="0.35">
      <c r="A811" s="15"/>
      <c r="B811" s="1"/>
      <c r="C811" s="16"/>
      <c r="D811" s="17"/>
      <c r="E811" s="2"/>
      <c r="F811" s="1"/>
      <c r="G811" s="1"/>
      <c r="H811" s="1"/>
    </row>
    <row r="812" spans="1:8" ht="14.5" x14ac:dyDescent="0.35">
      <c r="A812" s="15"/>
      <c r="B812" s="1"/>
      <c r="C812" s="16"/>
      <c r="D812" s="17"/>
      <c r="E812" s="2"/>
      <c r="F812" s="1"/>
      <c r="G812" s="1"/>
      <c r="H812" s="1"/>
    </row>
    <row r="813" spans="1:8" ht="14.5" x14ac:dyDescent="0.35">
      <c r="A813" s="15"/>
      <c r="B813" s="1"/>
      <c r="C813" s="16"/>
      <c r="D813" s="17"/>
      <c r="E813" s="1"/>
      <c r="F813" s="1"/>
      <c r="G813" s="1"/>
      <c r="H813" s="1"/>
    </row>
    <row r="814" spans="1:8" ht="14.5" x14ac:dyDescent="0.35">
      <c r="A814" s="15"/>
      <c r="B814" s="1"/>
      <c r="C814" s="16"/>
      <c r="D814" s="17"/>
      <c r="E814" s="1"/>
      <c r="F814" s="1"/>
      <c r="G814" s="1"/>
      <c r="H814" s="1"/>
    </row>
    <row r="815" spans="1:8" ht="14.5" x14ac:dyDescent="0.35">
      <c r="A815" s="15"/>
      <c r="B815" s="1"/>
      <c r="C815" s="16"/>
      <c r="D815" s="17"/>
      <c r="E815" s="1"/>
      <c r="F815" s="1"/>
      <c r="G815" s="1"/>
      <c r="H815" s="1"/>
    </row>
    <row r="816" spans="1:8" ht="14.5" x14ac:dyDescent="0.35">
      <c r="A816" s="15"/>
      <c r="B816" s="1"/>
      <c r="C816" s="16"/>
      <c r="D816" s="17"/>
      <c r="E816" s="2"/>
      <c r="F816" s="1"/>
      <c r="G816" s="1"/>
      <c r="H816" s="1"/>
    </row>
    <row r="817" spans="1:8" ht="14.5" x14ac:dyDescent="0.35">
      <c r="A817" s="15"/>
      <c r="B817" s="1"/>
      <c r="C817" s="16"/>
      <c r="D817" s="17"/>
      <c r="E817" s="1"/>
      <c r="F817" s="1"/>
      <c r="G817" s="1"/>
      <c r="H817" s="1"/>
    </row>
    <row r="818" spans="1:8" ht="14.5" x14ac:dyDescent="0.35">
      <c r="A818" s="15"/>
      <c r="B818" s="1"/>
      <c r="C818" s="16"/>
      <c r="D818" s="17"/>
      <c r="E818" s="1"/>
      <c r="F818" s="1"/>
      <c r="G818" s="1"/>
      <c r="H818" s="1"/>
    </row>
    <row r="819" spans="1:8" ht="14.5" x14ac:dyDescent="0.35">
      <c r="A819" s="15"/>
      <c r="B819" s="1"/>
      <c r="C819" s="16"/>
      <c r="D819" s="17"/>
      <c r="E819" s="1"/>
      <c r="F819" s="1"/>
      <c r="G819" s="1"/>
      <c r="H819" s="1"/>
    </row>
    <row r="820" spans="1:8" ht="14.5" x14ac:dyDescent="0.35">
      <c r="A820" s="15"/>
      <c r="B820" s="1"/>
      <c r="C820" s="16"/>
      <c r="D820" s="17"/>
      <c r="E820" s="1"/>
      <c r="F820" s="1"/>
      <c r="G820" s="1"/>
      <c r="H820" s="1"/>
    </row>
    <row r="821" spans="1:8" ht="14.5" x14ac:dyDescent="0.35">
      <c r="A821" s="15"/>
      <c r="B821" s="1"/>
      <c r="C821" s="16"/>
      <c r="D821" s="17"/>
      <c r="E821" s="1"/>
      <c r="F821" s="1"/>
      <c r="G821" s="1"/>
      <c r="H821" s="1"/>
    </row>
    <row r="822" spans="1:8" ht="14.5" x14ac:dyDescent="0.35">
      <c r="A822" s="15"/>
      <c r="B822" s="1"/>
      <c r="C822" s="16"/>
      <c r="D822" s="17"/>
      <c r="E822" s="2"/>
      <c r="F822" s="1"/>
      <c r="G822" s="1"/>
      <c r="H822" s="1"/>
    </row>
    <row r="823" spans="1:8" ht="14.5" x14ac:dyDescent="0.35">
      <c r="A823" s="15"/>
      <c r="B823" s="1"/>
      <c r="C823" s="16"/>
      <c r="D823" s="17"/>
      <c r="E823" s="2"/>
      <c r="F823" s="1"/>
      <c r="G823" s="1"/>
      <c r="H823" s="1"/>
    </row>
    <row r="824" spans="1:8" ht="14.5" x14ac:dyDescent="0.35">
      <c r="A824" s="15"/>
      <c r="B824" s="1"/>
      <c r="C824" s="16"/>
      <c r="D824" s="17"/>
      <c r="E824" s="1"/>
      <c r="F824" s="1"/>
      <c r="G824" s="1"/>
      <c r="H824" s="1"/>
    </row>
    <row r="825" spans="1:8" ht="14.5" x14ac:dyDescent="0.35">
      <c r="A825" s="15"/>
      <c r="B825" s="1"/>
      <c r="C825" s="16"/>
      <c r="D825" s="17"/>
      <c r="E825" s="2"/>
      <c r="F825" s="1"/>
      <c r="G825" s="1"/>
      <c r="H825" s="1"/>
    </row>
    <row r="826" spans="1:8" ht="14.5" x14ac:dyDescent="0.35">
      <c r="A826" s="15"/>
      <c r="B826" s="1"/>
      <c r="C826" s="16"/>
      <c r="D826" s="17"/>
      <c r="E826" s="1"/>
      <c r="F826" s="1"/>
      <c r="G826" s="1"/>
      <c r="H826" s="1"/>
    </row>
    <row r="827" spans="1:8" ht="14.5" x14ac:dyDescent="0.35">
      <c r="A827" s="15"/>
      <c r="B827" s="1"/>
      <c r="C827" s="16"/>
      <c r="D827" s="17"/>
      <c r="E827" s="2"/>
      <c r="F827" s="1"/>
      <c r="G827" s="1"/>
      <c r="H827" s="1"/>
    </row>
    <row r="828" spans="1:8" ht="14.5" x14ac:dyDescent="0.35">
      <c r="A828" s="15"/>
      <c r="B828" s="1"/>
      <c r="C828" s="16"/>
      <c r="D828" s="17"/>
      <c r="E828" s="2"/>
      <c r="F828" s="1"/>
      <c r="G828" s="1"/>
      <c r="H828" s="1"/>
    </row>
    <row r="829" spans="1:8" ht="14.5" x14ac:dyDescent="0.35">
      <c r="A829" s="15"/>
      <c r="B829" s="1"/>
      <c r="C829" s="16"/>
      <c r="D829" s="17"/>
      <c r="E829" s="1"/>
      <c r="F829" s="1"/>
      <c r="G829" s="1"/>
      <c r="H829" s="1"/>
    </row>
    <row r="830" spans="1:8" ht="14.5" x14ac:dyDescent="0.35">
      <c r="A830" s="15"/>
      <c r="B830" s="1"/>
      <c r="C830" s="16"/>
      <c r="D830" s="17"/>
      <c r="E830" s="1"/>
      <c r="F830" s="1"/>
      <c r="G830" s="1"/>
      <c r="H830" s="1"/>
    </row>
    <row r="831" spans="1:8" ht="14.5" x14ac:dyDescent="0.35">
      <c r="A831" s="15"/>
      <c r="B831" s="1"/>
      <c r="C831" s="16"/>
      <c r="D831" s="17"/>
      <c r="E831" s="1"/>
      <c r="F831" s="1"/>
      <c r="G831" s="1"/>
      <c r="H831" s="1"/>
    </row>
    <row r="832" spans="1:8" ht="14.5" x14ac:dyDescent="0.35">
      <c r="A832" s="15"/>
      <c r="B832" s="1"/>
      <c r="C832" s="16"/>
      <c r="D832" s="17"/>
      <c r="E832" s="1"/>
      <c r="F832" s="1"/>
      <c r="G832" s="1"/>
      <c r="H832" s="1"/>
    </row>
    <row r="833" spans="1:8" ht="14.5" x14ac:dyDescent="0.35">
      <c r="A833" s="15"/>
      <c r="B833" s="1"/>
      <c r="C833" s="16"/>
      <c r="D833" s="17"/>
      <c r="E833" s="1"/>
      <c r="F833" s="1"/>
      <c r="G833" s="1"/>
      <c r="H833" s="1"/>
    </row>
    <row r="834" spans="1:8" ht="14.5" x14ac:dyDescent="0.35">
      <c r="A834" s="15"/>
      <c r="B834" s="1"/>
      <c r="C834" s="16"/>
      <c r="D834" s="17"/>
      <c r="E834" s="2"/>
      <c r="F834" s="1"/>
      <c r="G834" s="1"/>
      <c r="H834" s="1"/>
    </row>
    <row r="835" spans="1:8" ht="14.5" x14ac:dyDescent="0.35">
      <c r="A835" s="15"/>
      <c r="B835" s="1"/>
      <c r="C835" s="16"/>
      <c r="D835" s="17"/>
      <c r="E835" s="1"/>
      <c r="F835" s="1"/>
      <c r="G835" s="1"/>
      <c r="H835" s="1"/>
    </row>
    <row r="836" spans="1:8" ht="14.5" x14ac:dyDescent="0.35">
      <c r="A836" s="15"/>
      <c r="B836" s="1"/>
      <c r="C836" s="16"/>
      <c r="D836" s="17"/>
      <c r="E836" s="1"/>
      <c r="F836" s="1"/>
      <c r="G836" s="1"/>
      <c r="H836" s="1"/>
    </row>
    <row r="837" spans="1:8" ht="14.5" x14ac:dyDescent="0.35">
      <c r="A837" s="15"/>
      <c r="B837" s="1"/>
      <c r="C837" s="16"/>
      <c r="D837" s="17"/>
      <c r="E837" s="2"/>
      <c r="F837" s="1"/>
      <c r="G837" s="1"/>
      <c r="H837" s="1"/>
    </row>
    <row r="838" spans="1:8" ht="14.5" x14ac:dyDescent="0.35">
      <c r="A838" s="15"/>
      <c r="B838" s="1"/>
      <c r="C838" s="16"/>
      <c r="D838" s="17"/>
      <c r="E838" s="1"/>
      <c r="F838" s="1"/>
      <c r="G838" s="1"/>
      <c r="H838" s="1"/>
    </row>
    <row r="839" spans="1:8" ht="14.5" x14ac:dyDescent="0.35">
      <c r="A839" s="15"/>
      <c r="B839" s="1"/>
      <c r="C839" s="16"/>
      <c r="D839" s="17"/>
      <c r="E839" s="1"/>
      <c r="F839" s="1"/>
      <c r="G839" s="1"/>
      <c r="H839" s="1"/>
    </row>
    <row r="840" spans="1:8" ht="14.5" x14ac:dyDescent="0.35">
      <c r="A840" s="15"/>
      <c r="B840" s="1"/>
      <c r="C840" s="16"/>
      <c r="D840" s="17"/>
      <c r="E840" s="1"/>
      <c r="F840" s="1"/>
      <c r="G840" s="1"/>
      <c r="H840" s="1"/>
    </row>
    <row r="841" spans="1:8" ht="14.5" x14ac:dyDescent="0.35">
      <c r="A841" s="15"/>
      <c r="B841" s="1"/>
      <c r="C841" s="16"/>
      <c r="D841" s="17"/>
      <c r="E841" s="2"/>
      <c r="F841" s="1"/>
      <c r="G841" s="1"/>
      <c r="H841" s="1"/>
    </row>
    <row r="842" spans="1:8" ht="14.5" x14ac:dyDescent="0.35">
      <c r="A842" s="15"/>
      <c r="B842" s="1"/>
      <c r="C842" s="16"/>
      <c r="D842" s="17"/>
      <c r="E842" s="2"/>
      <c r="F842" s="1"/>
      <c r="G842" s="1"/>
      <c r="H842" s="1"/>
    </row>
    <row r="843" spans="1:8" ht="14.5" x14ac:dyDescent="0.35">
      <c r="A843" s="15"/>
      <c r="B843" s="1"/>
      <c r="C843" s="16"/>
      <c r="D843" s="17"/>
      <c r="E843" s="1"/>
      <c r="F843" s="1"/>
      <c r="G843" s="1"/>
      <c r="H843" s="1"/>
    </row>
    <row r="844" spans="1:8" ht="14.5" x14ac:dyDescent="0.35">
      <c r="A844" s="15"/>
      <c r="B844" s="1"/>
      <c r="C844" s="16"/>
      <c r="D844" s="17"/>
      <c r="E844" s="2"/>
      <c r="F844" s="1"/>
      <c r="G844" s="1"/>
      <c r="H844" s="1"/>
    </row>
    <row r="845" spans="1:8" ht="14.5" x14ac:dyDescent="0.35">
      <c r="A845" s="15"/>
      <c r="B845" s="1"/>
      <c r="C845" s="16"/>
      <c r="D845" s="17"/>
      <c r="E845" s="3"/>
      <c r="F845" s="1"/>
      <c r="G845" s="1"/>
      <c r="H845" s="1"/>
    </row>
    <row r="846" spans="1:8" ht="14.5" x14ac:dyDescent="0.35">
      <c r="A846" s="15"/>
      <c r="B846" s="1"/>
      <c r="C846" s="16"/>
      <c r="D846" s="17"/>
      <c r="E846" s="1"/>
      <c r="F846" s="1"/>
      <c r="G846" s="1"/>
      <c r="H846" s="1"/>
    </row>
    <row r="847" spans="1:8" ht="14.5" x14ac:dyDescent="0.35">
      <c r="A847" s="15"/>
      <c r="B847" s="1"/>
      <c r="C847" s="16"/>
      <c r="D847" s="17"/>
      <c r="E847" s="1"/>
      <c r="F847" s="1"/>
      <c r="G847" s="1"/>
      <c r="H847" s="1"/>
    </row>
    <row r="848" spans="1:8" ht="14.5" x14ac:dyDescent="0.35">
      <c r="A848" s="15"/>
      <c r="B848" s="1"/>
      <c r="C848" s="16"/>
      <c r="D848" s="17"/>
      <c r="E848" s="2"/>
      <c r="F848" s="1"/>
      <c r="G848" s="1"/>
      <c r="H848" s="1"/>
    </row>
    <row r="849" spans="1:8" ht="14.5" x14ac:dyDescent="0.35">
      <c r="A849" s="15"/>
      <c r="B849" s="1"/>
      <c r="C849" s="16"/>
      <c r="D849" s="17"/>
      <c r="E849" s="1"/>
      <c r="F849" s="1"/>
      <c r="G849" s="1"/>
      <c r="H849" s="1"/>
    </row>
    <row r="850" spans="1:8" ht="14.5" x14ac:dyDescent="0.35">
      <c r="A850" s="15"/>
      <c r="B850" s="1"/>
      <c r="C850" s="16"/>
      <c r="D850" s="17"/>
      <c r="E850" s="3"/>
      <c r="F850" s="1"/>
      <c r="G850" s="1"/>
      <c r="H850" s="1"/>
    </row>
    <row r="851" spans="1:8" ht="14.5" x14ac:dyDescent="0.35">
      <c r="A851" s="15"/>
      <c r="B851" s="1"/>
      <c r="C851" s="16"/>
      <c r="D851" s="17"/>
      <c r="E851" s="2"/>
      <c r="F851" s="1"/>
      <c r="G851" s="1"/>
      <c r="H851" s="1"/>
    </row>
    <row r="852" spans="1:8" ht="14.5" x14ac:dyDescent="0.35">
      <c r="A852" s="15"/>
      <c r="B852" s="1"/>
      <c r="C852" s="16"/>
      <c r="D852" s="17"/>
      <c r="E852" s="1"/>
      <c r="F852" s="1"/>
      <c r="G852" s="1"/>
      <c r="H852" s="1"/>
    </row>
    <row r="853" spans="1:8" ht="14.5" x14ac:dyDescent="0.35">
      <c r="A853" s="15"/>
      <c r="B853" s="1"/>
      <c r="C853" s="16"/>
      <c r="D853" s="17"/>
      <c r="E853" s="1"/>
      <c r="F853" s="1"/>
      <c r="G853" s="1"/>
      <c r="H853" s="1"/>
    </row>
    <row r="854" spans="1:8" ht="14.5" x14ac:dyDescent="0.35">
      <c r="A854" s="15"/>
      <c r="B854" s="1"/>
      <c r="C854" s="16"/>
      <c r="D854" s="17"/>
      <c r="E854" s="1"/>
      <c r="F854" s="1"/>
      <c r="G854" s="1"/>
      <c r="H854" s="1"/>
    </row>
    <row r="855" spans="1:8" ht="14.5" x14ac:dyDescent="0.35">
      <c r="A855" s="15"/>
      <c r="B855" s="1"/>
      <c r="C855" s="16"/>
      <c r="D855" s="17"/>
      <c r="E855" s="1"/>
      <c r="F855" s="1"/>
      <c r="G855" s="1"/>
      <c r="H855" s="1"/>
    </row>
    <row r="856" spans="1:8" ht="14.5" x14ac:dyDescent="0.35">
      <c r="A856" s="15"/>
      <c r="B856" s="1"/>
      <c r="C856" s="16"/>
      <c r="D856" s="17"/>
      <c r="E856" s="2"/>
      <c r="F856" s="1"/>
      <c r="G856" s="1"/>
      <c r="H856" s="1"/>
    </row>
    <row r="857" spans="1:8" ht="14.5" x14ac:dyDescent="0.35">
      <c r="A857" s="15"/>
      <c r="B857" s="1"/>
      <c r="C857" s="16"/>
      <c r="D857" s="17"/>
      <c r="E857" s="1"/>
      <c r="F857" s="1"/>
      <c r="G857" s="1"/>
      <c r="H857" s="1"/>
    </row>
    <row r="858" spans="1:8" ht="14.5" x14ac:dyDescent="0.35">
      <c r="A858" s="15"/>
      <c r="B858" s="1"/>
      <c r="C858" s="16"/>
      <c r="D858" s="17"/>
      <c r="E858" s="1"/>
      <c r="F858" s="1"/>
      <c r="G858" s="1"/>
      <c r="H858" s="1"/>
    </row>
    <row r="859" spans="1:8" ht="14.5" x14ac:dyDescent="0.35">
      <c r="A859" s="15"/>
      <c r="B859" s="1"/>
      <c r="C859" s="16"/>
      <c r="D859" s="17"/>
      <c r="E859" s="1"/>
      <c r="F859" s="1"/>
      <c r="G859" s="1"/>
      <c r="H859" s="1"/>
    </row>
    <row r="860" spans="1:8" ht="14.5" x14ac:dyDescent="0.35">
      <c r="A860" s="15"/>
      <c r="B860" s="1"/>
      <c r="C860" s="16"/>
      <c r="D860" s="17"/>
      <c r="E860" s="2"/>
      <c r="F860" s="1"/>
      <c r="G860" s="1"/>
      <c r="H860" s="1"/>
    </row>
    <row r="861" spans="1:8" ht="14.5" x14ac:dyDescent="0.35">
      <c r="A861" s="15"/>
      <c r="B861" s="1"/>
      <c r="C861" s="16"/>
      <c r="D861" s="17"/>
      <c r="E861" s="1"/>
      <c r="F861" s="1"/>
      <c r="G861" s="1"/>
      <c r="H861" s="1"/>
    </row>
    <row r="862" spans="1:8" ht="14.5" x14ac:dyDescent="0.35">
      <c r="A862" s="15"/>
      <c r="B862" s="1"/>
      <c r="C862" s="16"/>
      <c r="D862" s="17"/>
      <c r="E862" s="2"/>
      <c r="F862" s="1"/>
      <c r="G862" s="1"/>
      <c r="H862" s="1"/>
    </row>
    <row r="863" spans="1:8" ht="14.5" x14ac:dyDescent="0.35">
      <c r="A863" s="15"/>
      <c r="B863" s="1"/>
      <c r="C863" s="16"/>
      <c r="D863" s="17"/>
      <c r="E863" s="1"/>
      <c r="F863" s="1"/>
      <c r="G863" s="1"/>
      <c r="H863" s="1"/>
    </row>
    <row r="864" spans="1:8" ht="14.5" x14ac:dyDescent="0.35">
      <c r="A864" s="15"/>
      <c r="B864" s="1"/>
      <c r="C864" s="16"/>
      <c r="D864" s="17"/>
      <c r="E864" s="3"/>
      <c r="F864" s="1"/>
      <c r="G864" s="1"/>
      <c r="H864" s="1"/>
    </row>
    <row r="865" spans="1:8" ht="14.5" x14ac:dyDescent="0.35">
      <c r="A865" s="15"/>
      <c r="B865" s="1"/>
      <c r="C865" s="16"/>
      <c r="D865" s="17"/>
      <c r="E865" s="1"/>
      <c r="F865" s="1"/>
      <c r="G865" s="1"/>
      <c r="H865" s="1"/>
    </row>
    <row r="866" spans="1:8" ht="14.5" x14ac:dyDescent="0.35">
      <c r="A866" s="15"/>
      <c r="B866" s="1"/>
      <c r="C866" s="16"/>
      <c r="D866" s="17"/>
      <c r="E866" s="1"/>
      <c r="F866" s="1"/>
      <c r="G866" s="1"/>
      <c r="H866" s="1"/>
    </row>
    <row r="867" spans="1:8" ht="14.5" x14ac:dyDescent="0.35">
      <c r="A867" s="15"/>
      <c r="B867" s="1"/>
      <c r="C867" s="16"/>
      <c r="D867" s="17"/>
      <c r="E867" s="1"/>
      <c r="F867" s="1"/>
      <c r="G867" s="1"/>
      <c r="H867" s="1"/>
    </row>
    <row r="868" spans="1:8" ht="14.5" x14ac:dyDescent="0.35">
      <c r="A868" s="15"/>
      <c r="B868" s="1"/>
      <c r="C868" s="16"/>
      <c r="D868" s="17"/>
      <c r="E868" s="2"/>
      <c r="F868" s="1"/>
      <c r="G868" s="1"/>
      <c r="H868" s="1"/>
    </row>
    <row r="869" spans="1:8" ht="14.5" x14ac:dyDescent="0.35">
      <c r="A869" s="15"/>
      <c r="B869" s="1"/>
      <c r="C869" s="16"/>
      <c r="D869" s="17"/>
      <c r="E869" s="2"/>
      <c r="F869" s="1"/>
      <c r="G869" s="1"/>
      <c r="H869" s="1"/>
    </row>
    <row r="870" spans="1:8" ht="14.5" x14ac:dyDescent="0.35">
      <c r="A870" s="15"/>
      <c r="B870" s="1"/>
      <c r="C870" s="16"/>
      <c r="D870" s="17"/>
      <c r="E870" s="1"/>
      <c r="F870" s="1"/>
      <c r="G870" s="1"/>
      <c r="H870" s="1"/>
    </row>
    <row r="871" spans="1:8" ht="14.5" x14ac:dyDescent="0.35">
      <c r="A871" s="15"/>
      <c r="B871" s="1"/>
      <c r="C871" s="16"/>
      <c r="D871" s="17"/>
      <c r="E871" s="1"/>
      <c r="F871" s="1"/>
      <c r="G871" s="1"/>
      <c r="H871" s="1"/>
    </row>
    <row r="872" spans="1:8" ht="14.5" x14ac:dyDescent="0.35">
      <c r="A872" s="15"/>
      <c r="B872" s="1"/>
      <c r="C872" s="16"/>
      <c r="D872" s="17"/>
      <c r="E872" s="2"/>
      <c r="F872" s="1"/>
      <c r="G872" s="1"/>
      <c r="H872" s="1"/>
    </row>
    <row r="873" spans="1:8" ht="14.5" x14ac:dyDescent="0.35">
      <c r="A873" s="15"/>
      <c r="B873" s="1"/>
      <c r="C873" s="16"/>
      <c r="D873" s="17"/>
      <c r="E873" s="1"/>
      <c r="F873" s="1"/>
      <c r="G873" s="1"/>
      <c r="H873" s="1"/>
    </row>
    <row r="874" spans="1:8" ht="14.5" x14ac:dyDescent="0.35">
      <c r="A874" s="15"/>
      <c r="B874" s="1"/>
      <c r="C874" s="16"/>
      <c r="D874" s="17"/>
      <c r="E874" s="1"/>
      <c r="F874" s="1"/>
      <c r="G874" s="1"/>
      <c r="H874" s="1"/>
    </row>
    <row r="875" spans="1:8" ht="14.5" x14ac:dyDescent="0.35">
      <c r="A875" s="15"/>
      <c r="B875" s="1"/>
      <c r="C875" s="16"/>
      <c r="D875" s="17"/>
      <c r="E875" s="3"/>
      <c r="F875" s="1"/>
      <c r="G875" s="1"/>
      <c r="H875" s="1"/>
    </row>
    <row r="876" spans="1:8" ht="14.5" x14ac:dyDescent="0.35">
      <c r="A876" s="15"/>
      <c r="B876" s="1"/>
      <c r="C876" s="16"/>
      <c r="D876" s="17"/>
      <c r="E876" s="1"/>
      <c r="F876" s="1"/>
      <c r="G876" s="1"/>
      <c r="H876" s="1"/>
    </row>
    <row r="877" spans="1:8" ht="14.5" x14ac:dyDescent="0.35">
      <c r="A877" s="15"/>
      <c r="B877" s="1"/>
      <c r="C877" s="16"/>
      <c r="D877" s="17"/>
      <c r="E877" s="2"/>
      <c r="F877" s="1"/>
      <c r="G877" s="1"/>
      <c r="H877" s="1"/>
    </row>
    <row r="878" spans="1:8" ht="14.5" x14ac:dyDescent="0.35">
      <c r="A878" s="15"/>
      <c r="B878" s="1"/>
      <c r="C878" s="16"/>
      <c r="D878" s="17"/>
      <c r="E878" s="2"/>
      <c r="F878" s="1"/>
      <c r="G878" s="1"/>
      <c r="H878" s="1"/>
    </row>
    <row r="879" spans="1:8" ht="14.5" x14ac:dyDescent="0.35">
      <c r="A879" s="15"/>
      <c r="B879" s="1"/>
      <c r="C879" s="16"/>
      <c r="D879" s="17"/>
      <c r="E879" s="1"/>
      <c r="F879" s="1"/>
      <c r="G879" s="1"/>
      <c r="H879" s="1"/>
    </row>
    <row r="880" spans="1:8" ht="14.5" x14ac:dyDescent="0.35">
      <c r="A880" s="15"/>
      <c r="B880" s="1"/>
      <c r="C880" s="16"/>
      <c r="D880" s="17"/>
      <c r="E880" s="2"/>
      <c r="F880" s="1"/>
      <c r="G880" s="1"/>
      <c r="H880" s="1"/>
    </row>
    <row r="881" spans="1:8" ht="14.5" x14ac:dyDescent="0.35">
      <c r="A881" s="15"/>
      <c r="B881" s="1"/>
      <c r="C881" s="16"/>
      <c r="D881" s="17"/>
      <c r="E881" s="1"/>
      <c r="F881" s="1"/>
      <c r="G881" s="1"/>
      <c r="H881" s="1"/>
    </row>
    <row r="882" spans="1:8" ht="14.5" x14ac:dyDescent="0.35">
      <c r="A882" s="15"/>
      <c r="B882" s="1"/>
      <c r="C882" s="16"/>
      <c r="D882" s="17"/>
      <c r="E882" s="1"/>
      <c r="F882" s="1"/>
      <c r="G882" s="1"/>
      <c r="H882" s="1"/>
    </row>
    <row r="883" spans="1:8" ht="14.5" x14ac:dyDescent="0.35">
      <c r="A883" s="15"/>
      <c r="B883" s="1"/>
      <c r="C883" s="16"/>
      <c r="D883" s="17"/>
      <c r="E883" s="1"/>
      <c r="F883" s="1"/>
      <c r="G883" s="1"/>
      <c r="H883" s="1"/>
    </row>
    <row r="884" spans="1:8" ht="14.5" x14ac:dyDescent="0.35">
      <c r="A884" s="15"/>
      <c r="B884" s="1"/>
      <c r="C884" s="16"/>
      <c r="D884" s="17"/>
      <c r="E884" s="2"/>
      <c r="F884" s="1"/>
      <c r="G884" s="1"/>
      <c r="H884" s="1"/>
    </row>
    <row r="885" spans="1:8" ht="14.5" x14ac:dyDescent="0.35">
      <c r="A885" s="15"/>
      <c r="B885" s="1"/>
      <c r="C885" s="16"/>
      <c r="D885" s="17"/>
      <c r="E885" s="2"/>
      <c r="F885" s="1"/>
      <c r="G885" s="1"/>
      <c r="H885" s="1"/>
    </row>
    <row r="886" spans="1:8" ht="14.5" x14ac:dyDescent="0.35">
      <c r="A886" s="15"/>
      <c r="B886" s="1"/>
      <c r="C886" s="16"/>
      <c r="D886" s="17"/>
      <c r="E886" s="1"/>
      <c r="F886" s="1"/>
      <c r="G886" s="1"/>
      <c r="H886" s="1"/>
    </row>
    <row r="887" spans="1:8" ht="14.5" x14ac:dyDescent="0.35">
      <c r="A887" s="15"/>
      <c r="B887" s="1"/>
      <c r="C887" s="16"/>
      <c r="D887" s="17"/>
      <c r="E887" s="1"/>
      <c r="F887" s="1"/>
      <c r="G887" s="1"/>
      <c r="H887" s="1"/>
    </row>
    <row r="888" spans="1:8" ht="14.5" x14ac:dyDescent="0.35">
      <c r="A888" s="15"/>
      <c r="B888" s="1"/>
      <c r="C888" s="16"/>
      <c r="D888" s="17"/>
      <c r="E888" s="2"/>
      <c r="F888" s="1"/>
      <c r="G888" s="1"/>
      <c r="H888" s="1"/>
    </row>
    <row r="889" spans="1:8" ht="14.5" x14ac:dyDescent="0.35">
      <c r="A889" s="15"/>
      <c r="B889" s="1"/>
      <c r="C889" s="16"/>
      <c r="D889" s="17"/>
      <c r="E889" s="1"/>
      <c r="F889" s="1"/>
      <c r="G889" s="1"/>
      <c r="H889" s="1"/>
    </row>
    <row r="890" spans="1:8" ht="14.5" x14ac:dyDescent="0.35">
      <c r="A890" s="15"/>
      <c r="B890" s="1"/>
      <c r="C890" s="16"/>
      <c r="D890" s="17"/>
      <c r="E890" s="1"/>
      <c r="F890" s="1"/>
      <c r="G890" s="1"/>
      <c r="H890" s="1"/>
    </row>
    <row r="891" spans="1:8" ht="14.5" x14ac:dyDescent="0.35">
      <c r="A891" s="15"/>
      <c r="B891" s="1"/>
      <c r="C891" s="16"/>
      <c r="D891" s="17"/>
      <c r="E891" s="2"/>
      <c r="F891" s="1"/>
      <c r="G891" s="1"/>
      <c r="H891" s="1"/>
    </row>
    <row r="892" spans="1:8" ht="14.5" x14ac:dyDescent="0.35">
      <c r="A892" s="15"/>
      <c r="B892" s="1"/>
      <c r="C892" s="16"/>
      <c r="D892" s="17"/>
      <c r="E892" s="1"/>
      <c r="F892" s="1"/>
      <c r="G892" s="1"/>
      <c r="H892" s="1"/>
    </row>
    <row r="893" spans="1:8" ht="14.5" x14ac:dyDescent="0.35">
      <c r="A893" s="15"/>
      <c r="B893" s="1"/>
      <c r="C893" s="16"/>
      <c r="D893" s="17"/>
      <c r="E893" s="1"/>
      <c r="F893" s="1"/>
      <c r="G893" s="1"/>
      <c r="H893" s="1"/>
    </row>
    <row r="894" spans="1:8" ht="14.5" x14ac:dyDescent="0.35">
      <c r="A894" s="15"/>
      <c r="B894" s="1"/>
      <c r="C894" s="16"/>
      <c r="D894" s="17"/>
      <c r="E894" s="1"/>
      <c r="F894" s="1"/>
      <c r="G894" s="1"/>
      <c r="H894" s="1"/>
    </row>
    <row r="895" spans="1:8" ht="14.5" x14ac:dyDescent="0.35">
      <c r="A895" s="15"/>
      <c r="B895" s="1"/>
      <c r="C895" s="16"/>
      <c r="D895" s="17"/>
      <c r="E895" s="1"/>
      <c r="F895" s="1"/>
      <c r="G895" s="1"/>
      <c r="H895" s="1"/>
    </row>
    <row r="896" spans="1:8" ht="14.5" x14ac:dyDescent="0.35">
      <c r="A896" s="15"/>
      <c r="B896" s="1"/>
      <c r="C896" s="16"/>
      <c r="D896" s="17"/>
      <c r="E896" s="2"/>
      <c r="F896" s="1"/>
      <c r="G896" s="1"/>
      <c r="H896" s="1"/>
    </row>
    <row r="897" spans="1:8" ht="14.5" x14ac:dyDescent="0.35">
      <c r="A897" s="15"/>
      <c r="B897" s="1"/>
      <c r="C897" s="16"/>
      <c r="D897" s="17"/>
      <c r="E897" s="1"/>
      <c r="F897" s="1"/>
      <c r="G897" s="1"/>
      <c r="H897" s="1"/>
    </row>
    <row r="898" spans="1:8" ht="14.5" x14ac:dyDescent="0.35">
      <c r="A898" s="15"/>
      <c r="B898" s="1"/>
      <c r="C898" s="16"/>
      <c r="D898" s="17"/>
      <c r="E898" s="2"/>
      <c r="F898" s="1"/>
      <c r="G898" s="1"/>
      <c r="H898" s="1"/>
    </row>
    <row r="899" spans="1:8" ht="14.5" x14ac:dyDescent="0.35">
      <c r="A899" s="15"/>
      <c r="B899" s="1"/>
      <c r="C899" s="16"/>
      <c r="D899" s="17"/>
      <c r="E899" s="3"/>
      <c r="F899" s="1"/>
      <c r="G899" s="1"/>
      <c r="H899" s="1"/>
    </row>
    <row r="900" spans="1:8" ht="14.5" x14ac:dyDescent="0.35">
      <c r="A900" s="15"/>
      <c r="B900" s="1"/>
      <c r="C900" s="16"/>
      <c r="D900" s="17"/>
      <c r="E900" s="3"/>
      <c r="F900" s="1"/>
      <c r="G900" s="1"/>
      <c r="H900" s="1"/>
    </row>
    <row r="901" spans="1:8" ht="14.5" x14ac:dyDescent="0.35">
      <c r="A901" s="15"/>
      <c r="B901" s="1"/>
      <c r="C901" s="16"/>
      <c r="D901" s="17"/>
      <c r="E901" s="1"/>
      <c r="F901" s="1"/>
      <c r="G901" s="1"/>
      <c r="H901" s="1"/>
    </row>
    <row r="902" spans="1:8" ht="14.5" x14ac:dyDescent="0.35">
      <c r="A902" s="15"/>
      <c r="B902" s="1"/>
      <c r="C902" s="16"/>
      <c r="D902" s="17"/>
      <c r="E902" s="1"/>
      <c r="F902" s="1"/>
      <c r="G902" s="1"/>
      <c r="H902" s="1"/>
    </row>
    <row r="903" spans="1:8" ht="14.5" x14ac:dyDescent="0.35">
      <c r="A903" s="15"/>
      <c r="B903" s="1"/>
      <c r="C903" s="16"/>
      <c r="D903" s="17"/>
      <c r="E903" s="2"/>
      <c r="F903" s="1"/>
      <c r="G903" s="1"/>
      <c r="H903" s="1"/>
    </row>
    <row r="904" spans="1:8" ht="14.5" x14ac:dyDescent="0.35">
      <c r="A904" s="15"/>
      <c r="B904" s="1"/>
      <c r="C904" s="16"/>
      <c r="D904" s="17"/>
      <c r="E904" s="1"/>
      <c r="F904" s="1"/>
      <c r="G904" s="1"/>
      <c r="H904" s="1"/>
    </row>
    <row r="905" spans="1:8" ht="14.5" x14ac:dyDescent="0.35">
      <c r="A905" s="15"/>
      <c r="B905" s="1"/>
      <c r="C905" s="16"/>
      <c r="D905" s="17"/>
      <c r="E905" s="2"/>
      <c r="F905" s="1"/>
      <c r="G905" s="1"/>
      <c r="H905" s="1"/>
    </row>
    <row r="906" spans="1:8" ht="14.5" x14ac:dyDescent="0.35">
      <c r="A906" s="15"/>
      <c r="B906" s="1"/>
      <c r="C906" s="16"/>
      <c r="D906" s="17"/>
      <c r="E906" s="2"/>
      <c r="F906" s="1"/>
      <c r="G906" s="1"/>
      <c r="H906" s="1"/>
    </row>
    <row r="907" spans="1:8" ht="14.5" x14ac:dyDescent="0.35">
      <c r="A907" s="15"/>
      <c r="B907" s="1"/>
      <c r="C907" s="16"/>
      <c r="D907" s="17"/>
      <c r="E907" s="1"/>
      <c r="F907" s="1"/>
      <c r="G907" s="1"/>
      <c r="H907" s="1"/>
    </row>
    <row r="908" spans="1:8" ht="14.5" x14ac:dyDescent="0.35">
      <c r="A908" s="15"/>
      <c r="B908" s="1"/>
      <c r="C908" s="16"/>
      <c r="D908" s="17"/>
      <c r="E908" s="1"/>
      <c r="F908" s="1"/>
      <c r="G908" s="1"/>
      <c r="H908" s="1"/>
    </row>
    <row r="909" spans="1:8" ht="14.5" x14ac:dyDescent="0.35">
      <c r="A909" s="15"/>
      <c r="B909" s="1"/>
      <c r="C909" s="16"/>
      <c r="D909" s="17"/>
      <c r="E909" s="1"/>
      <c r="F909" s="1"/>
      <c r="G909" s="1"/>
      <c r="H909" s="1"/>
    </row>
    <row r="910" spans="1:8" ht="14.5" x14ac:dyDescent="0.35">
      <c r="A910" s="15"/>
      <c r="B910" s="1"/>
      <c r="C910" s="16"/>
      <c r="D910" s="17"/>
      <c r="E910" s="1"/>
      <c r="F910" s="1"/>
      <c r="G910" s="1"/>
      <c r="H910" s="1"/>
    </row>
    <row r="911" spans="1:8" ht="14.5" x14ac:dyDescent="0.35">
      <c r="A911" s="15"/>
      <c r="B911" s="1"/>
      <c r="C911" s="16"/>
      <c r="D911" s="17"/>
      <c r="E911" s="3"/>
      <c r="F911" s="1"/>
      <c r="G911" s="1"/>
      <c r="H911" s="1"/>
    </row>
    <row r="912" spans="1:8" ht="14.5" x14ac:dyDescent="0.35">
      <c r="A912" s="15"/>
      <c r="B912" s="1"/>
      <c r="C912" s="16"/>
      <c r="D912" s="17"/>
      <c r="E912" s="1"/>
      <c r="F912" s="1"/>
      <c r="G912" s="1"/>
      <c r="H912" s="1"/>
    </row>
    <row r="913" spans="1:8" ht="14.5" x14ac:dyDescent="0.35">
      <c r="A913" s="15"/>
      <c r="B913" s="1"/>
      <c r="C913" s="16"/>
      <c r="D913" s="17"/>
      <c r="E913" s="2"/>
      <c r="F913" s="1"/>
      <c r="G913" s="1"/>
      <c r="H913" s="1"/>
    </row>
    <row r="914" spans="1:8" ht="14.5" x14ac:dyDescent="0.35">
      <c r="A914" s="15"/>
      <c r="B914" s="1"/>
      <c r="C914" s="16"/>
      <c r="D914" s="17"/>
      <c r="E914" s="2"/>
      <c r="F914" s="1"/>
      <c r="G914" s="1"/>
      <c r="H914" s="1"/>
    </row>
    <row r="915" spans="1:8" ht="14.5" x14ac:dyDescent="0.35">
      <c r="A915" s="15"/>
      <c r="B915" s="1"/>
      <c r="C915" s="16"/>
      <c r="D915" s="17"/>
      <c r="E915" s="1"/>
      <c r="F915" s="1"/>
      <c r="G915" s="1"/>
      <c r="H915" s="1"/>
    </row>
    <row r="916" spans="1:8" ht="14.5" x14ac:dyDescent="0.35">
      <c r="A916" s="15"/>
      <c r="B916" s="1"/>
      <c r="C916" s="16"/>
      <c r="D916" s="17"/>
      <c r="E916" s="3"/>
      <c r="F916" s="1"/>
      <c r="G916" s="1"/>
      <c r="H916" s="1"/>
    </row>
    <row r="917" spans="1:8" ht="14.5" x14ac:dyDescent="0.35">
      <c r="A917" s="15"/>
      <c r="B917" s="1"/>
      <c r="C917" s="16"/>
      <c r="D917" s="17"/>
      <c r="E917" s="1"/>
      <c r="F917" s="1"/>
      <c r="G917" s="1"/>
      <c r="H917" s="1"/>
    </row>
    <row r="918" spans="1:8" ht="14.5" x14ac:dyDescent="0.35">
      <c r="A918" s="15"/>
      <c r="B918" s="1"/>
      <c r="C918" s="16"/>
      <c r="D918" s="17"/>
      <c r="E918" s="1"/>
      <c r="F918" s="1"/>
      <c r="G918" s="1"/>
      <c r="H918" s="1"/>
    </row>
    <row r="919" spans="1:8" ht="14.5" x14ac:dyDescent="0.35">
      <c r="A919" s="15"/>
      <c r="B919" s="1"/>
      <c r="C919" s="16"/>
      <c r="D919" s="17"/>
      <c r="E919" s="1"/>
      <c r="F919" s="1"/>
      <c r="G919" s="1"/>
      <c r="H919" s="1"/>
    </row>
    <row r="920" spans="1:8" ht="14.5" x14ac:dyDescent="0.35">
      <c r="A920" s="15"/>
      <c r="B920" s="1"/>
      <c r="C920" s="16"/>
      <c r="D920" s="17"/>
      <c r="E920" s="1"/>
      <c r="F920" s="1"/>
      <c r="G920" s="1"/>
      <c r="H920" s="1"/>
    </row>
    <row r="921" spans="1:8" ht="14.5" x14ac:dyDescent="0.35">
      <c r="A921" s="15"/>
      <c r="B921" s="1"/>
      <c r="C921" s="16"/>
      <c r="D921" s="17"/>
      <c r="E921" s="1"/>
      <c r="F921" s="1"/>
      <c r="G921" s="1"/>
      <c r="H921" s="1"/>
    </row>
    <row r="922" spans="1:8" ht="14.5" x14ac:dyDescent="0.35">
      <c r="A922" s="15"/>
      <c r="B922" s="1"/>
      <c r="C922" s="16"/>
      <c r="D922" s="17"/>
      <c r="E922" s="2"/>
      <c r="F922" s="1"/>
      <c r="G922" s="1"/>
      <c r="H922" s="1"/>
    </row>
    <row r="923" spans="1:8" ht="14.5" x14ac:dyDescent="0.35">
      <c r="A923" s="15"/>
      <c r="B923" s="1"/>
      <c r="C923" s="16"/>
      <c r="D923" s="17"/>
      <c r="E923" s="1"/>
      <c r="F923" s="1"/>
      <c r="G923" s="1"/>
      <c r="H923" s="1"/>
    </row>
    <row r="924" spans="1:8" ht="14.5" x14ac:dyDescent="0.35">
      <c r="A924" s="15"/>
      <c r="B924" s="1"/>
      <c r="C924" s="16"/>
      <c r="D924" s="17"/>
      <c r="E924" s="1"/>
      <c r="F924" s="1"/>
      <c r="G924" s="1"/>
      <c r="H924" s="1"/>
    </row>
    <row r="925" spans="1:8" ht="14.5" x14ac:dyDescent="0.35">
      <c r="A925" s="15"/>
      <c r="B925" s="1"/>
      <c r="C925" s="16"/>
      <c r="D925" s="17"/>
      <c r="E925" s="1"/>
      <c r="F925" s="1"/>
      <c r="G925" s="1"/>
      <c r="H925" s="1"/>
    </row>
    <row r="926" spans="1:8" ht="14.5" x14ac:dyDescent="0.35">
      <c r="A926" s="15"/>
      <c r="B926" s="1"/>
      <c r="C926" s="16"/>
      <c r="D926" s="17"/>
      <c r="E926" s="1"/>
      <c r="F926" s="1"/>
      <c r="G926" s="1"/>
      <c r="H926" s="1"/>
    </row>
    <row r="927" spans="1:8" ht="14.5" x14ac:dyDescent="0.35">
      <c r="A927" s="15"/>
      <c r="B927" s="1"/>
      <c r="C927" s="16"/>
      <c r="D927" s="17"/>
      <c r="E927" s="1"/>
      <c r="F927" s="1"/>
      <c r="G927" s="1"/>
      <c r="H927" s="1"/>
    </row>
    <row r="928" spans="1:8" ht="14.5" x14ac:dyDescent="0.35">
      <c r="A928" s="15"/>
      <c r="B928" s="1"/>
      <c r="C928" s="16"/>
      <c r="D928" s="17"/>
      <c r="E928" s="1"/>
      <c r="F928" s="1"/>
      <c r="G928" s="1"/>
      <c r="H928" s="1"/>
    </row>
    <row r="929" spans="1:8" ht="14.5" x14ac:dyDescent="0.35">
      <c r="A929" s="15"/>
      <c r="B929" s="1"/>
      <c r="C929" s="16"/>
      <c r="D929" s="17"/>
      <c r="E929" s="2"/>
      <c r="F929" s="1"/>
      <c r="G929" s="1"/>
      <c r="H929" s="1"/>
    </row>
    <row r="930" spans="1:8" ht="14.5" x14ac:dyDescent="0.35">
      <c r="A930" s="15"/>
      <c r="B930" s="1"/>
      <c r="C930" s="16"/>
      <c r="D930" s="17"/>
      <c r="E930" s="1"/>
      <c r="F930" s="1"/>
      <c r="G930" s="1"/>
      <c r="H930" s="1"/>
    </row>
    <row r="931" spans="1:8" ht="14.5" x14ac:dyDescent="0.35">
      <c r="A931" s="15"/>
      <c r="B931" s="1"/>
      <c r="C931" s="16"/>
      <c r="D931" s="17"/>
      <c r="E931" s="1"/>
      <c r="F931" s="1"/>
      <c r="G931" s="1"/>
      <c r="H931" s="1"/>
    </row>
    <row r="932" spans="1:8" ht="14.5" x14ac:dyDescent="0.35">
      <c r="A932" s="15"/>
      <c r="B932" s="1"/>
      <c r="C932" s="16"/>
      <c r="D932" s="17"/>
      <c r="E932" s="2"/>
      <c r="F932" s="1"/>
      <c r="G932" s="1"/>
      <c r="H932" s="1"/>
    </row>
    <row r="933" spans="1:8" ht="14.5" x14ac:dyDescent="0.35">
      <c r="A933" s="15"/>
      <c r="B933" s="1"/>
      <c r="C933" s="16"/>
      <c r="D933" s="17"/>
      <c r="E933" s="1"/>
      <c r="F933" s="1"/>
      <c r="G933" s="1"/>
      <c r="H933" s="1"/>
    </row>
    <row r="934" spans="1:8" ht="14.5" x14ac:dyDescent="0.35">
      <c r="A934" s="15"/>
      <c r="B934" s="1"/>
      <c r="C934" s="16"/>
      <c r="D934" s="17"/>
      <c r="E934" s="1"/>
      <c r="F934" s="1"/>
      <c r="G934" s="1"/>
      <c r="H934" s="1"/>
    </row>
    <row r="935" spans="1:8" ht="14.5" x14ac:dyDescent="0.35">
      <c r="A935" s="15"/>
      <c r="B935" s="1"/>
      <c r="C935" s="16"/>
      <c r="D935" s="17"/>
      <c r="E935" s="2"/>
      <c r="F935" s="1"/>
      <c r="G935" s="1"/>
      <c r="H935" s="1"/>
    </row>
    <row r="936" spans="1:8" ht="14.5" x14ac:dyDescent="0.35">
      <c r="A936" s="15"/>
      <c r="B936" s="1"/>
      <c r="C936" s="16"/>
      <c r="D936" s="17"/>
      <c r="E936" s="2"/>
      <c r="F936" s="1"/>
      <c r="G936" s="1"/>
      <c r="H936" s="1"/>
    </row>
    <row r="937" spans="1:8" ht="14.5" x14ac:dyDescent="0.35">
      <c r="A937" s="15"/>
      <c r="B937" s="1"/>
      <c r="C937" s="16"/>
      <c r="D937" s="17"/>
      <c r="E937" s="1"/>
      <c r="F937" s="1"/>
      <c r="G937" s="1"/>
      <c r="H937" s="1"/>
    </row>
    <row r="938" spans="1:8" ht="14.5" x14ac:dyDescent="0.35">
      <c r="A938" s="15"/>
      <c r="B938" s="1"/>
      <c r="C938" s="16"/>
      <c r="D938" s="17"/>
      <c r="E938" s="1"/>
      <c r="F938" s="1"/>
      <c r="G938" s="1"/>
      <c r="H938" s="1"/>
    </row>
    <row r="939" spans="1:8" ht="14.5" x14ac:dyDescent="0.35">
      <c r="A939" s="15"/>
      <c r="B939" s="1"/>
      <c r="C939" s="16"/>
      <c r="D939" s="17"/>
      <c r="E939" s="1"/>
      <c r="F939" s="1"/>
      <c r="G939" s="1"/>
      <c r="H939" s="1"/>
    </row>
    <row r="940" spans="1:8" ht="14.5" x14ac:dyDescent="0.35">
      <c r="A940" s="15"/>
      <c r="B940" s="1"/>
      <c r="C940" s="16"/>
      <c r="D940" s="17"/>
      <c r="E940" s="2"/>
      <c r="F940" s="1"/>
      <c r="G940" s="1"/>
      <c r="H940" s="1"/>
    </row>
    <row r="941" spans="1:8" ht="14.5" x14ac:dyDescent="0.35">
      <c r="A941" s="15"/>
      <c r="B941" s="1"/>
      <c r="C941" s="16"/>
      <c r="D941" s="17"/>
      <c r="E941" s="1"/>
      <c r="F941" s="1"/>
      <c r="G941" s="1"/>
      <c r="H941" s="1"/>
    </row>
    <row r="942" spans="1:8" ht="14.5" x14ac:dyDescent="0.35">
      <c r="A942" s="15"/>
      <c r="B942" s="1"/>
      <c r="C942" s="16"/>
      <c r="D942" s="17"/>
      <c r="E942" s="1"/>
      <c r="F942" s="1"/>
      <c r="G942" s="1"/>
      <c r="H942" s="1"/>
    </row>
    <row r="943" spans="1:8" ht="14.5" x14ac:dyDescent="0.35">
      <c r="A943" s="15"/>
      <c r="B943" s="1"/>
      <c r="C943" s="16"/>
      <c r="D943" s="17"/>
      <c r="E943" s="2"/>
      <c r="F943" s="1"/>
      <c r="G943" s="1"/>
      <c r="H943" s="1"/>
    </row>
    <row r="944" spans="1:8" ht="14.5" x14ac:dyDescent="0.35">
      <c r="A944" s="15"/>
      <c r="B944" s="1"/>
      <c r="C944" s="16"/>
      <c r="D944" s="17"/>
      <c r="E944" s="2"/>
      <c r="F944" s="1"/>
      <c r="G944" s="1"/>
      <c r="H944" s="1"/>
    </row>
    <row r="945" spans="1:8" ht="14.5" x14ac:dyDescent="0.35">
      <c r="A945" s="15"/>
      <c r="B945" s="1"/>
      <c r="C945" s="16"/>
      <c r="D945" s="17"/>
      <c r="E945" s="1"/>
      <c r="F945" s="1"/>
      <c r="G945" s="1"/>
      <c r="H945" s="1"/>
    </row>
    <row r="946" spans="1:8" ht="14.5" x14ac:dyDescent="0.35">
      <c r="A946" s="15"/>
      <c r="B946" s="1"/>
      <c r="C946" s="16"/>
      <c r="D946" s="17"/>
      <c r="E946" s="1"/>
      <c r="F946" s="1"/>
      <c r="G946" s="1"/>
      <c r="H946" s="1"/>
    </row>
    <row r="947" spans="1:8" ht="14.5" x14ac:dyDescent="0.35">
      <c r="A947" s="15"/>
      <c r="B947" s="1"/>
      <c r="C947" s="16"/>
      <c r="D947" s="17"/>
      <c r="E947" s="2"/>
      <c r="F947" s="1"/>
      <c r="G947" s="1"/>
      <c r="H947" s="1"/>
    </row>
    <row r="948" spans="1:8" ht="14.5" x14ac:dyDescent="0.35">
      <c r="A948" s="15"/>
      <c r="B948" s="1"/>
      <c r="C948" s="16"/>
      <c r="D948" s="17"/>
      <c r="E948" s="1"/>
      <c r="F948" s="1"/>
      <c r="G948" s="1"/>
      <c r="H948" s="1"/>
    </row>
    <row r="949" spans="1:8" ht="14.5" x14ac:dyDescent="0.35">
      <c r="A949" s="15"/>
      <c r="B949" s="1"/>
      <c r="C949" s="16"/>
      <c r="D949" s="17"/>
      <c r="E949" s="1"/>
      <c r="F949" s="1"/>
      <c r="G949" s="1"/>
      <c r="H949" s="1"/>
    </row>
    <row r="950" spans="1:8" ht="14.5" x14ac:dyDescent="0.35">
      <c r="A950" s="15"/>
      <c r="B950" s="1"/>
      <c r="C950" s="16"/>
      <c r="D950" s="17"/>
      <c r="E950" s="1"/>
      <c r="F950" s="1"/>
      <c r="G950" s="1"/>
      <c r="H950" s="1"/>
    </row>
    <row r="951" spans="1:8" ht="14.5" x14ac:dyDescent="0.35">
      <c r="A951" s="15"/>
      <c r="B951" s="1"/>
      <c r="C951" s="16"/>
      <c r="D951" s="17"/>
      <c r="E951" s="1"/>
      <c r="F951" s="1"/>
      <c r="G951" s="1"/>
      <c r="H951" s="1"/>
    </row>
    <row r="952" spans="1:8" ht="14.5" x14ac:dyDescent="0.35">
      <c r="A952" s="15"/>
      <c r="B952" s="1"/>
      <c r="C952" s="16"/>
      <c r="D952" s="17"/>
      <c r="E952" s="1"/>
      <c r="F952" s="1"/>
      <c r="G952" s="1"/>
      <c r="H952" s="1"/>
    </row>
    <row r="953" spans="1:8" ht="14.5" x14ac:dyDescent="0.35">
      <c r="A953" s="15"/>
      <c r="B953" s="1"/>
      <c r="C953" s="16"/>
      <c r="D953" s="17"/>
      <c r="E953" s="2"/>
      <c r="F953" s="1"/>
      <c r="G953" s="1"/>
      <c r="H953" s="1"/>
    </row>
    <row r="954" spans="1:8" ht="14.5" x14ac:dyDescent="0.35">
      <c r="A954" s="15"/>
      <c r="B954" s="1"/>
      <c r="C954" s="16"/>
      <c r="D954" s="17"/>
      <c r="E954" s="2"/>
      <c r="F954" s="1"/>
      <c r="G954" s="1"/>
      <c r="H954" s="1"/>
    </row>
    <row r="955" spans="1:8" ht="14.5" x14ac:dyDescent="0.35">
      <c r="A955" s="15"/>
      <c r="B955" s="1"/>
      <c r="C955" s="16"/>
      <c r="D955" s="17"/>
      <c r="E955" s="2"/>
      <c r="F955" s="1"/>
      <c r="G955" s="1"/>
      <c r="H955" s="1"/>
    </row>
    <row r="956" spans="1:8" ht="14.5" x14ac:dyDescent="0.35">
      <c r="A956" s="15"/>
      <c r="B956" s="1"/>
      <c r="C956" s="16"/>
      <c r="D956" s="17"/>
      <c r="E956" s="2"/>
      <c r="F956" s="1"/>
      <c r="G956" s="1"/>
      <c r="H956" s="1"/>
    </row>
    <row r="957" spans="1:8" ht="14.5" x14ac:dyDescent="0.35">
      <c r="A957" s="15"/>
      <c r="B957" s="1"/>
      <c r="C957" s="16"/>
      <c r="D957" s="17"/>
      <c r="E957" s="1"/>
      <c r="F957" s="1"/>
      <c r="G957" s="1"/>
      <c r="H957" s="1"/>
    </row>
    <row r="958" spans="1:8" ht="14.5" x14ac:dyDescent="0.35">
      <c r="A958" s="15"/>
      <c r="B958" s="1"/>
      <c r="C958" s="16"/>
      <c r="D958" s="17"/>
      <c r="E958" s="1"/>
      <c r="F958" s="1"/>
      <c r="G958" s="1"/>
      <c r="H958" s="1"/>
    </row>
    <row r="959" spans="1:8" ht="14.5" x14ac:dyDescent="0.35">
      <c r="A959" s="15"/>
      <c r="B959" s="1"/>
      <c r="C959" s="16"/>
      <c r="D959" s="17"/>
      <c r="E959" s="1"/>
      <c r="F959" s="1"/>
      <c r="G959" s="1"/>
      <c r="H959" s="1"/>
    </row>
    <row r="960" spans="1:8" ht="14.5" x14ac:dyDescent="0.35">
      <c r="A960" s="15"/>
      <c r="B960" s="1"/>
      <c r="C960" s="16"/>
      <c r="D960" s="17"/>
      <c r="E960" s="2"/>
      <c r="F960" s="1"/>
      <c r="G960" s="1"/>
      <c r="H960" s="1"/>
    </row>
    <row r="961" spans="1:8" ht="14.5" x14ac:dyDescent="0.35">
      <c r="A961" s="15"/>
      <c r="B961" s="1"/>
      <c r="C961" s="16"/>
      <c r="D961" s="17"/>
      <c r="E961" s="1"/>
      <c r="F961" s="1"/>
      <c r="G961" s="1"/>
      <c r="H961" s="1"/>
    </row>
    <row r="962" spans="1:8" ht="14.5" x14ac:dyDescent="0.35">
      <c r="A962" s="15"/>
      <c r="B962" s="1"/>
      <c r="C962" s="16"/>
      <c r="D962" s="17"/>
      <c r="E962" s="2"/>
      <c r="F962" s="1"/>
      <c r="G962" s="1"/>
      <c r="H962" s="1"/>
    </row>
    <row r="963" spans="1:8" ht="14.5" x14ac:dyDescent="0.35">
      <c r="A963" s="15"/>
      <c r="B963" s="1"/>
      <c r="C963" s="16"/>
      <c r="D963" s="17"/>
      <c r="E963" s="1"/>
      <c r="F963" s="1"/>
      <c r="G963" s="1"/>
      <c r="H963" s="1"/>
    </row>
    <row r="964" spans="1:8" ht="14.5" x14ac:dyDescent="0.35">
      <c r="A964" s="15"/>
      <c r="B964" s="1"/>
      <c r="C964" s="16"/>
      <c r="D964" s="17"/>
      <c r="E964" s="2"/>
      <c r="F964" s="1"/>
      <c r="G964" s="1"/>
      <c r="H964" s="1"/>
    </row>
    <row r="965" spans="1:8" ht="14.5" x14ac:dyDescent="0.35">
      <c r="A965" s="15"/>
      <c r="B965" s="1"/>
      <c r="C965" s="16"/>
      <c r="D965" s="17"/>
      <c r="E965" s="2"/>
      <c r="F965" s="1"/>
      <c r="G965" s="1"/>
      <c r="H965" s="1"/>
    </row>
    <row r="966" spans="1:8" ht="14.5" x14ac:dyDescent="0.35">
      <c r="A966" s="15"/>
      <c r="B966" s="1"/>
      <c r="C966" s="16"/>
      <c r="D966" s="17"/>
      <c r="E966" s="2"/>
      <c r="F966" s="1"/>
      <c r="G966" s="1"/>
      <c r="H966" s="1"/>
    </row>
    <row r="967" spans="1:8" ht="14.5" x14ac:dyDescent="0.35">
      <c r="A967" s="15"/>
      <c r="B967" s="1"/>
      <c r="C967" s="16"/>
      <c r="D967" s="17"/>
      <c r="E967" s="1"/>
      <c r="F967" s="1"/>
      <c r="G967" s="1"/>
      <c r="H967" s="1"/>
    </row>
    <row r="968" spans="1:8" ht="14.5" x14ac:dyDescent="0.35">
      <c r="A968" s="15"/>
      <c r="B968" s="1"/>
      <c r="C968" s="16"/>
      <c r="D968" s="17"/>
      <c r="E968" s="2"/>
      <c r="F968" s="1"/>
      <c r="G968" s="1"/>
      <c r="H968" s="1"/>
    </row>
    <row r="969" spans="1:8" ht="14.5" x14ac:dyDescent="0.35">
      <c r="A969" s="15"/>
      <c r="B969" s="1"/>
      <c r="C969" s="16"/>
      <c r="D969" s="17"/>
      <c r="E969" s="1"/>
      <c r="F969" s="1"/>
      <c r="G969" s="1"/>
      <c r="H969" s="1"/>
    </row>
    <row r="970" spans="1:8" ht="14.5" x14ac:dyDescent="0.35">
      <c r="A970" s="15"/>
      <c r="B970" s="1"/>
      <c r="C970" s="16"/>
      <c r="D970" s="17"/>
      <c r="E970" s="1"/>
      <c r="F970" s="1"/>
      <c r="G970" s="1"/>
      <c r="H970" s="1"/>
    </row>
    <row r="971" spans="1:8" ht="14.5" x14ac:dyDescent="0.35">
      <c r="A971" s="15"/>
      <c r="B971" s="1"/>
      <c r="C971" s="16"/>
      <c r="D971" s="17"/>
      <c r="E971" s="1"/>
      <c r="F971" s="1"/>
      <c r="G971" s="1"/>
      <c r="H971" s="1"/>
    </row>
    <row r="972" spans="1:8" ht="14.5" x14ac:dyDescent="0.35">
      <c r="A972" s="15"/>
      <c r="B972" s="1"/>
      <c r="C972" s="16"/>
      <c r="D972" s="17"/>
      <c r="E972" s="1"/>
      <c r="F972" s="1"/>
      <c r="G972" s="1"/>
      <c r="H972" s="1"/>
    </row>
    <row r="973" spans="1:8" ht="14.5" x14ac:dyDescent="0.35">
      <c r="A973" s="15"/>
      <c r="B973" s="1"/>
      <c r="C973" s="16"/>
      <c r="D973" s="17"/>
      <c r="E973" s="2"/>
      <c r="F973" s="1"/>
      <c r="G973" s="1"/>
      <c r="H973" s="1"/>
    </row>
    <row r="974" spans="1:8" ht="14.5" x14ac:dyDescent="0.35">
      <c r="A974" s="15"/>
      <c r="B974" s="1"/>
      <c r="C974" s="16"/>
      <c r="D974" s="17"/>
      <c r="E974" s="2"/>
      <c r="F974" s="1"/>
      <c r="G974" s="1"/>
      <c r="H974" s="1"/>
    </row>
    <row r="975" spans="1:8" ht="14.5" x14ac:dyDescent="0.35">
      <c r="A975" s="15"/>
      <c r="B975" s="1"/>
      <c r="C975" s="16"/>
      <c r="D975" s="17"/>
      <c r="E975" s="1"/>
      <c r="F975" s="1"/>
      <c r="G975" s="1"/>
      <c r="H975" s="1"/>
    </row>
    <row r="976" spans="1:8" ht="14.5" x14ac:dyDescent="0.35">
      <c r="A976" s="15"/>
      <c r="B976" s="1"/>
      <c r="C976" s="16"/>
      <c r="D976" s="17"/>
      <c r="E976" s="1"/>
      <c r="F976" s="1"/>
      <c r="G976" s="1"/>
      <c r="H976" s="1"/>
    </row>
    <row r="977" spans="1:8" ht="14.5" x14ac:dyDescent="0.35">
      <c r="A977" s="15"/>
      <c r="B977" s="1"/>
      <c r="C977" s="16"/>
      <c r="D977" s="17"/>
      <c r="E977" s="2"/>
      <c r="F977" s="1"/>
      <c r="G977" s="1"/>
      <c r="H977" s="1"/>
    </row>
    <row r="978" spans="1:8" ht="14.5" x14ac:dyDescent="0.35">
      <c r="A978" s="15"/>
      <c r="B978" s="1"/>
      <c r="C978" s="16"/>
      <c r="D978" s="17"/>
      <c r="E978" s="2"/>
      <c r="F978" s="1"/>
      <c r="G978" s="1"/>
      <c r="H978" s="1"/>
    </row>
    <row r="979" spans="1:8" ht="14.5" x14ac:dyDescent="0.35">
      <c r="A979" s="15"/>
      <c r="B979" s="1"/>
      <c r="C979" s="16"/>
      <c r="D979" s="17"/>
      <c r="E979" s="1"/>
      <c r="F979" s="1"/>
      <c r="G979" s="1"/>
      <c r="H979" s="1"/>
    </row>
    <row r="980" spans="1:8" ht="14.5" x14ac:dyDescent="0.35">
      <c r="A980" s="15"/>
      <c r="B980" s="1"/>
      <c r="C980" s="16"/>
      <c r="D980" s="17"/>
      <c r="E980" s="1"/>
      <c r="F980" s="1"/>
      <c r="G980" s="1"/>
      <c r="H980" s="1"/>
    </row>
    <row r="981" spans="1:8" ht="14.5" x14ac:dyDescent="0.35">
      <c r="A981" s="15"/>
      <c r="B981" s="1"/>
      <c r="C981" s="16"/>
      <c r="D981" s="17"/>
      <c r="E981" s="3"/>
      <c r="F981" s="1"/>
      <c r="G981" s="1"/>
      <c r="H981" s="1"/>
    </row>
    <row r="982" spans="1:8" ht="14.5" x14ac:dyDescent="0.35">
      <c r="A982" s="15"/>
      <c r="B982" s="1"/>
      <c r="C982" s="16"/>
      <c r="D982" s="17"/>
      <c r="E982" s="1"/>
      <c r="F982" s="1"/>
      <c r="G982" s="1"/>
      <c r="H982" s="1"/>
    </row>
    <row r="983" spans="1:8" ht="14.5" x14ac:dyDescent="0.35">
      <c r="A983" s="15"/>
      <c r="B983" s="1"/>
      <c r="C983" s="16"/>
      <c r="D983" s="17"/>
      <c r="E983" s="2"/>
      <c r="F983" s="1"/>
      <c r="G983" s="1"/>
      <c r="H983" s="1"/>
    </row>
    <row r="984" spans="1:8" ht="14.5" x14ac:dyDescent="0.35">
      <c r="A984" s="15"/>
      <c r="B984" s="1"/>
      <c r="C984" s="16"/>
      <c r="D984" s="17"/>
      <c r="E984" s="1"/>
      <c r="F984" s="1"/>
      <c r="G984" s="1"/>
      <c r="H984" s="1"/>
    </row>
    <row r="985" spans="1:8" ht="14.5" x14ac:dyDescent="0.35">
      <c r="A985" s="15"/>
      <c r="B985" s="1"/>
      <c r="C985" s="16"/>
      <c r="D985" s="17"/>
      <c r="E985" s="1"/>
      <c r="F985" s="1"/>
      <c r="G985" s="1"/>
      <c r="H985" s="1"/>
    </row>
    <row r="986" spans="1:8" ht="14.5" x14ac:dyDescent="0.35">
      <c r="A986" s="15"/>
      <c r="B986" s="1"/>
      <c r="C986" s="16"/>
      <c r="D986" s="17"/>
      <c r="E986" s="1"/>
      <c r="F986" s="1"/>
      <c r="G986" s="1"/>
      <c r="H986" s="1"/>
    </row>
    <row r="987" spans="1:8" ht="14.5" x14ac:dyDescent="0.35">
      <c r="A987" s="15"/>
      <c r="B987" s="1"/>
      <c r="C987" s="16"/>
      <c r="D987" s="17"/>
      <c r="E987" s="1"/>
      <c r="F987" s="1"/>
      <c r="G987" s="1"/>
      <c r="H987" s="1"/>
    </row>
    <row r="988" spans="1:8" ht="14.5" x14ac:dyDescent="0.35">
      <c r="A988" s="15"/>
      <c r="B988" s="1"/>
      <c r="C988" s="16"/>
      <c r="D988" s="17"/>
      <c r="E988" s="2"/>
      <c r="F988" s="1"/>
      <c r="G988" s="1"/>
      <c r="H988" s="1"/>
    </row>
    <row r="989" spans="1:8" ht="14.5" x14ac:dyDescent="0.35">
      <c r="A989" s="15"/>
      <c r="B989" s="1"/>
      <c r="C989" s="16"/>
      <c r="D989" s="17"/>
      <c r="E989" s="2"/>
      <c r="F989" s="1"/>
      <c r="G989" s="1"/>
      <c r="H989" s="1"/>
    </row>
    <row r="990" spans="1:8" ht="14.5" x14ac:dyDescent="0.35">
      <c r="A990" s="15"/>
      <c r="B990" s="1"/>
      <c r="C990" s="16"/>
      <c r="D990" s="17"/>
      <c r="E990" s="1"/>
      <c r="F990" s="1"/>
      <c r="G990" s="1"/>
      <c r="H990" s="1"/>
    </row>
    <row r="991" spans="1:8" ht="14.5" x14ac:dyDescent="0.35">
      <c r="A991" s="15"/>
      <c r="B991" s="1"/>
      <c r="C991" s="16"/>
      <c r="D991" s="17"/>
      <c r="E991" s="2"/>
      <c r="F991" s="1"/>
      <c r="G991" s="1"/>
      <c r="H991" s="1"/>
    </row>
    <row r="992" spans="1:8" ht="14.5" x14ac:dyDescent="0.35">
      <c r="A992" s="15"/>
      <c r="B992" s="1"/>
      <c r="C992" s="16"/>
      <c r="D992" s="17"/>
      <c r="E992" s="1"/>
      <c r="F992" s="1"/>
      <c r="G992" s="1"/>
      <c r="H992" s="1"/>
    </row>
    <row r="993" spans="1:8" ht="14.5" x14ac:dyDescent="0.35">
      <c r="A993" s="15"/>
      <c r="B993" s="1"/>
      <c r="C993" s="16"/>
      <c r="D993" s="17"/>
      <c r="E993" s="1"/>
      <c r="F993" s="1"/>
      <c r="G993" s="1"/>
      <c r="H993" s="1"/>
    </row>
    <row r="994" spans="1:8" ht="14.5" x14ac:dyDescent="0.35">
      <c r="A994" s="15"/>
      <c r="B994" s="1"/>
      <c r="C994" s="16"/>
      <c r="D994" s="17"/>
      <c r="E994" s="2"/>
      <c r="F994" s="1"/>
      <c r="G994" s="1"/>
      <c r="H994" s="1"/>
    </row>
    <row r="995" spans="1:8" ht="14.5" x14ac:dyDescent="0.35">
      <c r="A995" s="15"/>
      <c r="B995" s="1"/>
      <c r="C995" s="16"/>
      <c r="D995" s="17"/>
      <c r="E995" s="1"/>
      <c r="F995" s="1"/>
      <c r="G995" s="1"/>
      <c r="H995" s="1"/>
    </row>
    <row r="996" spans="1:8" ht="14.5" x14ac:dyDescent="0.35">
      <c r="A996" s="15"/>
      <c r="B996" s="1"/>
      <c r="C996" s="16"/>
      <c r="D996" s="17"/>
      <c r="E996" s="1"/>
      <c r="F996" s="1"/>
      <c r="G996" s="1"/>
      <c r="H996" s="1"/>
    </row>
    <row r="997" spans="1:8" ht="14.5" x14ac:dyDescent="0.35">
      <c r="A997" s="15"/>
      <c r="B997" s="1"/>
      <c r="C997" s="16"/>
      <c r="D997" s="17"/>
      <c r="E997" s="1"/>
      <c r="F997" s="1"/>
      <c r="G997" s="1"/>
      <c r="H997" s="1"/>
    </row>
    <row r="998" spans="1:8" ht="14.5" x14ac:dyDescent="0.35">
      <c r="A998" s="15"/>
      <c r="B998" s="1"/>
      <c r="C998" s="16"/>
      <c r="D998" s="17"/>
      <c r="E998" s="1"/>
      <c r="F998" s="1"/>
      <c r="G998" s="1"/>
      <c r="H998" s="1"/>
    </row>
    <row r="999" spans="1:8" ht="14.5" x14ac:dyDescent="0.35">
      <c r="A999" s="15"/>
      <c r="B999" s="1"/>
      <c r="C999" s="16"/>
      <c r="D999" s="17"/>
      <c r="E999" s="2"/>
      <c r="F999" s="1"/>
      <c r="G999" s="1"/>
      <c r="H999" s="1"/>
    </row>
    <row r="1000" spans="1:8" ht="14.5" x14ac:dyDescent="0.35">
      <c r="A1000" s="15"/>
      <c r="B1000" s="1"/>
      <c r="C1000" s="16"/>
      <c r="D1000" s="17"/>
      <c r="E1000" s="3"/>
      <c r="F1000" s="1"/>
      <c r="G1000" s="1"/>
      <c r="H1000" s="1"/>
    </row>
    <row r="1001" spans="1:8" ht="14.5" x14ac:dyDescent="0.35">
      <c r="A1001" s="15"/>
      <c r="B1001" s="1"/>
      <c r="C1001" s="16"/>
      <c r="D1001" s="17"/>
      <c r="E1001" s="1"/>
      <c r="F1001" s="1"/>
      <c r="G1001" s="1"/>
      <c r="H1001" s="1"/>
    </row>
    <row r="1002" spans="1:8" ht="14.5" x14ac:dyDescent="0.35">
      <c r="A1002" s="15"/>
      <c r="B1002" s="1"/>
      <c r="C1002" s="16"/>
      <c r="D1002" s="17"/>
      <c r="E1002" s="2"/>
      <c r="F1002" s="1"/>
      <c r="G1002" s="1"/>
      <c r="H1002" s="1"/>
    </row>
    <row r="1003" spans="1:8" ht="14.5" x14ac:dyDescent="0.35">
      <c r="A1003" s="15"/>
      <c r="B1003" s="1"/>
      <c r="C1003" s="16"/>
      <c r="D1003" s="17"/>
      <c r="E1003" s="1"/>
      <c r="F1003" s="1"/>
      <c r="G1003" s="1"/>
      <c r="H1003" s="1"/>
    </row>
    <row r="1004" spans="1:8" ht="14.5" x14ac:dyDescent="0.35">
      <c r="A1004" s="15"/>
      <c r="B1004" s="1"/>
      <c r="C1004" s="16"/>
      <c r="D1004" s="17"/>
      <c r="E1004" s="1"/>
      <c r="F1004" s="1"/>
      <c r="G1004" s="1"/>
      <c r="H1004" s="1"/>
    </row>
    <row r="1005" spans="1:8" ht="14.5" x14ac:dyDescent="0.35">
      <c r="A1005" s="15"/>
      <c r="B1005" s="1"/>
      <c r="C1005" s="16"/>
      <c r="D1005" s="17"/>
      <c r="E1005" s="2"/>
      <c r="F1005" s="1"/>
      <c r="G1005" s="1"/>
      <c r="H1005" s="1"/>
    </row>
    <row r="1006" spans="1:8" ht="14.5" x14ac:dyDescent="0.35">
      <c r="A1006" s="15"/>
      <c r="B1006" s="1"/>
      <c r="C1006" s="16"/>
      <c r="D1006" s="17"/>
      <c r="E1006" s="2"/>
      <c r="F1006" s="1"/>
      <c r="G1006" s="1"/>
      <c r="H1006" s="1"/>
    </row>
    <row r="1007" spans="1:8" ht="14.5" x14ac:dyDescent="0.35">
      <c r="A1007" s="15"/>
      <c r="B1007" s="1"/>
      <c r="C1007" s="16"/>
      <c r="D1007" s="17"/>
      <c r="E1007" s="1"/>
      <c r="F1007" s="1"/>
      <c r="G1007" s="1"/>
      <c r="H1007" s="1"/>
    </row>
    <row r="1008" spans="1:8" ht="14.5" x14ac:dyDescent="0.35">
      <c r="A1008" s="15"/>
      <c r="B1008" s="1"/>
      <c r="C1008" s="16"/>
      <c r="D1008" s="17"/>
      <c r="E1008" s="1"/>
      <c r="F1008" s="1"/>
      <c r="G1008" s="1"/>
      <c r="H1008" s="1"/>
    </row>
    <row r="1009" spans="1:8" ht="14.5" x14ac:dyDescent="0.35">
      <c r="A1009" s="15"/>
      <c r="B1009" s="1"/>
      <c r="C1009" s="16"/>
      <c r="D1009" s="17"/>
      <c r="E1009" s="2"/>
      <c r="F1009" s="1"/>
      <c r="G1009" s="1"/>
      <c r="H1009" s="1"/>
    </row>
    <row r="1010" spans="1:8" ht="14.5" x14ac:dyDescent="0.35">
      <c r="A1010" s="15"/>
      <c r="B1010" s="1"/>
      <c r="C1010" s="16"/>
      <c r="D1010" s="17"/>
      <c r="E1010" s="1"/>
      <c r="F1010" s="1"/>
      <c r="G1010" s="1"/>
      <c r="H1010" s="1"/>
    </row>
    <row r="1011" spans="1:8" ht="14.5" x14ac:dyDescent="0.35">
      <c r="A1011" s="15"/>
      <c r="B1011" s="1"/>
      <c r="C1011" s="16"/>
      <c r="D1011" s="17"/>
      <c r="E1011" s="1"/>
      <c r="F1011" s="1"/>
      <c r="G1011" s="1"/>
      <c r="H1011" s="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Tổng 24-25</vt:lpstr>
      <vt:lpstr>Dữ liệu TQNM</vt:lpstr>
      <vt:lpstr>Nộp báo cáo</vt:lpstr>
      <vt:lpstr>Danh sach kem GV</vt:lpstr>
      <vt:lpstr>'Tổng 24-25'!Print_Area</vt:lpstr>
      <vt:lpstr>'Tổng 24-25'!Print_Titles</vt:lpstr>
      <vt:lpstr>responses_std</vt:lpstr>
      <vt:lpstr>Std_responses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Thị Trúc Quỳnh</cp:lastModifiedBy>
  <cp:lastPrinted>2025-06-11T14:08:17Z</cp:lastPrinted>
  <dcterms:modified xsi:type="dcterms:W3CDTF">2025-09-03T12:02:09Z</dcterms:modified>
</cp:coreProperties>
</file>